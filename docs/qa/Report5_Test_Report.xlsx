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4360" activeTab="1"/>
  </bookViews>
  <sheets>
    <sheet name="Cover" sheetId="1" r:id="rId1"/>
    <sheet name="Test Cases" sheetId="2" r:id="rId2"/>
    <sheet name="Login" sheetId="3" r:id="rId3"/>
    <sheet name="ForgotResetPassword" sheetId="4" r:id="rId4"/>
    <sheet name="VerifyEmail" sheetId="5" r:id="rId5"/>
    <sheet name="RegisterHR" sheetId="6" r:id="rId6"/>
    <sheet name="RegisterJobseeker" sheetId="7" r:id="rId7"/>
    <sheet name="AdminAccessControl" sheetId="8" r:id="rId8"/>
    <sheet name="AdminManageUsers" sheetId="9" r:id="rId9"/>
    <sheet name="CandidateForbidden" sheetId="10" r:id="rId10"/>
    <sheet name="HrProfile" sheetId="11" r:id="rId11"/>
    <sheet name="AuthInterceptor" sheetId="12" r:id="rId12"/>
    <sheet name="ErrorInterceptor" sheetId="13" r:id="rId13"/>
    <sheet name="StudioQuota" sheetId="14" r:id="rId14"/>
    <sheet name="StudioCtaStates" sheetId="15" r:id="rId15"/>
    <sheet name="StudioFlow" sheetId="16" r:id="rId16"/>
    <sheet name="StudioChatRefine" sheetId="17" r:id="rId17"/>
    <sheet name="StudioKbLibrary" sheetId="18" r:id="rId18"/>
    <sheet name="StudioSampleJd" sheetId="19" r:id="rId19"/>
    <sheet name="StudioSourcesPanel" sheetId="20" r:id="rId20"/>
    <sheet name="HistoryPublishedSet" sheetId="21" r:id="rId21"/>
    <sheet name="QuestionBuilder" sheetId="22" r:id="rId22"/>
    <sheet name="UiStudioInteractions" sheetId="23" r:id="rId23"/>
    <sheet name="UiToastStacking" sheetId="24" r:id="rId24"/>
    <sheet name="InfoTooltip" sheetId="25" r:id="rId25"/>
    <sheet name="HrNoRoleGate" sheetId="26" r:id="rId26"/>
    <sheet name="UiUpgradeModal" sheetId="27" r:id="rId27"/>
    <sheet name="UiSidebarDrawerAndLogo" sheetId="28" r:id="rId28"/>
    <sheet name="UiDarkModeToggle" sheetId="29" r:id="rId29"/>
    <sheet name="UiResponsiveOverflowShell" sheetId="30" r:id="rId30"/>
    <sheet name="SharedUtils" sheetId="31" r:id="rId31"/>
    <sheet name="CandidateAndAdminUtils" sheetId="32" r:id="rId32"/>
    <sheet name="GamificationAndHistoryUtils" sheetId="33" r:id="rId33"/>
    <sheet name="PermissionsAndCitations" sheetId="34" r:id="rId34"/>
    <sheet name="QuestionTemplateInfer" sheetId="35" r:id="rId35"/>
    <sheet name="Test Statistics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<sst xmlns="http://schemas.openxmlformats.org/spreadsheetml/2006/main" count="6368" uniqueCount="1274">
  <si>
    <t>TEST REPORT DOCUMENT</t>
  </si>
  <si>
    <t>Project Name</t>
  </si>
  <si>
    <t>IQGS – AI-Powered Interview Question Generation System Using RAG and LLM</t>
  </si>
  <si>
    <t>Creator</t>
  </si>
  <si>
    <t>NamNM</t>
  </si>
  <si>
    <t>Project Code</t>
  </si>
  <si>
    <t>SU26SE102</t>
  </si>
  <si>
    <t>Issue Date</t>
  </si>
  <si>
    <t>10/08/2026</t>
  </si>
  <si>
    <t>Document Code</t>
  </si>
  <si>
    <t>SU26SE102_Test Report_v1.0</t>
  </si>
  <si>
    <t>Version</t>
  </si>
  <si>
    <t>v1.0</t>
  </si>
  <si>
    <t>Record of change</t>
  </si>
  <si>
    <t>Effective Date</t>
  </si>
  <si>
    <t>Change Item</t>
  </si>
  <si>
    <t>*A,D,M</t>
  </si>
  <si>
    <t>Change description</t>
  </si>
  <si>
    <t>2026-08-10</t>
  </si>
  <si>
    <t>Login</t>
  </si>
  <si>
    <t>A</t>
  </si>
  <si>
    <t>Added Login unit-test report sheet</t>
  </si>
  <si>
    <t>ForgotResetPassword</t>
  </si>
  <si>
    <t>Added Forgot / Reset Password unit-test report sheet</t>
  </si>
  <si>
    <t>VerifyEmail</t>
  </si>
  <si>
    <t>Added Verify Email (OTP) unit-test report sheet</t>
  </si>
  <si>
    <t>RegisterHR</t>
  </si>
  <si>
    <t>Added Register (HR) unit-test report sheet</t>
  </si>
  <si>
    <t>RegisterJobseeker</t>
  </si>
  <si>
    <t>Added Register (Jobseeker) unit-test report sheet</t>
  </si>
  <si>
    <t>AdminAccessControl</t>
  </si>
  <si>
    <t>Added Admin Access Control unit-test report sheet</t>
  </si>
  <si>
    <t>AdminManageUsers</t>
  </si>
  <si>
    <t>Added Admin — Manage Users unit-test report sheet</t>
  </si>
  <si>
    <t>CandidateForbidden</t>
  </si>
  <si>
    <t>Added Candidate — Forbidden (403) Handling unit-test report sheet</t>
  </si>
  <si>
    <t>HrProfile</t>
  </si>
  <si>
    <t>Added HR Profile unit-test report sheet</t>
  </si>
  <si>
    <t>AuthInterceptor</t>
  </si>
  <si>
    <t>Added Axios Auth Interceptor unit-test report sheet</t>
  </si>
  <si>
    <t>ErrorInterceptor</t>
  </si>
  <si>
    <t>Added Error-Message Extraction Utility unit-test report sheet</t>
  </si>
  <si>
    <t>StudioQuota</t>
  </si>
  <si>
    <t>Added Studio — Quota Blocking unit-test report sheet</t>
  </si>
  <si>
    <t>StudioCtaStates</t>
  </si>
  <si>
    <t>Added Studio — Action Bar CTA States unit-test report sheet</t>
  </si>
  <si>
    <t>StudioFlow</t>
  </si>
  <si>
    <t>Added Studio — Core Generation Flow unit-test report sheet</t>
  </si>
  <si>
    <t>StudioChatRefine</t>
  </si>
  <si>
    <t>Added Studio — Chat Plan Refinement unit-test report sheet</t>
  </si>
  <si>
    <t>StudioKbLibrary</t>
  </si>
  <si>
    <t>Added Studio — Knowledge Base Library Picker unit-test report sheet</t>
  </si>
  <si>
    <t>StudioSampleJd</t>
  </si>
  <si>
    <t>Added Studio — Sample JD Modal unit-test report sheet</t>
  </si>
  <si>
    <t>StudioSourcesPanel</t>
  </si>
  <si>
    <t>Added Studio — Sources Panel unit-test report sheet</t>
  </si>
  <si>
    <t>HistoryPublishedSet</t>
  </si>
  <si>
    <t>Added History — Published Question Set Lock unit-test report sheet</t>
  </si>
  <si>
    <t>QuestionBuilder</t>
  </si>
  <si>
    <t>Added Question Builder (Manual) unit-test report sheet</t>
  </si>
  <si>
    <t>UiStudioInteractions</t>
  </si>
  <si>
    <t>Added UI — Studio Visual/Interaction States unit-test report sheet</t>
  </si>
  <si>
    <t>UiToastStacking</t>
  </si>
  <si>
    <t>Added UI — Toast Stacking &amp; Dismissal unit-test report sheet</t>
  </si>
  <si>
    <t>InfoTooltip</t>
  </si>
  <si>
    <t>Added UI — Info Tooltip unit-test report sheet</t>
  </si>
  <si>
    <t>HrNoRoleGate</t>
  </si>
  <si>
    <t>Added HR Routes — No Role Gate (finding) unit-test report sheet</t>
  </si>
  <si>
    <t>UiUpgradeModal</t>
  </si>
  <si>
    <t>Added UI — HR Upgrade Modal (via real Sidebar) unit-test report sheet</t>
  </si>
  <si>
    <t>UiSidebarDrawerAndLogo</t>
  </si>
  <si>
    <t>Added UI — Mobile Drawer &amp; Brand Logo Consistency unit-test report sheet</t>
  </si>
  <si>
    <t>UiDarkModeToggle</t>
  </si>
  <si>
    <t>Added UI — AppShell Dark Mode Toggle unit-test report sheet</t>
  </si>
  <si>
    <t>UiResponsiveOverflowShell</t>
  </si>
  <si>
    <t>Added UI — Page-Frame Overflow Clipping unit-test report sheet</t>
  </si>
  <si>
    <t>SharedUtils</t>
  </si>
  <si>
    <t>Added Shared Utils — greeting/relative-time/nav/user-display/url/avatar-msg unit-test report sheet</t>
  </si>
  <si>
    <t>CandidateAndAdminUtils</t>
  </si>
  <si>
    <t>Added Candidate &amp; Admin Utils — validation/formatting/badges unit-test report sheet</t>
  </si>
  <si>
    <t>GamificationAndHistoryUtils</t>
  </si>
  <si>
    <t>Added Gamification &amp; Local-History Utils unit-test report sheet</t>
  </si>
  <si>
    <t>PermissionsAndCitations</t>
  </si>
  <si>
    <t>Added Auth Permissions &amp; Studio Citation Display unit-test report sheet</t>
  </si>
  <si>
    <t>QuestionTemplateInfer</t>
  </si>
  <si>
    <t>Added Studio — Question Template Inference unit-test report sheet</t>
  </si>
  <si>
    <t>TEST CASE LIST</t>
  </si>
  <si>
    <t>Test Environment</t>
  </si>
  <si>
    <t>Vitest 4 + jsdom + React Testing Library — components rendered standalone, service modules mocked at the vi.mock() boundary, no real backend/network.</t>
  </si>
  <si>
    <t>No</t>
  </si>
  <si>
    <t>Feature</t>
  </si>
  <si>
    <t>Sheet Name</t>
  </si>
  <si>
    <t>Description</t>
  </si>
  <si>
    <t>Pre-Condition</t>
  </si>
  <si>
    <t>AUTH002/UI017 — verify the HR/Jobseeker login form: field validation, error toasts by status code, resend-verification dialog, role-based redirect, and keyboard Tab order.</t>
  </si>
  <si>
    <t>LoginForm rendered standalone via renderWithProviders(); next/navigation and auth.service/user.service mocked at the module boundary (no real network).</t>
  </si>
  <si>
    <t>Forgot / Reset Password</t>
  </si>
  <si>
    <t>AUTH005 — verify the forgot-password request screen and the token-based reset-password screen, including expired/invalid token handling.</t>
  </si>
  <si>
    <t>ForgotPassword/ResetPassword components rendered standalone; auth.service mocked at the module boundary.</t>
  </si>
  <si>
    <t>Verify Email (OTP)</t>
  </si>
  <si>
    <t>AUTH004 — verify the 6-digit OTP verification screen: missing-email guard, correct/incorrect OTP, resend cooldown, paste-to-autofill.</t>
  </si>
  <si>
    <t>VerifyEmail component rendered standalone; auth.service mocked at the module boundary; URL query param supplies the email.</t>
  </si>
  <si>
    <t>Register (HR)</t>
  </si>
  <si>
    <t>AUTH001 — verify the 2-step HR registration wizard: step-1 field validation, step-2 terms/company validation, successful submit redirect, duplicate-email (409) recovery.</t>
  </si>
  <si>
    <t>RegisterHR component rendered standalone; auth.service mocked at the module boundary.</t>
  </si>
  <si>
    <t>Register (Jobseeker)</t>
  </si>
  <si>
    <t>AUTH003 — verify the 2-step Jobseeker registration wizard: step-1 field validation, step-2 role/seniority/tech-stack validation, successful submit redirect, duplicate-email (409) recovery.</t>
  </si>
  <si>
    <t>RegisterJobseeker component rendered standalone; auth.service mocked at the module boundary.</t>
  </si>
  <si>
    <t>Admin Access Control</t>
  </si>
  <si>
    <t>AUTH006 — verify /admin/* route guarding by role: unauthenticated redirect, HR/Jobseeker denial with toast, Admin access granted.</t>
  </si>
  <si>
    <t>AdminRouteGuard rendered standalone with a stable next/navigation router mock; localStorage seeded with the role under test.</t>
  </si>
  <si>
    <t>Admin — Manage Users</t>
  </si>
  <si>
    <t>AUTH008 — verify the admin user-management table: search filter, clear filters, deactivate/reactivate confirm dialogs, load-failure retry, numbered pagination with ellipsis.</t>
  </si>
  <si>
    <t>AdminManageUsers page rendered standalone (AdminRouteGuard/AdminAppShell stubbed pass-through); admin user service mocked at the module boundary.</t>
  </si>
  <si>
    <t>Candidate — Forbidden (403) Handling</t>
  </si>
  <si>
    <t>RGA016 — verify the candidate practice-session start flow surfaces a friendly message on 403 and falls back to a generic error otherwise.</t>
  </si>
  <si>
    <t>Relevant candidate component rendered standalone; session-start service mocked to reject with the status under test.</t>
  </si>
  <si>
    <t>HR Profile</t>
  </si>
  <si>
    <t>AUTH007 — verify the HR profile edit form: required-field guard, LinkedIn URL validation, save/cancel, read-only email, avatar upload type/size validation and preview update.</t>
  </si>
  <si>
    <t>HrProfile component rendered standalone; profile/avatar service mocked at the module boundary.</t>
  </si>
  <si>
    <t>Axios Auth Interceptor</t>
  </si>
  <si>
    <t>RGA001-020 — verify the shared axios instance's 401 refresh-and-retry interceptor: silent refresh, refresh failure, no-refresh-token, already-retried guard, public-endpoint bypass, 403 pass-through, token rotation, concurrent-401 de-dup.</t>
  </si>
  <si>
    <t>A dedicated axios instance is wired to a shared axios-mock-adapter (module-level vi.mock of "axios"), exercising the real interceptor logic against mocked HTTP responses — no component rendering.</t>
  </si>
  <si>
    <t>Error-Message Extraction Utility</t>
  </si>
  <si>
    <t>RGA011 — verify extractErrorMessage()'s fallback chain: response body message, canned subscription errorCode text, and the raw axios message when the body is empty.</t>
  </si>
  <si>
    <t>Pure unit test of the extractErrorMessage() utility function with hand-built error objects — no component rendering, no network mocking.</t>
  </si>
  <si>
    <t>Studio — Quota Blocking</t>
  </si>
  <si>
    <t>RAG010 — verify the free-plan-in-cooldown blocking alertdialog: full-page cover, "Create manually" escape hatch, suppression while a generation run is in flight, and auto-appearance once that run completes.</t>
  </si>
  <si>
    <t>StudioPage rendered via renderStudio() (HrSubscriptionProvider wrapper); studio.service and subscription.service mocked at the module boundary.</t>
  </si>
  <si>
    <t>Studio — Action Bar CTA States</t>
  </si>
  <si>
    <t>RAG037/RAG039/RAG030 — verify the Action bar's single primary CTA label/enabled-state machine across the Create Plan -&gt; Approve Plan -&gt; Generate Questions -&gt; Completed lifecycle, and the Apply-settings failure-toast/recovery path.</t>
  </si>
  <si>
    <t>StudioPage rendered via renderStudio(); studio.service mocked at the module boundary with bootstrapStudio() fixtures for each lifecycle stage.</t>
  </si>
  <si>
    <t>Studio — Core Generation Flow</t>
  </si>
  <si>
    <t>RAG005-013/RAG008/RAG029/RAG030 — verify the happy-path/auto-retry/failed question-generation flow, subscription-error-code toast mapping, question edit/delete/regenerate, Save/Publish/Unpublish/Share, New Set reset, settings toggle persistence, and the 5-minute generation-timeout recovery message.</t>
  </si>
  <si>
    <t>StudioPage rendered via renderStudio(); studio.service mocked at the module boundary; navigator.clipboard stubbed (jsdom has no native Clipboard API) for the Share test.</t>
  </si>
  <si>
    <t>Studio — Chat Plan Refinement</t>
  </si>
  <si>
    <t>RAG032 — verify sequential chat-driven plan refinements accumulate in history, and that the chat composer locks with a distinct placeholder once the plan is Approved.</t>
  </si>
  <si>
    <t>StudioPage rendered via renderStudio(); studio.service mocked at the module boundary with an in-progress plan fixture.</t>
  </si>
  <si>
    <t>Studio — Knowledge Base Library Picker</t>
  </si>
  <si>
    <t>RAG031 — verify the KB document picker disables already-attached and non-COMPLETED documents, and that attaching a selectable document calls the attach endpoint with its id.</t>
  </si>
  <si>
    <t>StudioPage rendered via renderStudio(); studio.service mocked at the module boundary with a mixed-status library-document fixture.</t>
  </si>
  <si>
    <t>Studio — Sample JD Modal</t>
  </si>
  <si>
    <t>RAG027 — verify the Sample JD modal's Use/Close/Backdrop/Escape/Copy interactions, including a stale-closure finding where "Use this sample" fills the JD but doesn't auto-persist it.</t>
  </si>
  <si>
    <t>StudioPage rendered via renderStudio() in a draft project (no JD yet); studio.service mocked; navigator.clipboard stubbed for the Copy test; modal-close assertions poll past the 220ms CSS exit transition.</t>
  </si>
  <si>
    <t>Studio — Sources Panel</t>
  </si>
  <si>
    <t>RAG001/RAG002/RAG003/RAG004/RAG034 — verify JD paste-mode validation (Save &amp; Analyze gated on non-whitespace content) and JD upload file-type handling (accept-attribute-only, no client-side enforcement), document ingestion-status chips (Ready/Processing/Error), the Sources panel locking once questions exist, and that a freshly uploaded document starts Queued (vs. an attached KB document, which starts Ready).</t>
  </si>
  <si>
    <t>StudioPage rendered via renderStudio(); studio.service mocked at the module boundary with document/plan/question fixtures per scenario.</t>
  </si>
  <si>
    <t>History — Published Question Set Lock</t>
  </si>
  <si>
    <t>RAG028 — verify a PUBLISHED question set blocks Add/Edit/Delete/Reorder with a lock hint, while a DRAFT set remains fully editable.</t>
  </si>
  <si>
    <t>HrReviewPageClient rendered via renderWithProviders(); interview.service partially mocked (getDraft/bookmark/rename), AppShell stubbed pass-through.</t>
  </si>
  <si>
    <t>Question Builder (Manual)</t>
  </si>
  <si>
    <t>MQ001-011 — verify the manual Question Builder workspace: DRAFT-set selection/creation, client-side required-field guards, the full-field save happy path, Code/Theory/System-design content modes, save-failure recovery, and per-set session-list isolation.</t>
  </si>
  <si>
    <t>QuestionBuilderPage rendered via renderWithProviders(); hr-history.service and interview.service mocked at the module boundary.</t>
  </si>
  <si>
    <t>UI — Studio Visual/Interaction States</t>
  </si>
  <si>
    <t>UI009/UI010/UI016 — verify the JD dropzone's drag-over highlight, the AI plan-generation loading spinner, and the Generate Questions CTA's disabled "Generating…" in-flight state.</t>
  </si>
  <si>
    <t>StudioPage rendered via renderStudio(); studio.service mocked with an artificial response delay to make the in-flight state observable.</t>
  </si>
  <si>
    <t>UI — Toast Stacking &amp; Dismissal</t>
  </si>
  <si>
    <t>UI004 — verify multiple toasts stack without capping/deduping, and that the close (X) button removes a toast immediately, ahead of its auto-dismiss timer.</t>
  </si>
  <si>
    <t>StudioPage rendered via renderStudio(); studio.service mocked; navigator.clipboard stubbed (Share action); toast removal assertions poll past the 220ms CSS exit transition.</t>
  </si>
  <si>
    <t>UI — Info Tooltip</t>
  </si>
  <si>
    <t>UI015 — verify the reusable KPI info-tooltip shows on hover/focus and hides on mouse-out via opacity/pointer-events class toggling.</t>
  </si>
  <si>
    <t>InfoTooltip component rendered directly (no page context needed — the behavior is fully self-contained).</t>
  </si>
  <si>
    <t>HR Routes — No Role Gate (finding)</t>
  </si>
  <si>
    <t>RGA008 — verify HR pages render normally for a Jobseeker-role session, unlike /admin/* which does redirect (contrast with AdminAccessControl) — documents that no route guard exists under src/app/hr.</t>
  </si>
  <si>
    <t>QuestionBuilderPage rendered standalone with interviewai_user_role=JOB_SEEKER seeded in localStorage; interview/hr-history services mocked at the module boundary.</t>
  </si>
  <si>
    <t>UI — HR Upgrade Modal (via real Sidebar)</t>
  </si>
  <si>
    <t>UI003/UI013 — verify the HR upgrade modal's Close/Escape/backdrop dismissal and body-scroll lock, triggered from the real Sidebar (not a stub), plus its z-9999 stacking class with no competing z-index in the shell.</t>
  </si>
  <si>
    <t>Real AppShell rendered via renderWithAppShell() (Sidebar + TopHeader, not stubbed); studio.service (listProjects) and subscription.service mocked minimally.</t>
  </si>
  <si>
    <t>UI — Mobile Drawer &amp; Brand Logo Consistency</t>
  </si>
  <si>
    <t>UI012/UI018 — verify the mobile sidebar drawer starts hidden, opens via the hamburger, and closes via the backdrop; and that the same HireGen AI logo asset renders on both the public login page and inside the HR sidebar.</t>
  </si>
  <si>
    <t>Real AppShell rendered via renderWithAppShell(); AuthLayout+LoginForm rendered via renderWithProviders() for the login-page half of the comparison.</t>
  </si>
  <si>
    <t>UI — AppShell Dark Mode Toggle</t>
  </si>
  <si>
    <t>UI004 — verify the TopHeader's dark-mode toggle applies the "dark" class to &lt;html&gt;, persists the preference to localStorage, and survives a simulated reload (fresh ThemeProvider mount).</t>
  </si>
  <si>
    <t>StudioPage rendered inside a real AppShell with its own provider tree; theme-transition-context mocked to fire its callback synchronously (jsdom has no real CSS animationend to drive the real transition overlay).</t>
  </si>
  <si>
    <t>UI — Page-Frame Overflow Clipping</t>
  </si>
  <si>
    <t>UI003/UI007/UI010/UI017 — verify the AppShell and AuthLayout outer wrappers carry the overflow-hidden/overflow-x-hidden classes that are the actual mechanism keeping the page from scrolling sideways at any content width (jsdom has no real layout engine to measure resulting pixels).</t>
  </si>
  <si>
    <t>AppShell+QuestionBuilderPage rendered via renderWithAppShell(); AuthLayout+LoginForm rendered via renderWithProviders().</t>
  </si>
  <si>
    <t>Shared Utils — greeting/relative-time/nav/user-display/url/avatar-msg</t>
  </si>
  <si>
    <t>New coverage (no Excel scenario ID — these modules had zero prior tests) — pure functions: time-of-day greeting, relative-time formatting (en/vi), admin/HR nav active-state matching, user initials/avatar-URL resolution, URL validation, and avatar-upload error-code mapping.</t>
  </si>
  <si>
    <t>Pure function calls — no rendering, no mocking.</t>
  </si>
  <si>
    <t>Candidate &amp; Admin Utils — validation/formatting/badges</t>
  </si>
  <si>
    <t>New coverage (no Excel scenario ID) — pure functions: avatar file validation, practice-streak day-counting, dimension/category label translation (en/vi), company initials/color, admin role-key normalization/status derivation, and question/score badge-class + level helpers.</t>
  </si>
  <si>
    <t>Gamification &amp; Local-History Utils</t>
  </si>
  <si>
    <t>New coverage (no Excel scenario ID) — pure/localStorage-backed functions: XP/level/streak-intensity formatting, reward-type + relative-time labels (en/vi), login-welcome-pending session flags, and the local (browser-only) generation-history CRUD used before a session is persisted server-side.</t>
  </si>
  <si>
    <t>Pure function calls plus real (unmocked) localStorage/sessionStorage read-write — no component rendering.</t>
  </si>
  <si>
    <t>Auth Permissions &amp; Studio Citation Display</t>
  </si>
  <si>
    <t>New coverage (no Excel scenario ID) — permissions.ts as real (non-mocked) functions for the first time: setAuth/clearAuth/isAuthenticated/role storage, and JWT-payload role extraction (accessToken/access_token/token field variants, malformed-token guard); plus citation-display.ts's JD-first sorting, synthetic-JD-row injection, and excerpt truncation.</t>
  </si>
  <si>
    <t>Real localStorage read-write via the actual permissions.ts/token.service.ts/user-profile-cache.ts functions; hand-built base64 JWTs for the decode-path tests.</t>
  </si>
  <si>
    <t>Studio — Question Template Inference</t>
  </si>
  <si>
    <t>New coverage (no Excel scenario ID) — the branchiest pure-logic module in the app: explicit vs. keyword-inferred code-template detection, code-snippet extraction from 3 different sources with escape-sequence normalization, meta (lang/imageHint/diagramHint) parsing, and the History/Review question-type + difficulty mapping onto the same view-model.</t>
  </si>
  <si>
    <t>Pure function calls against hand-built StudioQuestion fixtures — no rendering, no mocking.</t>
  </si>
  <si>
    <t>Test requirement</t>
  </si>
  <si>
    <t>Number of TCs</t>
  </si>
  <si>
    <t>Testing Round</t>
  </si>
  <si>
    <t>Passed</t>
  </si>
  <si>
    <t>Failed</t>
  </si>
  <si>
    <t>Pending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</si>
  <si>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</si>
  <si>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</si>
  <si>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</si>
  <si>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</si>
  <si>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</si>
  <si>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</si>
  <si>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</si>
  <si>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</si>
  <si>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</si>
  <si>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</si>
  <si>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</si>
  <si>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Vitest Test Cases (automated, component/service-boundary mocked)</t>
  </si>
  <si>
    <t>AUTH002-1</t>
  </si>
  <si>
    <t>empty email shows "Email is required"</t>
  </si>
  <si>
    <t>Automated — tests/unit/login.test.tsx:44</t>
  </si>
  <si>
    <t>Assertions pass: empty email shows "Email is required"</t>
  </si>
  <si>
    <t>Vitest CI (khoa3107)</t>
  </si>
  <si>
    <t/>
  </si>
  <si>
    <t>AUTH002-2</t>
  </si>
  <si>
    <t>empty password shows "Password is required"</t>
  </si>
  <si>
    <t>Automated — tests/unit/login.test.tsx:54</t>
  </si>
  <si>
    <t>Assertions pass: empty password shows "Password is required"</t>
  </si>
  <si>
    <t>AUTH002-3</t>
  </si>
  <si>
    <t>wrong password (401) shows invalidCredentials toast</t>
  </si>
  <si>
    <t>Automated — tests/unit/login.test.tsx:65</t>
  </si>
  <si>
    <t>Assertions pass: wrong password (401) shows invalidCredentials toast</t>
  </si>
  <si>
    <t>AUTH002-4</t>
  </si>
  <si>
    <t>disabled account (403) shows accountDisabled toast</t>
  </si>
  <si>
    <t>Automated — tests/unit/login.test.tsx:77</t>
  </si>
  <si>
    <t>Assertions pass: disabled account (403) shows accountDisabled toast</t>
  </si>
  <si>
    <t>AUTH002-5</t>
  </si>
  <si>
    <t>unverified account opens the resend-verification dialog</t>
  </si>
  <si>
    <t>Automated — tests/unit/login.test.tsx:91</t>
  </si>
  <si>
    <t>Assertions pass: unverified account opens the resend-verification dialog</t>
  </si>
  <si>
    <t>AUTH002-6</t>
  </si>
  <si>
    <t>valid HR credentials redirect to /hr/dashboard</t>
  </si>
  <si>
    <t>Automated — tests/unit/login.test.tsx:105</t>
  </si>
  <si>
    <t>Assertions pass: valid HR credentials redirect to /hr/dashboard</t>
  </si>
  <si>
    <t>AUTH002-7</t>
  </si>
  <si>
    <t>valid Jobseeker credentials redirect to /jobseeker</t>
  </si>
  <si>
    <t>Automated — tests/unit/login.test.tsx:122</t>
  </si>
  <si>
    <t>Assertions pass: valid Jobseeker credentials redirect to /jobseeker</t>
  </si>
  <si>
    <t>UI017-2</t>
  </si>
  <si>
    <t>Tab order moves Email -&gt; Password -&gt; Sign in in a logical sequence</t>
  </si>
  <si>
    <t>Automated — tests/unit/login.test.tsx:146</t>
  </si>
  <si>
    <t>Assertions pass: Tab order moves Email -&gt; Password -&gt; Sign in in a logical sequence</t>
  </si>
  <si>
    <t>AUTH005-1</t>
  </si>
  <si>
    <t>blocks submit with empty email</t>
  </si>
  <si>
    <t>Automated — tests/unit/forgot-reset-password.test.tsx:37</t>
  </si>
  <si>
    <t>Assertions pass: blocks submit with empty email</t>
  </si>
  <si>
    <t>AUTH005-2</t>
  </si>
  <si>
    <t>rejects an invalid email format</t>
  </si>
  <si>
    <t>Automated — tests/unit/forgot-reset-password.test.tsx:51</t>
  </si>
  <si>
    <t>Assertions pass: rejects an invalid email format</t>
  </si>
  <si>
    <t>AUTH005-3</t>
  </si>
  <si>
    <t>shows the generic success screen for a valid email</t>
  </si>
  <si>
    <t>Automated — tests/unit/forgot-reset-password.test.tsx:60</t>
  </si>
  <si>
    <t>Assertions pass: shows the generic success screen for a valid email</t>
  </si>
  <si>
    <t>AUTH005-4</t>
  </si>
  <si>
    <t>shows the token-error panel when no token is in the URL</t>
  </si>
  <si>
    <t>Automated — tests/unit/forgot-reset-password.test.tsx:77</t>
  </si>
  <si>
    <t>Assertions pass: shows the token-error panel when no token is in the URL</t>
  </si>
  <si>
    <t>AUTH005-5</t>
  </si>
  <si>
    <t>blocks submit when the new password is under 8 characters</t>
  </si>
  <si>
    <t>Automated — tests/unit/forgot-reset-password.test.tsx:88</t>
  </si>
  <si>
    <t>Assertions pass: blocks submit when the new password is under 8 characters</t>
  </si>
  <si>
    <t>AUTH005-6</t>
  </si>
  <si>
    <t>blocks submit on confirm-password mismatch</t>
  </si>
  <si>
    <t>Automated — tests/unit/forgot-reset-password.test.tsx:99</t>
  </si>
  <si>
    <t>Assertions pass: blocks submit on confirm-password mismatch</t>
  </si>
  <si>
    <t>AUTH005-7</t>
  </si>
  <si>
    <t>an expired/invalid token (400) shows the token-error panel</t>
  </si>
  <si>
    <t>Automated — tests/unit/forgot-reset-password.test.tsx:109</t>
  </si>
  <si>
    <t>Assertions pass: an expired/invalid token (400) shows the token-error panel</t>
  </si>
  <si>
    <t>AUTH005-8</t>
  </si>
  <si>
    <t>valid submit redirects to /login?reset=success</t>
  </si>
  <si>
    <t>Automated — tests/unit/forgot-reset-password.test.tsx:124</t>
  </si>
  <si>
    <t>Assertions pass: valid submit redirects to /login?reset=success</t>
  </si>
  <si>
    <t>AUTH004-1</t>
  </si>
  <si>
    <t>no email in URL shows the missing-email view</t>
  </si>
  <si>
    <t>Automated — tests/unit/verify-email.test.tsx:43</t>
  </si>
  <si>
    <t>Assertions pass: no email in URL shows the missing-email view</t>
  </si>
  <si>
    <t>AUTH004-2</t>
  </si>
  <si>
    <t>correct OTP shows the success panel and redirects to /login</t>
  </si>
  <si>
    <t>Automated — tests/unit/verify-email.test.tsx:49</t>
  </si>
  <si>
    <t>Assertions pass: correct OTP shows the success panel and redirects to /login</t>
  </si>
  <si>
    <t>AUTH004-3</t>
  </si>
  <si>
    <t>wrong OTP shows an error and clears the boxes</t>
  </si>
  <si>
    <t>Automated — tests/unit/verify-email.test.tsx:66</t>
  </si>
  <si>
    <t>Assertions pass: wrong OTP shows an error and clears the boxes</t>
  </si>
  <si>
    <t>AUTH004-4</t>
  </si>
  <si>
    <t>resend fires immediately and then disables with a cooldown</t>
  </si>
  <si>
    <t>Automated — tests/unit/verify-email.test.tsx:82</t>
  </si>
  <si>
    <t>Assertions pass: resend fires immediately and then disables with a cooldown</t>
  </si>
  <si>
    <t>AUTH004-5</t>
  </si>
  <si>
    <t>pasting 6 digits at once auto-fills all boxes</t>
  </si>
  <si>
    <t>Automated — tests/unit/verify-email.test.tsx:95</t>
  </si>
  <si>
    <t>Assertions pass: pasting 6 digits at once auto-fills all boxes</t>
  </si>
  <si>
    <t>AUTH001-1</t>
  </si>
  <si>
    <t>blocks Continue when full name is empty</t>
  </si>
  <si>
    <t>Automated — tests/unit/register-hr.test.tsx:47</t>
  </si>
  <si>
    <t>Assertions pass: blocks Continue when full name is empty</t>
  </si>
  <si>
    <t>AUTH001-2</t>
  </si>
  <si>
    <t>blocks Continue when password is under 8 characters</t>
  </si>
  <si>
    <t>Automated — tests/unit/register-hr.test.tsx:56</t>
  </si>
  <si>
    <t>Assertions pass: blocks Continue when password is under 8 characters</t>
  </si>
  <si>
    <t>AUTH001-3</t>
  </si>
  <si>
    <t>blocks Continue when password is missing a complexity class</t>
  </si>
  <si>
    <t>Automated — tests/unit/register-hr.test.tsx:67</t>
  </si>
  <si>
    <t>Assertions pass: blocks Continue when password is missing a complexity class</t>
  </si>
  <si>
    <t>AUTH001-4</t>
  </si>
  <si>
    <t>blocks Continue on confirm-password mismatch</t>
  </si>
  <si>
    <t>Automated — tests/unit/register-hr.test.tsx:82</t>
  </si>
  <si>
    <t>Assertions pass: blocks Continue on confirm-password mismatch</t>
  </si>
  <si>
    <t>AUTH001-5</t>
  </si>
  <si>
    <t>valid input advances to step 2</t>
  </si>
  <si>
    <t>Automated — tests/unit/register-hr.test.tsx:93</t>
  </si>
  <si>
    <t>Assertions pass: valid input advances to step 2</t>
  </si>
  <si>
    <t>AUTH001-6</t>
  </si>
  <si>
    <t>blocks submit when not agreed to terms</t>
  </si>
  <si>
    <t>Automated — tests/unit/register-hr.test.tsx:103</t>
  </si>
  <si>
    <t>Assertions pass: blocks submit when not agreed to terms</t>
  </si>
  <si>
    <t>AUTH001-7</t>
  </si>
  <si>
    <t>blocks submit when company name or job title is empty</t>
  </si>
  <si>
    <t>Automated — tests/unit/register-hr.test.tsx:113</t>
  </si>
  <si>
    <t>Assertions pass: blocks submit when company name or job title is empty</t>
  </si>
  <si>
    <t>AUTH001-8</t>
  </si>
  <si>
    <t>valid submit redirects to /verify-email</t>
  </si>
  <si>
    <t>Automated — tests/unit/register-hr.test.tsx:123</t>
  </si>
  <si>
    <t>Assertions pass: valid submit redirects to /verify-email</t>
  </si>
  <si>
    <t>AUTH001-9</t>
  </si>
  <si>
    <t>duplicate email (409) jumps back to step 1 with an inline error</t>
  </si>
  <si>
    <t>Automated — tests/unit/register-hr.test.tsx:139</t>
  </si>
  <si>
    <t>Assertions pass: duplicate email (409) jumps back to step 1 with an inline error</t>
  </si>
  <si>
    <t>AUTH003-1</t>
  </si>
  <si>
    <t>Automated — tests/unit/register-jobseeker.test.tsx:48</t>
  </si>
  <si>
    <t>AUTH003-2</t>
  </si>
  <si>
    <t>blocks Continue on invalid email format</t>
  </si>
  <si>
    <t>Automated — tests/unit/register-jobseeker.test.tsx:57</t>
  </si>
  <si>
    <t>Assertions pass: blocks Continue on invalid email format</t>
  </si>
  <si>
    <t>AUTH003-3</t>
  </si>
  <si>
    <t>Automated — tests/unit/register-jobseeker.test.tsx:68</t>
  </si>
  <si>
    <t>AUTH003-4</t>
  </si>
  <si>
    <t>Automated — tests/unit/register-jobseeker.test.tsx:79</t>
  </si>
  <si>
    <t>AUTH003-5</t>
  </si>
  <si>
    <t>Automated — tests/unit/register-jobseeker.test.tsx:94</t>
  </si>
  <si>
    <t>AUTH003-6</t>
  </si>
  <si>
    <t>Automated — tests/unit/register-jobseeker.test.tsx:105</t>
  </si>
  <si>
    <t>AUTH003-7</t>
  </si>
  <si>
    <t>blocks submit when target role, seniority, and tech stack are all empty</t>
  </si>
  <si>
    <t>Automated — tests/unit/register-jobseeker.test.tsx:115</t>
  </si>
  <si>
    <t>Assertions pass: blocks submit when target role, seniority, and tech stack are all empty</t>
  </si>
  <si>
    <t>AUTH003-8</t>
  </si>
  <si>
    <t>Automated — tests/unit/register-jobseeker.test.tsx:133</t>
  </si>
  <si>
    <t>AUTH003-9</t>
  </si>
  <si>
    <t>Automated — tests/unit/register-jobseeker.test.tsx:148</t>
  </si>
  <si>
    <t>AUTH006-1</t>
  </si>
  <si>
    <t>unauthenticated user is redirected to /login</t>
  </si>
  <si>
    <t>Automated — tests/unit/admin-access-control.test.tsx:62</t>
  </si>
  <si>
    <t>Assertions pass: unauthenticated user is redirected to /login</t>
  </si>
  <si>
    <t>AUTH006-2</t>
  </si>
  <si>
    <t>HR role is denied with a toast and redirected to /hr/dashboard</t>
  </si>
  <si>
    <t>Automated — tests/unit/admin-access-control.test.tsx:72</t>
  </si>
  <si>
    <t>Assertions pass: HR role is denied with a toast and redirected to /hr/dashboard</t>
  </si>
  <si>
    <t>AUTH006-3</t>
  </si>
  <si>
    <t>Jobseeker role is denied with a toast and redirected to /jobseeker</t>
  </si>
  <si>
    <t>Automated — tests/unit/admin-access-control.test.tsx:88</t>
  </si>
  <si>
    <t>Assertions pass: Jobseeker role is denied with a toast and redirected to /jobseeker</t>
  </si>
  <si>
    <t>AUTH006-4</t>
  </si>
  <si>
    <t>Admin role renders the guarded page normally</t>
  </si>
  <si>
    <t>Automated — tests/unit/admin-access-control.test.tsx:104</t>
  </si>
  <si>
    <t>Assertions pass: Admin role renders the guarded page normally</t>
  </si>
  <si>
    <t>AUTH008-1</t>
  </si>
  <si>
    <t>search filters the visible list</t>
  </si>
  <si>
    <t>Automated — tests/unit/admin-manage-users.test.tsx:52</t>
  </si>
  <si>
    <t>Assertions pass: search filters the visible list</t>
  </si>
  <si>
    <t>AUTH008-2</t>
  </si>
  <si>
    <t>Clear filters restores the full list</t>
  </si>
  <si>
    <t>Automated — tests/unit/admin-manage-users.test.tsx:68</t>
  </si>
  <si>
    <t>Assertions pass: Clear filters restores the full list</t>
  </si>
  <si>
    <t>AUTH008-3</t>
  </si>
  <si>
    <t>deactivating a user shows a confirm dialog, then a success toast</t>
  </si>
  <si>
    <t>Automated — tests/unit/admin-manage-users.test.tsx:82</t>
  </si>
  <si>
    <t>Assertions pass: deactivating a user shows a confirm dialog, then a success toast</t>
  </si>
  <si>
    <t>AUTH008-4</t>
  </si>
  <si>
    <t>reactivating a suspended user shows the reactivate confirm dialog</t>
  </si>
  <si>
    <t>Automated — tests/unit/admin-manage-users.test.tsx:103</t>
  </si>
  <si>
    <t>Assertions pass: reactivating a suspended user shows the reactivate confirm dialog</t>
  </si>
  <si>
    <t>AUTH008-5</t>
  </si>
  <si>
    <t>list load failure shows an error with a working Retry</t>
  </si>
  <si>
    <t>Automated — tests/unit/admin-manage-users.test.tsx:124</t>
  </si>
  <si>
    <t>Assertions pass: list load failure shows an error with a working Retry</t>
  </si>
  <si>
    <t>AUTH008-6</t>
  </si>
  <si>
    <t>numbered pagination renders page buttons and navigates on click</t>
  </si>
  <si>
    <t>Automated — tests/unit/admin-manage-users.test.tsx:136</t>
  </si>
  <si>
    <t>Assertions pass: numbered pagination renders page buttons and navigates on click</t>
  </si>
  <si>
    <t>AUTH008-7</t>
  </si>
  <si>
    <t>ellipsis separators appear once total pages exceeds 7</t>
  </si>
  <si>
    <t>Automated — tests/unit/admin-manage-users.test.tsx:161</t>
  </si>
  <si>
    <t>Assertions pass: ellipsis separators appear once total pages exceeds 7</t>
  </si>
  <si>
    <t>UI014-1</t>
  </si>
  <si>
    <t>the users table wraps in its own horizontal scroll container instead of widening the page</t>
  </si>
  <si>
    <t>Automated — tests/unit/admin-manage-users.test.tsx:188</t>
  </si>
  <si>
    <t>Assertions pass: the users table wraps in its own horizontal scroll container instead of widening the page</t>
  </si>
  <si>
    <t>RGA016-1</t>
  </si>
  <si>
    <t>a 403 starting a session shows the friendly "no access" message, not a raw error</t>
  </si>
  <si>
    <t>Automated — tests/unit/candidate-forbidden.test.tsx:68</t>
  </si>
  <si>
    <t>Assertions pass: a 403 starting a session shows the friendly "no access" message, not a raw error</t>
  </si>
  <si>
    <t>RGA016-2</t>
  </si>
  <si>
    <t>a plain error falls through to the generic start-error state instead of the forbidden message</t>
  </si>
  <si>
    <t>Automated — tests/unit/candidate-forbidden.test.tsx:80</t>
  </si>
  <si>
    <t>Assertions pass: a plain error falls through to the generic start-error state instead of the forbidden message</t>
  </si>
  <si>
    <t>AUTH007-1</t>
  </si>
  <si>
    <t>blocks save when full name is cleared to empty</t>
  </si>
  <si>
    <t>Automated — tests/unit/hr-profile.test.tsx:61</t>
  </si>
  <si>
    <t>Assertions pass: blocks save when full name is cleared to empty</t>
  </si>
  <si>
    <t>AUTH007-2</t>
  </si>
  <si>
    <t>invalid LinkedIn URL shows an inline error and disables Save</t>
  </si>
  <si>
    <t>Automated — tests/unit/hr-profile.test.tsx:68</t>
  </si>
  <si>
    <t>Assertions pass: invalid LinkedIn URL shows an inline error and disables Save</t>
  </si>
  <si>
    <t>AUTH007-3</t>
  </si>
  <si>
    <t>valid edits save successfully</t>
  </si>
  <si>
    <t>Automated — tests/unit/hr-profile.test.tsx:77</t>
  </si>
  <si>
    <t>Assertions pass: valid edits save successfully</t>
  </si>
  <si>
    <t>AUTH007-4</t>
  </si>
  <si>
    <t>Cancel discards unsaved edits</t>
  </si>
  <si>
    <t>Automated — tests/unit/hr-profile.test.tsx:90</t>
  </si>
  <si>
    <t>Assertions pass: Cancel discards unsaved edits</t>
  </si>
  <si>
    <t>AUTH007-5</t>
  </si>
  <si>
    <t>email field is always read-only</t>
  </si>
  <si>
    <t>Automated — tests/unit/hr-profile.test.tsx:102</t>
  </si>
  <si>
    <t>Assertions pass: email field is always read-only</t>
  </si>
  <si>
    <t>AUTH007-6</t>
  </si>
  <si>
    <t>avatar upload rejects a non-image file type</t>
  </si>
  <si>
    <t>Automated — tests/unit/hr-profile.test.tsx:110</t>
  </si>
  <si>
    <t>Assertions pass: avatar upload rejects a non-image file type</t>
  </si>
  <si>
    <t>AUTH007-7</t>
  </si>
  <si>
    <t>avatar upload rejects a file over 2MB</t>
  </si>
  <si>
    <t>Automated — tests/unit/hr-profile.test.tsx:122</t>
  </si>
  <si>
    <t>Assertions pass: avatar upload rejects a file over 2MB</t>
  </si>
  <si>
    <t>AUTH007-8</t>
  </si>
  <si>
    <t>a valid avatar uploads and updates the preview immediately</t>
  </si>
  <si>
    <t>Automated — tests/unit/hr-profile.test.tsx:131</t>
  </si>
  <si>
    <t>Assertions pass: a valid avatar uploads and updates the preview immediately</t>
  </si>
  <si>
    <t>RGA001-1</t>
  </si>
  <si>
    <t>a 401 followed by a successful refresh transparently retries the request</t>
  </si>
  <si>
    <t>Automated — tests/unit/auth-interceptor.test.ts:94</t>
  </si>
  <si>
    <t>Assertions pass: a 401 followed by a successful refresh transparently retries the request</t>
  </si>
  <si>
    <t>RGA002-1</t>
  </si>
  <si>
    <t>a 401 with a failed refresh clears auth and redirects to login</t>
  </si>
  <si>
    <t>Automated — tests/unit/auth-interceptor.test.ts:110</t>
  </si>
  <si>
    <t>Assertions pass: a 401 with a failed refresh clears auth and redirects to login</t>
  </si>
  <si>
    <t>RGA003-1</t>
  </si>
  <si>
    <t>no refresh token at all skips the network call and redirects immediately</t>
  </si>
  <si>
    <t>Automated — tests/unit/auth-interceptor.test.ts:120</t>
  </si>
  <si>
    <t>Assertions pass: no refresh token at all skips the network call and redirects immediately</t>
  </si>
  <si>
    <t>RGA004-1</t>
  </si>
  <si>
    <t>a 401 on the refresh endpoint itself clears auth and redirects, without retrying refresh again</t>
  </si>
  <si>
    <t>Automated — tests/unit/auth-interceptor.test.ts:135</t>
  </si>
  <si>
    <t>Assertions pass: a 401 on the refresh endpoint itself clears auth and redirects, without retrying refresh again</t>
  </si>
  <si>
    <t>RGA006-1</t>
  </si>
  <si>
    <t>401 on a public auth endpoint (login) does not trigger refresh/redirect</t>
  </si>
  <si>
    <t>Automated — tests/unit/auth-interceptor.test.ts:150</t>
  </si>
  <si>
    <t>Assertions pass: 401 on a public auth endpoint (login) does not trigger refresh/redirect</t>
  </si>
  <si>
    <t>RGA005-1a</t>
  </si>
  <si>
    <t>a 403 response is not special-cased — no refresh attempt, no redirect</t>
  </si>
  <si>
    <t>Automated — tests/unit/auth-interceptor.test.ts:164</t>
  </si>
  <si>
    <t>Assertions pass: a 403 response is not special-cased — no refresh attempt, no redirect</t>
  </si>
  <si>
    <t>RGA005-1b</t>
  </si>
  <si>
    <t>a 401 on an already-retried request clears auth and redirects, without a second refresh</t>
  </si>
  <si>
    <t>Automated — tests/unit/auth-interceptor.test.ts:178</t>
  </si>
  <si>
    <t>Assertions pass: a 401 on an already-retried request clears auth and redirects, without a second refresh</t>
  </si>
  <si>
    <t>RGA017-1 (finding)</t>
  </si>
  <si>
    <t>the interceptor reads tokens via getAccessToken/getRefreshToken, not a cookie</t>
  </si>
  <si>
    <t>Automated — tests/unit/auth-interceptor.test.ts:197</t>
  </si>
  <si>
    <t>Assertions pass: the interceptor reads tokens via getAccessToken/getRefreshToken, not a cookie</t>
  </si>
  <si>
    <t>Documents an existing app behavior/finding, not a test-framework issue.</t>
  </si>
  <si>
    <t>RGA019-1</t>
  </si>
  <si>
    <t>a failed refresh triggers clearAuth() (which is responsible for clearing the cached profile)</t>
  </si>
  <si>
    <t>Automated — tests/unit/auth-interceptor.test.ts:212</t>
  </si>
  <si>
    <t>Assertions pass: a failed refresh triggers clearAuth() (which is responsible for clearing the cached profile)</t>
  </si>
  <si>
    <t>RGA020-1</t>
  </si>
  <si>
    <t>a successful refresh passes the server's rotated tokens to setAuthTokens</t>
  </si>
  <si>
    <t>Automated — tests/unit/auth-interceptor.test.ts:221</t>
  </si>
  <si>
    <t>Assertions pass: a successful refresh passes the server's rotated tokens to setAuthTokens</t>
  </si>
  <si>
    <t>RGA007-1</t>
  </si>
  <si>
    <t>two concurrent 401s share a single de-duped refresh call</t>
  </si>
  <si>
    <t>Automated — tests/unit/auth-interceptor.test.ts:235</t>
  </si>
  <si>
    <t>Assertions pass: two concurrent 401s share a single de-duped refresh call</t>
  </si>
  <si>
    <t>RGA011-1 (finding)</t>
  </si>
  <si>
    <t>a bare 5xx with no error body surfaces axios's raw technical message</t>
  </si>
  <si>
    <t>Automated — tests/unit/error-interceptor.test.ts:15</t>
  </si>
  <si>
    <t>Assertions pass: a bare 5xx with no error body surfaces axios's raw technical message</t>
  </si>
  <si>
    <t>a response body with a message field is preferred over the raw axios message</t>
  </si>
  <si>
    <t>Automated — tests/unit/error-interceptor.test.ts:22</t>
  </si>
  <si>
    <t>Assertions pass: a response body with a message field is preferred over the raw axios message</t>
  </si>
  <si>
    <t>a known subscription errorCode maps to its canned message</t>
  </si>
  <si>
    <t>Automated — tests/unit/error-interceptor.test.ts:30</t>
  </si>
  <si>
    <t>Assertions pass: a known subscription errorCode maps to its canned message</t>
  </si>
  <si>
    <t>a completely bodyless/non-axios error falls back to the generic message</t>
  </si>
  <si>
    <t>Automated — tests/unit/error-interceptor.test.ts:40</t>
  </si>
  <si>
    <t>Assertions pass: a completely bodyless/non-axios error falls back to the generic message</t>
  </si>
  <si>
    <t>RAG010-ST-1</t>
  </si>
  <si>
    <t>Free plan in cooldown shows a full-page blocking alertdialog</t>
  </si>
  <si>
    <t>Automated — tests/unit/studio-quota.test.tsx:52</t>
  </si>
  <si>
    <t>Assertions pass: Free plan in cooldown shows a full-page blocking alertdialog</t>
  </si>
  <si>
    <t>RAG010-ST-2</t>
  </si>
  <si>
    <t>the blocking dialog covers the content area</t>
  </si>
  <si>
    <t>Automated — tests/unit/studio-quota.test.tsx:64</t>
  </si>
  <si>
    <t>Assertions pass: the blocking dialog covers the content area</t>
  </si>
  <si>
    <t>RAG010-ST-3</t>
  </si>
  <si>
    <t>"Create manually" navigates to /hr/generate-question/manual</t>
  </si>
  <si>
    <t>Automated — tests/unit/studio-quota.test.tsx:71</t>
  </si>
  <si>
    <t>Assertions pass: "Create manually" navigates to /hr/generate-question/manual</t>
  </si>
  <si>
    <t>RAG010-ST-4</t>
  </si>
  <si>
    <t>no dialog and the Studio page is fully usable when quota is not exceeded</t>
  </si>
  <si>
    <t>Automated — tests/unit/studio-quota.test.tsx:80</t>
  </si>
  <si>
    <t>Assertions pass: no dialog and the Studio page is fully usable when quota is not exceeded</t>
  </si>
  <si>
    <t>RAG010-ST-5</t>
  </si>
  <si>
    <t>the blocking dialog is suppressed while a generation run is already in flight</t>
  </si>
  <si>
    <t>Automated — tests/unit/studio-quota.test.tsx:87</t>
  </si>
  <si>
    <t>Assertions pass: the blocking dialog is suppressed while a generation run is already in flight</t>
  </si>
  <si>
    <t>RAG010-ST-6</t>
  </si>
  <si>
    <t>the dialog surfaces automatically once the in-flight run completes</t>
  </si>
  <si>
    <t>Automated — tests/unit/studio-quota.test.tsx:100</t>
  </si>
  <si>
    <t>Assertions pass: the dialog surfaces automatically once the in-flight run completes</t>
  </si>
  <si>
    <t>RAG039-1 / RAG037-1</t>
  </si>
  <si>
    <t>before any plan exists, status reads "Enter JD to start" and Create Plan is disabled — no Questions tab</t>
  </si>
  <si>
    <t>Automated — tests/unit/studio-cta-states.test.tsx:45</t>
  </si>
  <si>
    <t>Assertions pass: before any plan exists, status reads "Enter JD to start" and Create Plan is disabled — no Questions tab</t>
  </si>
  <si>
    <t>RAG037-2</t>
  </si>
  <si>
    <t>an unapproved plan shows "Approve Plan" as the CTA</t>
  </si>
  <si>
    <t>Automated — tests/unit/studio-cta-states.test.tsx:56</t>
  </si>
  <si>
    <t>Assertions pass: an unapproved plan shows "Approve Plan" as the CTA</t>
  </si>
  <si>
    <t>RAG037-3 / RAG039-2</t>
  </si>
  <si>
    <t>an approved plan with no questions yet shows "Generate Questions" — still no Questions tab</t>
  </si>
  <si>
    <t>Automated — tests/unit/studio-cta-states.test.tsx:70</t>
  </si>
  <si>
    <t>Assertions pass: an approved plan with no questions yet shows "Generate Questions" — still no Questions tab</t>
  </si>
  <si>
    <t>RAG037-4</t>
  </si>
  <si>
    <t>once questions exist, the CTA becomes a disabled "Completed" state</t>
  </si>
  <si>
    <t>Automated — tests/unit/studio-cta-states.test.tsx:85</t>
  </si>
  <si>
    <t>Assertions pass: once questions exist, the CTA becomes a disabled "Completed" state</t>
  </si>
  <si>
    <t>RAG030-1</t>
  </si>
  <si>
    <t>a network failure on Apply to plan surfaces an error toast and the button recovers</t>
  </si>
  <si>
    <t>Automated — tests/unit/studio-cta-states.test.tsx:100</t>
  </si>
  <si>
    <t>Assertions pass: a network failure on Apply to plan surfaces an error toast and the button recovers</t>
  </si>
  <si>
    <t>RAG005-ST</t>
  </si>
  <si>
    <t>happy-path generate flow shows the RAG-started and questions-generated toasts</t>
  </si>
  <si>
    <t>Automated — tests/unit/studio-flow.test.tsx:61</t>
  </si>
  <si>
    <t>Assertions pass: happy-path generate flow shows the RAG-started and questions-generated toasts</t>
  </si>
  <si>
    <t>RAG006-ST</t>
  </si>
  <si>
    <t>a QUESTIONS_ALREADY_EXIST conflict auto-retries with replaceExisting</t>
  </si>
  <si>
    <t>Automated — tests/unit/studio-flow.test.tsx:83</t>
  </si>
  <si>
    <t>Assertions pass: a QUESTIONS_ALREADY_EXIST conflict auto-retries with replaceExisting</t>
  </si>
  <si>
    <t>RAG007-ST</t>
  </si>
  <si>
    <t>a Failed generation run surfaces the RAG error code/message as a toast</t>
  </si>
  <si>
    <t>Automated — tests/unit/studio-flow.test.tsx:112</t>
  </si>
  <si>
    <t>Assertions pass: a Failed generation run surfaces the RAG error code/message as a toast</t>
  </si>
  <si>
    <t>RGA-SUB-1</t>
  </si>
  <si>
    <t>a QUOTA_EXCEEDED errorCode on the generate call maps to the canned subscription message</t>
  </si>
  <si>
    <t>Automated — tests/unit/studio-flow.test.tsx:132</t>
  </si>
  <si>
    <t>Assertions pass: a QUOTA_EXCEEDED errorCode on the generate call maps to the canned subscription message</t>
  </si>
  <si>
    <t>RGA-SUB-2</t>
  </si>
  <si>
    <t>an unrecognized errorCode falls back to the raw backend detail message</t>
  </si>
  <si>
    <t>Automated — tests/unit/studio-flow.test.tsx:151</t>
  </si>
  <si>
    <t>Assertions pass: an unrecognized errorCode falls back to the raw backend detail message</t>
  </si>
  <si>
    <t>RAG012-ST-1</t>
  </si>
  <si>
    <t>editing a generated question's content persists via PUT and re-renders</t>
  </si>
  <si>
    <t>Automated — tests/unit/studio-flow.test.tsx:170</t>
  </si>
  <si>
    <t>Assertions pass: editing a generated question's content persists via PUT and re-renders</t>
  </si>
  <si>
    <t>RAG012-ST-2</t>
  </si>
  <si>
    <t>deleting a question asks for confirmation, calls DELETE, and removes it from the list</t>
  </si>
  <si>
    <t>Automated — tests/unit/studio-flow.test.tsx:194</t>
  </si>
  <si>
    <t>Assertions pass: deleting a question asks for confirmation, calls DELETE, and removes it from the list</t>
  </si>
  <si>
    <t>RAG012-ST-3</t>
  </si>
  <si>
    <t>regenerating a question calls the regenerate endpoint then re-fetches the list</t>
  </si>
  <si>
    <t>Automated — tests/unit/studio-flow.test.tsx:213</t>
  </si>
  <si>
    <t>Assertions pass: regenerating a question calls the regenerate endpoint then re-fetches the list</t>
  </si>
  <si>
    <t>RAG013-ST-3</t>
  </si>
  <si>
    <t>Share creates a link, copies it to clipboard, and shows a confirmation toast</t>
  </si>
  <si>
    <t>Automated — tests/unit/studio-flow.test.tsx:239</t>
  </si>
  <si>
    <t>Assertions pass: Share creates a link, copies it to clipboard, and shows a confirmation toast</t>
  </si>
  <si>
    <t>RAG013-ST-1</t>
  </si>
  <si>
    <t>Save draft persists and shows a confirmation toast</t>
  </si>
  <si>
    <t>Automated — tests/unit/studio-flow.test.tsx:260</t>
  </si>
  <si>
    <t>Assertions pass: Save draft persists and shows a confirmation toast</t>
  </si>
  <si>
    <t>RAG013-ST-2</t>
  </si>
  <si>
    <t>Publish then unpublish toggles state and fires the correct endpoints</t>
  </si>
  <si>
    <t>Automated — tests/unit/studio-flow.test.tsx:277</t>
  </si>
  <si>
    <t>Assertions pass: Publish then unpublish toggles state and fires the correct endpoints</t>
  </si>
  <si>
    <t>RAG029-1</t>
  </si>
  <si>
    <t>"New Set" creates a fresh project and resets JD/plan/settings/questions to blank</t>
  </si>
  <si>
    <t>Automated — tests/unit/studio-flow.test.tsx:306</t>
  </si>
  <si>
    <t>Assertions pass: "New Set" creates a fresh project and resets JD/plan/settings/questions to blank</t>
  </si>
  <si>
    <t>toggling "Include sample answers" off persists via PUT settings</t>
  </si>
  <si>
    <t>Automated — tests/unit/studio-flow.test.tsx:330</t>
  </si>
  <si>
    <t>Assertions pass: toggling "Include sample answers" off persists via PUT settings</t>
  </si>
  <si>
    <t>RAG008-1</t>
  </si>
  <si>
    <t>a generation run stuck "Generating" for the full 5-minute deadline shows the timeout recovery message</t>
  </si>
  <si>
    <t>Automated — tests/unit/studio-flow.test.tsx:349</t>
  </si>
  <si>
    <t>Assertions pass: a generation run stuck "Generating" for the full 5-minute deadline shows the timeout recovery message</t>
  </si>
  <si>
    <t>RAG032-1</t>
  </si>
  <si>
    <t>two sequential chat refinements each call refinePlan and both messages accumulate in history</t>
  </si>
  <si>
    <t>Automated — tests/unit/studio-chat-refine.test.tsx:38</t>
  </si>
  <si>
    <t>Assertions pass: two sequential chat refinements each call refinePlan and both messages accumulate in history</t>
  </si>
  <si>
    <t>RAG032-2</t>
  </si>
  <si>
    <t>once the plan is Approved, the chat composer is locked with a distinct placeholder</t>
  </si>
  <si>
    <t>Automated — tests/unit/studio-chat-refine.test.tsx:78</t>
  </si>
  <si>
    <t>Assertions pass: once the plan is Approved, the chat composer is locked with a distinct placeholder</t>
  </si>
  <si>
    <t>RAG031-1</t>
  </si>
  <si>
    <t>an already-attached document shows "Attached" and cannot be re-picked</t>
  </si>
  <si>
    <t>Automated — tests/unit/studio-kb-library.test.tsx:52</t>
  </si>
  <si>
    <t>Assertions pass: an already-attached document shows "Attached" and cannot be re-picked</t>
  </si>
  <si>
    <t>RAG031-2</t>
  </si>
  <si>
    <t>a still-processing (non-COMPLETED) document is not selectable either</t>
  </si>
  <si>
    <t>Automated — tests/unit/studio-kb-library.test.tsx:58</t>
  </si>
  <si>
    <t>Assertions pass: a still-processing (non-COMPLETED) document is not selectable either</t>
  </si>
  <si>
    <t>RAG031-3</t>
  </si>
  <si>
    <t>picking a COMPLETED, not-yet-attached doc and clicking Attach calls the attach endpoint with its id</t>
  </si>
  <si>
    <t>Automated — tests/unit/studio-kb-library.test.tsx:65</t>
  </si>
  <si>
    <t>Assertions pass: picking a COMPLETED, not-yet-attached doc and clicking Attach calls the attach endpoint with its id</t>
  </si>
  <si>
    <t>RAG027-1 (finding)</t>
  </si>
  <si>
    <t>"Use this sample" fills the JD textarea but does NOT persist it — a stale-closure bug</t>
  </si>
  <si>
    <t>Automated — tests/unit/studio-sample-jd.test.tsx:50</t>
  </si>
  <si>
    <t>Assertions pass: "Use this sample" fills the JD textarea but does NOT persist it — a stale-closure bug</t>
  </si>
  <si>
    <t>RAG027-2</t>
  </si>
  <si>
    <t>the close (X) button dismisses the modal without touching the JD field</t>
  </si>
  <si>
    <t>Automated — tests/unit/studio-sample-jd.test.tsx:87</t>
  </si>
  <si>
    <t>Assertions pass: the close (X) button dismisses the modal without touching the JD field</t>
  </si>
  <si>
    <t>RAG027-3</t>
  </si>
  <si>
    <t>clicking the backdrop also dismisses the modal</t>
  </si>
  <si>
    <t>Automated — tests/unit/studio-sample-jd.test.tsx:98</t>
  </si>
  <si>
    <t>Assertions pass: clicking the backdrop also dismisses the modal</t>
  </si>
  <si>
    <t>RAG027-4 (finding)</t>
  </si>
  <si>
    <t>pressing Escape does NOT close the Sample JD modal — unlike the HR upgrade modal</t>
  </si>
  <si>
    <t>Automated — tests/unit/studio-sample-jd.test.tsx:112</t>
  </si>
  <si>
    <t>Assertions pass: pressing Escape does NOT close the Sample JD modal — unlike the HR upgrade modal</t>
  </si>
  <si>
    <t>RAG027-5</t>
  </si>
  <si>
    <t>the Copy button copies the sample JD to the clipboard and shows "Copied" feedback that reverts</t>
  </si>
  <si>
    <t>Automated — tests/unit/studio-sample-jd.test.tsx:121</t>
  </si>
  <si>
    <t>Assertions pass: the Copy button copies the sample JD to the clipboard and shows "Copied" feedback that reverts</t>
  </si>
  <si>
    <t>RAG003-1</t>
  </si>
  <si>
    <t>document status chips reflect Ready/Processing/Error with correct color and icon</t>
  </si>
  <si>
    <t>Automated — tests/unit/studio-sources-panel.test.tsx:38</t>
  </si>
  <si>
    <t>Assertions pass: document status chips reflect Ready/Processing/Error with correct color and icon</t>
  </si>
  <si>
    <t>RAG004-1</t>
  </si>
  <si>
    <t>once questions are generated, the Sources panel locks — JD field disabled with a lock hint</t>
  </si>
  <si>
    <t>Automated — tests/unit/studio-sources-panel.test.tsx:62</t>
  </si>
  <si>
    <t>Assertions pass: once questions are generated, the Sources panel locks — JD field disabled with a lock hint</t>
  </si>
  <si>
    <t>RAG004-2</t>
  </si>
  <si>
    <t>before any questions exist, the Sources panel is fully editable (no lock overlay)</t>
  </si>
  <si>
    <t>Automated — tests/unit/studio-sources-panel.test.tsx:77</t>
  </si>
  <si>
    <t>Assertions pass: before any questions exist, the Sources panel is fully editable (no lock overlay)</t>
  </si>
  <si>
    <t>RAG034-1</t>
  </si>
  <si>
    <t>uploading a brand-new document starts it at Queued/Processing — unlike attach-from-library, which starts already Completed</t>
  </si>
  <si>
    <t>Automated — tests/unit/studio-sources-panel.test.tsx:86</t>
  </si>
  <si>
    <t>Assertions pass: uploading a brand-new document starts it at Queued/Processing — unlike attach-from-library, which starts already Completed</t>
  </si>
  <si>
    <t>RAG001-1</t>
  </si>
  <si>
    <t>Save &amp; Analyze is disabled until the JD textarea has real (non-whitespace) content</t>
  </si>
  <si>
    <t>Automated — tests/unit/studio-sources-panel.test.tsx:118</t>
  </si>
  <si>
    <t>Assertions pass: Save &amp; Analyze is disabled until the JD textarea has real (non-whitespace) content</t>
  </si>
  <si>
    <t>RAG001-2</t>
  </si>
  <si>
    <t>clearing the JD textarea back to empty disables Save &amp; Analyze again</t>
  </si>
  <si>
    <t>Automated — tests/unit/studio-sources-panel.test.tsx:136</t>
  </si>
  <si>
    <t>Assertions pass: clearing the JD textarea back to empty disables Save &amp; Analyze again</t>
  </si>
  <si>
    <t>RAG002-1</t>
  </si>
  <si>
    <t>a valid PDF is forwarded to the upload service and its content/summary populate the panel</t>
  </si>
  <si>
    <t>Automated — tests/unit/studio-sources-panel.test.tsx:152</t>
  </si>
  <si>
    <t>Assertions pass: a valid PDF is forwarded to the upload service and its content/summary populate the panel</t>
  </si>
  <si>
    <t>RAG002-2 (finding)</t>
  </si>
  <si>
    <t>the .pdf/.docx/.txt/.jpg/.jpeg/.png restriction is only the file input's "accept" attribute — nothing in the app rejects a disallowed file type before forwarding it to the upload service</t>
  </si>
  <si>
    <t>Automated — tests/unit/studio-sources-panel.test.tsx:171</t>
  </si>
  <si>
    <t>Assertions pass: the .pdf/.docx/.txt/.jpg/.jpeg/.png restriction is only the file input's "accept" attribute — nothing in the app rejects a disallowed file type before forwarding it to the upload service</t>
  </si>
  <si>
    <t>RAG028-1</t>
  </si>
  <si>
    <t>a PUBLISHED question set blocks Add/Edit/Delete/Reorder with a lock hint</t>
  </si>
  <si>
    <t>Automated — tests/unit/history-published-set.test.tsx:59</t>
  </si>
  <si>
    <t>Assertions pass: a PUBLISHED question set blocks Add/Edit/Delete/Reorder with a lock hint</t>
  </si>
  <si>
    <t>RAG028-2</t>
  </si>
  <si>
    <t>a DRAFT (unpublished) question set allows normal editing — no lock hint, Add Question present</t>
  </si>
  <si>
    <t>Automated — tests/unit/history-published-set.test.tsx:70</t>
  </si>
  <si>
    <t>Assertions pass: a DRAFT (unpublished) question set allows normal editing — no lock hint, Add Question present</t>
  </si>
  <si>
    <t>MQ001</t>
  </si>
  <si>
    <t>with an existing DRAFT set, the composer is enabled and shows the set in the left panel</t>
  </si>
  <si>
    <t>Automated — tests/unit/question-builder.test.tsx:46</t>
  </si>
  <si>
    <t>Assertions pass: with an existing DRAFT set, the composer is enabled and shows the set in the left panel</t>
  </si>
  <si>
    <t>MQ002</t>
  </si>
  <si>
    <t>with no DRAFT sets, the create-set form opens automatically and the composer is disabled</t>
  </si>
  <si>
    <t>Automated — tests/unit/question-builder.test.tsx:55</t>
  </si>
  <si>
    <t>Assertions pass: with no DRAFT sets, the create-set form opens automatically and the composer is disabled</t>
  </si>
  <si>
    <t>MQ003</t>
  </si>
  <si>
    <t>creating a new set posts the trimmed title/description and selects it</t>
  </si>
  <si>
    <t>Automated — tests/unit/question-builder.test.tsx:64</t>
  </si>
  <si>
    <t>Assertions pass: creating a new set posts the trimmed title/description and selects it</t>
  </si>
  <si>
    <t>MQ004</t>
  </si>
  <si>
    <t>creating a set with a blank title is rejected client-side with no request sent</t>
  </si>
  <si>
    <t>Automated — tests/unit/question-builder.test.tsx:83</t>
  </si>
  <si>
    <t>Assertions pass: creating a set with a blank title is rejected client-side with no request sent</t>
  </si>
  <si>
    <t>MQ005</t>
  </si>
  <si>
    <t>saving with an empty question is rejected with no request sent</t>
  </si>
  <si>
    <t>Automated — tests/unit/question-builder.test.tsx:95</t>
  </si>
  <si>
    <t>Assertions pass: saving with an empty question is rejected with no request sent</t>
  </si>
  <si>
    <t>MQ006</t>
  </si>
  <si>
    <t>filling the composer and saving posts every field and adds the question to the session list</t>
  </si>
  <si>
    <t>Automated — tests/unit/question-builder.test.tsx:106</t>
  </si>
  <si>
    <t>Assertions pass: filling the composer and saving posts every field and adds the question to the session list</t>
  </si>
  <si>
    <t>MQ007</t>
  </si>
  <si>
    <t>Code content mode saves with answerMethod "Code" and shows the template picker</t>
  </si>
  <si>
    <t>Automated — tests/unit/question-builder.test.tsx:146</t>
  </si>
  <si>
    <t>Assertions pass: Code content mode saves with answerMethod "Code" and shows the template picker</t>
  </si>
  <si>
    <t>MQ008</t>
  </si>
  <si>
    <t>switching to Theory mode hides code fields and saves with answerMethod "Text"</t>
  </si>
  <si>
    <t>Automated — tests/unit/question-builder.test.tsx:165</t>
  </si>
  <si>
    <t>Assertions pass: switching to Theory mode hides code fields and saves with answerMethod "Text"</t>
  </si>
  <si>
    <t>MQ009</t>
  </si>
  <si>
    <t>System design mode shows the diagram-hint field and banner instead of code fields</t>
  </si>
  <si>
    <t>Automated — tests/unit/question-builder.test.tsx:185</t>
  </si>
  <si>
    <t>Assertions pass: System design mode shows the diagram-hint field and banner instead of code fields</t>
  </si>
  <si>
    <t>MQ010</t>
  </si>
  <si>
    <t>a failed save (backend returns nothing usable) shows an error toast and keeps the composer filled</t>
  </si>
  <si>
    <t>Automated — tests/unit/question-builder.test.tsx:198</t>
  </si>
  <si>
    <t>Assertions pass: a failed save (backend returns nothing usable) shows an error toast and keeps the composer filled</t>
  </si>
  <si>
    <t>MQ011</t>
  </si>
  <si>
    <t>selecting a different set clears the "added this session" list</t>
  </si>
  <si>
    <t>Automated — tests/unit/question-builder.test.tsx:213</t>
  </si>
  <si>
    <t>Assertions pass: selecting a different set clears the "added this session" list</t>
  </si>
  <si>
    <t>UI009-1</t>
  </si>
  <si>
    <t>the JD file dropzone highlights on dragover and reverts on dragleave</t>
  </si>
  <si>
    <t>Automated — tests/unit/ui-studio-interactions.test.tsx:45</t>
  </si>
  <si>
    <t>Assertions pass: the JD file dropzone highlights on dragover and reverts on dragleave</t>
  </si>
  <si>
    <t>UI016-1</t>
  </si>
  <si>
    <t>the AI loading spinner renders with its status text while a plan is being generated</t>
  </si>
  <si>
    <t>Automated — tests/unit/ui-studio-interactions.test.tsx:67</t>
  </si>
  <si>
    <t>Assertions pass: the AI loading spinner renders with its status text while a plan is being generated</t>
  </si>
  <si>
    <t>UI010-2</t>
  </si>
  <si>
    <t>the "Generate Questions" CTA shows a disabled "Generating…" state while the request is in flight</t>
  </si>
  <si>
    <t>Automated — tests/unit/ui-studio-interactions.test.tsx:104</t>
  </si>
  <si>
    <t>Assertions pass: the "Generate Questions" CTA shows a disabled "Generating…" state while the request is in flight</t>
  </si>
  <si>
    <t>UI004-1</t>
  </si>
  <si>
    <t>multiple toasts stack (no cap, no dedup) instead of replacing each other</t>
  </si>
  <si>
    <t>Automated — tests/unit/ui-toast-stacking.test.tsx:54</t>
  </si>
  <si>
    <t>Assertions pass: multiple toasts stack (no cap, no dedup) instead of replacing each other</t>
  </si>
  <si>
    <t>UI004-2</t>
  </si>
  <si>
    <t>dismissing a toast via its close (X) button removes it immediately, before the auto-dismiss timer</t>
  </si>
  <si>
    <t>Automated — tests/unit/ui-toast-stacking.test.tsx:83</t>
  </si>
  <si>
    <t>Assertions pass: dismissing a toast via its close (X) button removes it immediately, before the auto-dismiss timer</t>
  </si>
  <si>
    <t>UI015-1</t>
  </si>
  <si>
    <t>the tooltip shows on hover and hides on mouse-out</t>
  </si>
  <si>
    <t>Automated — tests/unit/info-tooltip.test.tsx:15</t>
  </si>
  <si>
    <t>Assertions pass: the tooltip shows on hover and hides on mouse-out</t>
  </si>
  <si>
    <t>RGA008-1 (finding)</t>
  </si>
  <si>
    <t>a Jobseeker-role session still renders an HR page normally, with no redirect</t>
  </si>
  <si>
    <t>Automated — tests/unit/hr-no-role-gate.test.tsx:42</t>
  </si>
  <si>
    <t>Assertions pass: a Jobseeker-role session still renders an HR page normally, with no redirect</t>
  </si>
  <si>
    <t>UI003-1</t>
  </si>
  <si>
    <t>the upgrade modal locks body scroll while open and restores it on close</t>
  </si>
  <si>
    <t>Automated — tests/unit/ui-upgrade-modal.test.tsx:49</t>
  </si>
  <si>
    <t>Assertions pass: the upgrade modal locks body scroll while open and restores it on close</t>
  </si>
  <si>
    <t>UI003-2</t>
  </si>
  <si>
    <t>pressing Escape closes the upgrade modal</t>
  </si>
  <si>
    <t>Automated — tests/unit/ui-upgrade-modal.test.tsx:68</t>
  </si>
  <si>
    <t>Assertions pass: pressing Escape closes the upgrade modal</t>
  </si>
  <si>
    <t>UI003-3</t>
  </si>
  <si>
    <t>clicking the backdrop closes the upgrade modal</t>
  </si>
  <si>
    <t>Automated — tests/unit/ui-upgrade-modal.test.tsx:80</t>
  </si>
  <si>
    <t>Assertions pass: clicking the backdrop closes the upgrade modal</t>
  </si>
  <si>
    <t>UI013-1</t>
  </si>
  <si>
    <t>the upgrade modal carries the z-9999 stacking class, with no competing z-index elsewhere in the shell</t>
  </si>
  <si>
    <t>Automated — tests/unit/ui-upgrade-modal.test.tsx:94</t>
  </si>
  <si>
    <t>Assertions pass: the upgrade modal carries the z-9999 stacking class, with no competing z-index elsewhere in the shell</t>
  </si>
  <si>
    <t>UI012-1</t>
  </si>
  <si>
    <t>the mobile sidebar drawer starts hidden, opens via the hamburger, and closes via the backdrop</t>
  </si>
  <si>
    <t>Automated — tests/unit/ui-sidebar-drawer-and-logo.test.tsx:40</t>
  </si>
  <si>
    <t>Assertions pass: the mobile sidebar drawer starts hidden, opens via the hamburger, and closes via the backdrop</t>
  </si>
  <si>
    <t>UI018-1</t>
  </si>
  <si>
    <t>the same HireGen AI logo asset renders on the public login page and inside the HR sidebar</t>
  </si>
  <si>
    <t>Automated — tests/unit/ui-sidebar-drawer-and-logo.test.tsx:67</t>
  </si>
  <si>
    <t>Assertions pass: the same HireGen AI logo asset renders on the public login page and inside the HR sidebar</t>
  </si>
  <si>
    <t>the AppShell dark mode toggle applies and persists across reload</t>
  </si>
  <si>
    <t>Automated — tests/unit/ui-dark-mode-toggle.test.tsx:89</t>
  </si>
  <si>
    <t>Assertions pass: the AppShell dark mode toggle applies and persists across reload</t>
  </si>
  <si>
    <t>UI003/UI007</t>
  </si>
  <si>
    <t>the AppShell page frame clips horizontal overflow at any content width</t>
  </si>
  <si>
    <t>Automated — tests/unit/ui-responsive-overflow-shell.test.tsx:44</t>
  </si>
  <si>
    <t>Assertions pass: the AppShell page frame clips horizontal overflow at any content width</t>
  </si>
  <si>
    <t>UI010/UI017</t>
  </si>
  <si>
    <t>the auth page frame clips horizontal overflow on the login page</t>
  </si>
  <si>
    <t>Automated — tests/unit/ui-responsive-overflow-shell.test.tsx:62</t>
  </si>
  <si>
    <t>Assertions pass: the auth page frame clips horizontal overflow on the login page</t>
  </si>
  <si>
    <t>getTimeOfDayGreeting</t>
  </si>
  <si>
    <t>hour 5 -&gt; Morning</t>
  </si>
  <si>
    <t>Automated — tests/unit/shared-utils.test.ts:17</t>
  </si>
  <si>
    <t>Assertions pass: hour 5 -&gt; Morning</t>
  </si>
  <si>
    <t>hour 11 -&gt; Morning</t>
  </si>
  <si>
    <t>Assertions pass: hour 11 -&gt; Morning</t>
  </si>
  <si>
    <t>hour 12 -&gt; Afternoon</t>
  </si>
  <si>
    <t>Assertions pass: hour 12 -&gt; Afternoon</t>
  </si>
  <si>
    <t>hour 17 -&gt; Afternoon</t>
  </si>
  <si>
    <t>Assertions pass: hour 17 -&gt; Afternoon</t>
  </si>
  <si>
    <t>hour 18 -&gt; Evening</t>
  </si>
  <si>
    <t>Assertions pass: hour 18 -&gt; Evening</t>
  </si>
  <si>
    <t>hour 21 -&gt; Evening</t>
  </si>
  <si>
    <t>Assertions pass: hour 21 -&gt; Evening</t>
  </si>
  <si>
    <t>hour 22 -&gt; Night</t>
  </si>
  <si>
    <t>Assertions pass: hour 22 -&gt; Night</t>
  </si>
  <si>
    <t>hour 4 -&gt; Night</t>
  </si>
  <si>
    <t>Assertions pass: hour 4 -&gt; Night</t>
  </si>
  <si>
    <t>hour 0 -&gt; Night</t>
  </si>
  <si>
    <t>Assertions pass: hour 0 -&gt; Night</t>
  </si>
  <si>
    <t>buildWelcomeMessage substitutes both placeholders</t>
  </si>
  <si>
    <t>Automated — tests/unit/shared-utils.test.ts:26</t>
  </si>
  <si>
    <t>Assertions pass: buildWelcomeMessage substitutes both placeholders</t>
  </si>
  <si>
    <t>buildWelcomeMessage leaves template untouched when placeholders are absent</t>
  </si>
  <si>
    <t>Automated — tests/unit/shared-utils.test.ts:30</t>
  </si>
  <si>
    <t>Assertions pass: buildWelcomeMessage leaves template untouched when placeholders are absent</t>
  </si>
  <si>
    <t>returns empty string for an undefined/invalid date</t>
  </si>
  <si>
    <t>Automated — tests/unit/shared-utils.test.ts:38</t>
  </si>
  <si>
    <t>Assertions pass: returns empty string for an undefined/invalid date</t>
  </si>
  <si>
    <t>age 0ms in en -&gt; Just now</t>
  </si>
  <si>
    <t>Automated — tests/unit/shared-utils.test.ts:43</t>
  </si>
  <si>
    <t>Assertions pass: age 0ms in en -&gt; Just now</t>
  </si>
  <si>
    <t>age 0ms in vi -&gt; Vừa xong</t>
  </si>
  <si>
    <t>Assertions pass: age 0ms in vi -&gt; Vừa xong</t>
  </si>
  <si>
    <t>age 300000ms in en -&gt; 5 min ago</t>
  </si>
  <si>
    <t>Assertions pass: age 300000ms in en -&gt; 5 min ago</t>
  </si>
  <si>
    <t>age 300000ms in vi -&gt; 5 phút trước</t>
  </si>
  <si>
    <t>Assertions pass: age 300000ms in vi -&gt; 5 phút trước</t>
  </si>
  <si>
    <t>age 10800000ms in en -&gt; 3h ago</t>
  </si>
  <si>
    <t>Assertions pass: age 10800000ms in en -&gt; 3h ago</t>
  </si>
  <si>
    <t>age 10800000ms in vi -&gt; 3 giờ trước</t>
  </si>
  <si>
    <t>Assertions pass: age 10800000ms in vi -&gt; 3 giờ trước</t>
  </si>
  <si>
    <t>age 172800000ms in en -&gt; 2d ago</t>
  </si>
  <si>
    <t>Assertions pass: age 172800000ms in en -&gt; 2d ago</t>
  </si>
  <si>
    <t>age 172800000ms in vi -&gt; 2 ngày trước</t>
  </si>
  <si>
    <t>Assertions pass: age 172800000ms in vi -&gt; 2 ngày trước</t>
  </si>
  <si>
    <t>normalizePathname strips a trailing slash but keeps bare '/'</t>
  </si>
  <si>
    <t>Automated — tests/unit/shared-utils.test.ts:59</t>
  </si>
  <si>
    <t>Assertions pass: normalizePathname strips a trailing slash but keeps bare '/'</t>
  </si>
  <si>
    <t>isAdminNavActive treats /admin as equivalent to /admin/dashboard</t>
  </si>
  <si>
    <t>Automated — tests/unit/shared-utils.test.ts:64</t>
  </si>
  <si>
    <t>Assertions pass: isAdminNavActive treats /admin as equivalent to /admin/dashboard</t>
  </si>
  <si>
    <t>isHrNavActive(/hr/dashboard, /hr) -&gt; true</t>
  </si>
  <si>
    <t>Automated — tests/unit/shared-utils.test.ts:71</t>
  </si>
  <si>
    <t>Assertions pass: isHrNavActive(/hr/dashboard, /hr) -&gt; true</t>
  </si>
  <si>
    <t>isHrNavActive(/hr/dashboard, /hr/dashboard) -&gt; true</t>
  </si>
  <si>
    <t>Assertions pass: isHrNavActive(/hr/dashboard, /hr/dashboard) -&gt; true</t>
  </si>
  <si>
    <t>isHrNavActive(/hr/settings, /hr/settings) -&gt; true</t>
  </si>
  <si>
    <t>Assertions pass: isHrNavActive(/hr/settings, /hr/settings) -&gt; true</t>
  </si>
  <si>
    <t>isHrNavActive(/hr/settings, /hr/settings/billing) -&gt; false</t>
  </si>
  <si>
    <t>Assertions pass: isHrNavActive(/hr/settings, /hr/settings/billing) -&gt; false</t>
  </si>
  <si>
    <t>isHrNavActive(/hr/history, /hr/history/qs-1) -&gt; true</t>
  </si>
  <si>
    <t>Assertions pass: isHrNavActive(/hr/history, /hr/history/qs-1) -&gt; true</t>
  </si>
  <si>
    <t>isHrNavActive(/hr/history, /hr/history) -&gt; true</t>
  </si>
  <si>
    <t>Assertions pass: isHrNavActive(/hr/history, /hr/history) -&gt; true</t>
  </si>
  <si>
    <t>isHrNavActive(/hr/generate-question, /hr/generate-question/manual) -&gt; true</t>
  </si>
  <si>
    <t>Assertions pass: isHrNavActive(/hr/generate-question, /hr/generate-question/manual) -&gt; true</t>
  </si>
  <si>
    <t>isHrNavActive(/hr/generate-question, /hr/generate-question) -&gt; true</t>
  </si>
  <si>
    <t>Assertions pass: isHrNavActive(/hr/generate-question, /hr/generate-question) -&gt; true</t>
  </si>
  <si>
    <t>isHrNavActive(/hr/generate-question, /hr/history) -&gt; false</t>
  </si>
  <si>
    <t>Assertions pass: isHrNavActive(/hr/generate-question, /hr/history) -&gt; false</t>
  </si>
  <si>
    <t>getInitials handles empty, single-word, and multi-word names</t>
  </si>
  <si>
    <t>Automated — tests/unit/shared-utils.test.ts:88</t>
  </si>
  <si>
    <t>Assertions pass: getInitials handles empty, single-word, and multi-word names</t>
  </si>
  <si>
    <t>resolveAvatarUrl returns null for a null/undefined user</t>
  </si>
  <si>
    <t>Automated — tests/unit/shared-utils.test.ts:95</t>
  </si>
  <si>
    <t>Assertions pass: resolveAvatarUrl returns null for a null/undefined user</t>
  </si>
  <si>
    <t>resolveAvatarUrl prefers user.avatarUrl, then candidateProfile, then hrProfile</t>
  </si>
  <si>
    <t>Automated — tests/unit/shared-utils.test.ts:100</t>
  </si>
  <si>
    <t>Assertions pass: resolveAvatarUrl prefers user.avatarUrl, then candidateProfile, then hrProfile</t>
  </si>
  <si>
    <t>empty/whitespace input is treated as valid (optional field)</t>
  </si>
  <si>
    <t>Automated — tests/unit/shared-utils.test.ts:113</t>
  </si>
  <si>
    <t>Assertions pass: empty/whitespace input is treated as valid (optional field)</t>
  </si>
  <si>
    <t>isValidUrl(https</t>
  </si>
  <si>
    <t>//example.com) -&gt; true</t>
  </si>
  <si>
    <t>Automated — tests/unit/shared-utils.test.ts:117</t>
  </si>
  <si>
    <t>Assertions pass: //example.com) -&gt; true</t>
  </si>
  <si>
    <t>isValidUrl(http</t>
  </si>
  <si>
    <t>//example.com/path?x=1) -&gt; true</t>
  </si>
  <si>
    <t>Assertions pass: //example.com/path?x=1) -&gt; true</t>
  </si>
  <si>
    <t>isValidUrl(ftp</t>
  </si>
  <si>
    <t>//example.com) -&gt; false</t>
  </si>
  <si>
    <t>Assertions pass: //example.com) -&gt; false</t>
  </si>
  <si>
    <t>isValidUrl(not a url) -&gt; false</t>
  </si>
  <si>
    <t>Assertions pass: isValidUrl(not a url) -&gt; false</t>
  </si>
  <si>
    <t>isValidUrl(javascript</t>
  </si>
  <si>
    <t>alert(1)) -&gt; false</t>
  </si>
  <si>
    <t>Assertions pass: alert(1)) -&gt; false</t>
  </si>
  <si>
    <t>mapAvatarUploadError(invalid_type)</t>
  </si>
  <si>
    <t>Automated — tests/unit/shared-utils.test.ts:131</t>
  </si>
  <si>
    <t>Assertions pass: mapAvatarUploadError(invalid_type)</t>
  </si>
  <si>
    <t>mapAvatarUploadError(too_large)</t>
  </si>
  <si>
    <t>Assertions pass: mapAvatarUploadError(too_large)</t>
  </si>
  <si>
    <t>mapAvatarUploadError(unknown_code)</t>
  </si>
  <si>
    <t>Assertions pass: mapAvatarUploadError(unknown_code)</t>
  </si>
  <si>
    <t>mapAvatarUploadError()</t>
  </si>
  <si>
    <t>Assertions pass: mapAvatarUploadError()</t>
  </si>
  <si>
    <t>accepts an allowed image type under the size cap</t>
  </si>
  <si>
    <t>Automated — tests/unit/candidate-and-admin-utils.test.ts:14</t>
  </si>
  <si>
    <t>Assertions pass: accepts an allowed image type under the size cap</t>
  </si>
  <si>
    <t>rejects a disallowed mime type</t>
  </si>
  <si>
    <t>Automated — tests/unit/candidate-and-admin-utils.test.ts:18</t>
  </si>
  <si>
    <t>Assertions pass: rejects a disallowed mime type</t>
  </si>
  <si>
    <t>rejects a file over the 2MB cap</t>
  </si>
  <si>
    <t>Automated — tests/unit/candidate-and-admin-utils.test.ts:28</t>
  </si>
  <si>
    <t>Assertions pass: rejects a file over the 2MB cap</t>
  </si>
  <si>
    <t>no sessions -&gt; 0</t>
  </si>
  <si>
    <t>Automated — tests/unit/candidate-and-admin-utils.test.ts:46</t>
  </si>
  <si>
    <t>Assertions pass: no sessions -&gt; 0</t>
  </si>
  <si>
    <t>only today -&gt; streak of 1</t>
  </si>
  <si>
    <t>Automated — tests/unit/candidate-and-admin-utils.test.ts:50</t>
  </si>
  <si>
    <t>Assertions pass: only today -&gt; streak of 1</t>
  </si>
  <si>
    <t>today + yesterday + 2 days ago -&gt; streak of 3</t>
  </si>
  <si>
    <t>Automated — tests/unit/candidate-and-admin-utils.test.ts:54</t>
  </si>
  <si>
    <t>Assertions pass: today + yesterday + 2 days ago -&gt; streak of 3</t>
  </si>
  <si>
    <t>a gap breaks the streak</t>
  </si>
  <si>
    <t>Automated — tests/unit/candidate-and-admin-utils.test.ts:58</t>
  </si>
  <si>
    <t>Assertions pass: a gap breaks the streak</t>
  </si>
  <si>
    <t>no session today, but one yesterday, still anchors the streak</t>
  </si>
  <si>
    <t>Automated — tests/unit/candidate-and-admin-utils.test.ts:62</t>
  </si>
  <si>
    <t>Assertions pass: no session today, but one yesterday, still anchors the streak</t>
  </si>
  <si>
    <t>a gap of 2+ days (nothing today or yesterday) -&gt; streak of 0</t>
  </si>
  <si>
    <t>Automated — tests/unit/candidate-and-admin-utils.test.ts:66</t>
  </si>
  <si>
    <t>Assertions pass: a gap of 2+ days (nothing today or yesterday) -&gt; streak of 0</t>
  </si>
  <si>
    <t>ignores undefined/malformed entries</t>
  </si>
  <si>
    <t>Automated — tests/unit/candidate-and-admin-utils.test.ts:70</t>
  </si>
  <si>
    <t>Assertions pass: ignores undefined/malformed entries</t>
  </si>
  <si>
    <t>duplicate timestamps on the same day count once</t>
  </si>
  <si>
    <t>Automated — tests/unit/candidate-and-admin-utils.test.ts:74</t>
  </si>
  <si>
    <t>Assertions pass: duplicate timestamps on the same day count once</t>
  </si>
  <si>
    <t>translateDimensionKey returns the Vietnamese label for a known key, normalized</t>
  </si>
  <si>
    <t>Automated — tests/unit/candidate-and-admin-utils.test.ts:81</t>
  </si>
  <si>
    <t>Assertions pass: translateDimensionKey returns the Vietnamese label for a known key, normalized</t>
  </si>
  <si>
    <t>translateDimensionKey falls back to formatCategoryLabel for an unknown key or English locale</t>
  </si>
  <si>
    <t>Automated — tests/unit/candidate-and-admin-utils.test.ts:85</t>
  </si>
  <si>
    <t>Assertions pass: translateDimensionKey falls back to formatCategoryLabel for an unknown key or English locale</t>
  </si>
  <si>
    <t>translateQuestionCategory maps known categories in Vietnamese and falls back otherwise</t>
  </si>
  <si>
    <t>Automated — tests/unit/candidate-and-admin-utils.test.ts:90</t>
  </si>
  <si>
    <t>Assertions pass: translateQuestionCategory maps known categories in Vietnamese and falls back otherwise</t>
  </si>
  <si>
    <t>getCompanyInitials handles empty, single-word, and multi-word names</t>
  </si>
  <si>
    <t>Automated — tests/unit/candidate-and-admin-utils.test.ts:99</t>
  </si>
  <si>
    <t>Assertions pass: getCompanyInitials handles empty, single-word, and multi-word names</t>
  </si>
  <si>
    <t>getCompanyColor is deterministic for the same seed and picks from the fixed palette</t>
  </si>
  <si>
    <t>Automated — tests/unit/candidate-and-admin-utils.test.ts:105</t>
  </si>
  <si>
    <t>Assertions pass: getCompanyColor is deterministic for the same seed and picks from the fixed palette</t>
  </si>
  <si>
    <t>getCompanyColor generally differs for different seeds</t>
  </si>
  <si>
    <t>Automated — tests/unit/candidate-and-admin-utils.test.ts:112</t>
  </si>
  <si>
    <t>Assertions pass: getCompanyColor generally differs for different seeds</t>
  </si>
  <si>
    <t>toBackendRoleFilter(ADMIN) -&gt; Admin</t>
  </si>
  <si>
    <t>Automated — tests/unit/candidate-and-admin-utils.test.ts:119</t>
  </si>
  <si>
    <t>Assertions pass: toBackendRoleFilter(ADMIN) -&gt; Admin</t>
  </si>
  <si>
    <t>toBackendRoleFilter(HR_MANAGER) -&gt; HR</t>
  </si>
  <si>
    <t>Assertions pass: toBackendRoleFilter(HR_MANAGER) -&gt; HR</t>
  </si>
  <si>
    <t>toBackendRoleFilter(JOB_SEEKER) -&gt; Candidate</t>
  </si>
  <si>
    <t>Assertions pass: toBackendRoleFilter(JOB_SEEKER) -&gt; Candidate</t>
  </si>
  <si>
    <t>toBackendRoleFilter(UNKNOWN) -&gt; %s</t>
  </si>
  <si>
    <t>Assertions pass: toBackendRoleFilter(UNKNOWN) -&gt; %s</t>
  </si>
  <si>
    <t>normalizeAdminRoleKey(ADMIN) -&gt; ADMIN</t>
  </si>
  <si>
    <t>Automated — tests/unit/candidate-and-admin-utils.test.ts:124</t>
  </si>
  <si>
    <t>Assertions pass: normalizeAdminRoleKey(ADMIN) -&gt; ADMIN</t>
  </si>
  <si>
    <t>normalizeAdminRoleKey(SysAdmin) -&gt; ADMIN</t>
  </si>
  <si>
    <t>Assertions pass: normalizeAdminRoleKey(SysAdmin) -&gt; ADMIN</t>
  </si>
  <si>
    <t>normalizeAdminRoleKey(HR_MANAGER) -&gt; HR_MANAGER</t>
  </si>
  <si>
    <t>Assertions pass: normalizeAdminRoleKey(HR_MANAGER) -&gt; HR_MANAGER</t>
  </si>
  <si>
    <t>normalizeAdminRoleKey(Recruiter) -&gt; HR_MANAGER</t>
  </si>
  <si>
    <t>Assertions pass: normalizeAdminRoleKey(Recruiter) -&gt; HR_MANAGER</t>
  </si>
  <si>
    <t>normalizeAdminRoleKey(JOB_SEEKER) -&gt; JOB_SEEKER</t>
  </si>
  <si>
    <t>Assertions pass: normalizeAdminRoleKey(JOB_SEEKER) -&gt; JOB_SEEKER</t>
  </si>
  <si>
    <t>normalizeAdminRoleKey(Candidate) -&gt; JOB_SEEKER</t>
  </si>
  <si>
    <t>Assertions pass: normalizeAdminRoleKey(Candidate) -&gt; JOB_SEEKER</t>
  </si>
  <si>
    <t>normalizeAdminRoleKey(JobSeeker) -&gt; JOB_SEEKER</t>
  </si>
  <si>
    <t>Assertions pass: normalizeAdminRoleKey(JobSeeker) -&gt; JOB_SEEKER</t>
  </si>
  <si>
    <t>normalizeAdminRoleKey(something-else) -&gt; UNKNOWN</t>
  </si>
  <si>
    <t>Assertions pass: normalizeAdminRoleKey(something-else) -&gt; UNKNOWN</t>
  </si>
  <si>
    <t>normalizeAdminRoleKey(%s) -&gt; UNKNOWN</t>
  </si>
  <si>
    <t>Assertions pass: normalizeAdminRoleKey(%s) -&gt; UNKNOWN</t>
  </si>
  <si>
    <t>getAdminUserStatus([object Object]) -&gt; Suspended</t>
  </si>
  <si>
    <t>Automated — tests/unit/candidate-and-admin-utils.test.ts:133</t>
  </si>
  <si>
    <t>Assertions pass: getAdminUserStatus([object Object]) -&gt; Suspended</t>
  </si>
  <si>
    <t>getAdminUserStatus([object Object]) -&gt; Pending</t>
  </si>
  <si>
    <t>Assertions pass: getAdminUserStatus([object Object]) -&gt; Pending</t>
  </si>
  <si>
    <t>getAdminUserStatus([object Object]) -&gt; Active</t>
  </si>
  <si>
    <t>Assertions pass: getAdminUserStatus([object Object]) -&gt; Active</t>
  </si>
  <si>
    <t>isAdminRole is case-insensitive and null-safe</t>
  </si>
  <si>
    <t>Automated — tests/unit/candidate-and-admin-utils.test.ts:143</t>
  </si>
  <si>
    <t>Assertions pass: isAdminRole is case-insensitive and null-safe</t>
  </si>
  <si>
    <t>getDifficultyBadgeClass covers all three difficulty levels</t>
  </si>
  <si>
    <t>Automated — tests/unit/candidate-and-admin-utils.test.ts:154</t>
  </si>
  <si>
    <t>Assertions pass: getDifficultyBadgeClass covers all three difficulty levels</t>
  </si>
  <si>
    <t>getCategoryBadgeClass is case-insensitive and falls back for unknown categories</t>
  </si>
  <si>
    <t>Automated — tests/unit/candidate-and-admin-utils.test.ts:159</t>
  </si>
  <si>
    <t>Assertions pass: getCategoryBadgeClass is case-insensitive and falls back for unknown categories</t>
  </si>
  <si>
    <t>formatCategoryLabel title-cases hyphen/underscore/space-separated words</t>
  </si>
  <si>
    <t>Automated — tests/unit/candidate-and-admin-utils.test.ts:165</t>
  </si>
  <si>
    <t>Assertions pass: formatCategoryLabel title-cases hyphen/underscore/space-separated words</t>
  </si>
  <si>
    <t>getScoreBadgeClass thresholds at 80 and 65</t>
  </si>
  <si>
    <t>Automated — tests/unit/candidate-and-admin-utils.test.ts:171</t>
  </si>
  <si>
    <t>Assertions pass: getScoreBadgeClass thresholds at 80 and 65</t>
  </si>
  <si>
    <t>getScoreLevel derives label and badge color from the same thresholds (80/65/50)</t>
  </si>
  <si>
    <t>Automated — tests/unit/candidate-and-admin-utils.test.ts:181</t>
  </si>
  <si>
    <t>Assertions pass: getScoreLevel derives label and badge color from the same thresholds (80/65/50)</t>
  </si>
  <si>
    <t>formatXp adds thousands separators</t>
  </si>
  <si>
    <t>Automated — tests/unit/gamification-and-history-utils.test.ts:17</t>
  </si>
  <si>
    <t>Assertions pass: formatXp adds thousands separators</t>
  </si>
  <si>
    <t>getLevelLabel(1) -&gt; Newcomer</t>
  </si>
  <si>
    <t>Automated — tests/unit/gamification-and-history-utils.test.ts:21</t>
  </si>
  <si>
    <t>Assertions pass: getLevelLabel(1) -&gt; Newcomer</t>
  </si>
  <si>
    <t>getLevelLabel(2) -&gt; Newcomer</t>
  </si>
  <si>
    <t>Assertions pass: getLevelLabel(2) -&gt; Newcomer</t>
  </si>
  <si>
    <t>getLevelLabel(3) -&gt; Practitioner</t>
  </si>
  <si>
    <t>Assertions pass: getLevelLabel(3) -&gt; Practitioner</t>
  </si>
  <si>
    <t>getLevelLabel(5) -&gt; Practitioner</t>
  </si>
  <si>
    <t>Assertions pass: getLevelLabel(5) -&gt; Practitioner</t>
  </si>
  <si>
    <t>getLevelLabel(6) -&gt; Achiever</t>
  </si>
  <si>
    <t>Assertions pass: getLevelLabel(6) -&gt; Achiever</t>
  </si>
  <si>
    <t>getLevelLabel(9) -&gt; Achiever</t>
  </si>
  <si>
    <t>Assertions pass: getLevelLabel(9) -&gt; Achiever</t>
  </si>
  <si>
    <t>getLevelLabel(10) -&gt; Trailblazer</t>
  </si>
  <si>
    <t>Assertions pass: getLevelLabel(10) -&gt; Trailblazer</t>
  </si>
  <si>
    <t>getLevelLabel(14) -&gt; Trailblazer</t>
  </si>
  <si>
    <t>Assertions pass: getLevelLabel(14) -&gt; Trailblazer</t>
  </si>
  <si>
    <t>getLevelLabel(15) -&gt; Specialist</t>
  </si>
  <si>
    <t>Assertions pass: getLevelLabel(15) -&gt; Specialist</t>
  </si>
  <si>
    <t>getLevelLabel(19) -&gt; Specialist</t>
  </si>
  <si>
    <t>Assertions pass: getLevelLabel(19) -&gt; Specialist</t>
  </si>
  <si>
    <t>getLevelLabel(20) -&gt; Mentor</t>
  </si>
  <si>
    <t>Assertions pass: getLevelLabel(20) -&gt; Mentor</t>
  </si>
  <si>
    <t>getLevelLabel(29) -&gt; Mentor</t>
  </si>
  <si>
    <t>Assertions pass: getLevelLabel(29) -&gt; Mentor</t>
  </si>
  <si>
    <t>getLevelLabel(30) -&gt; Legend</t>
  </si>
  <si>
    <t>Assertions pass: getLevelLabel(30) -&gt; Legend</t>
  </si>
  <si>
    <t>getLevelLabel(100) -&gt; Legend</t>
  </si>
  <si>
    <t>Assertions pass: getLevelLabel(100) -&gt; Legend</t>
  </si>
  <si>
    <t>getLevelColorClass and getLevelBarColor stay in sync with the same tier boundaries</t>
  </si>
  <si>
    <t>Automated — tests/unit/gamification-and-history-utils.test.ts:33</t>
  </si>
  <si>
    <t>Assertions pass: getLevelColorClass and getLevelBarColor stay in sync with the same tier boundaries</t>
  </si>
  <si>
    <t>streakIntensity(0) -&gt; 0</t>
  </si>
  <si>
    <t>Automated — tests/unit/gamification-and-history-utils.test.ts:40</t>
  </si>
  <si>
    <t>Assertions pass: streakIntensity(0) -&gt; 0</t>
  </si>
  <si>
    <t>streakIntensity(1) -&gt; 1</t>
  </si>
  <si>
    <t>Assertions pass: streakIntensity(1) -&gt; 1</t>
  </si>
  <si>
    <t>streakIntensity(2) -&gt; 1</t>
  </si>
  <si>
    <t>Assertions pass: streakIntensity(2) -&gt; 1</t>
  </si>
  <si>
    <t>streakIntensity(3) -&gt; 2</t>
  </si>
  <si>
    <t>Assertions pass: streakIntensity(3) -&gt; 2</t>
  </si>
  <si>
    <t>streakIntensity(6) -&gt; 2</t>
  </si>
  <si>
    <t>Assertions pass: streakIntensity(6) -&gt; 2</t>
  </si>
  <si>
    <t>streakIntensity(7) -&gt; 3</t>
  </si>
  <si>
    <t>Assertions pass: streakIntensity(7) -&gt; 3</t>
  </si>
  <si>
    <t>streakIntensity(30) -&gt; 3</t>
  </si>
  <si>
    <t>Assertions pass: streakIntensity(30) -&gt; 3</t>
  </si>
  <si>
    <t>xpRewardTypeLabel resolves per-locale and falls back to the raw type for an unknown value</t>
  </si>
  <si>
    <t>Automated — tests/unit/gamification-and-history-utils.test.ts:46</t>
  </si>
  <si>
    <t>Assertions pass: xpRewardTypeLabel resolves per-locale and falls back to the raw type for an unknown value</t>
  </si>
  <si>
    <t>age 0ms in en -&gt; just now</t>
  </si>
  <si>
    <t>Automated — tests/unit/gamification-and-history-utils.test.ts:55</t>
  </si>
  <si>
    <t>Assertions pass: age 0ms in en -&gt; just now</t>
  </si>
  <si>
    <t>age 0ms in vi -&gt; vừa xong</t>
  </si>
  <si>
    <t>Assertions pass: age 0ms in vi -&gt; vừa xong</t>
  </si>
  <si>
    <t>age 600000ms in en -&gt; 10m ago</t>
  </si>
  <si>
    <t>Assertions pass: age 600000ms in en -&gt; 10m ago</t>
  </si>
  <si>
    <t>age 600000ms in vi -&gt; 10 phút trước</t>
  </si>
  <si>
    <t>Assertions pass: age 600000ms in vi -&gt; 10 phút trước</t>
  </si>
  <si>
    <t>age 18000000ms in en -&gt; 5h ago</t>
  </si>
  <si>
    <t>Assertions pass: age 18000000ms in en -&gt; 5h ago</t>
  </si>
  <si>
    <t>age 18000000ms in vi -&gt; 5 giờ trước</t>
  </si>
  <si>
    <t>Assertions pass: age 18000000ms in vi -&gt; 5 giờ trước</t>
  </si>
  <si>
    <t>age 864000000ms in en -&gt; 10d ago</t>
  </si>
  <si>
    <t>Assertions pass: age 864000000ms in en -&gt; 10d ago</t>
  </si>
  <si>
    <t>age 864000000ms in vi -&gt; 10 ngày trước</t>
  </si>
  <si>
    <t>Assertions pass: age 864000000ms in vi -&gt; 10 ngày trước</t>
  </si>
  <si>
    <t>age 5184000000ms in en -&gt; 2mo ago</t>
  </si>
  <si>
    <t>Assertions pass: age 5184000000ms in en -&gt; 2mo ago</t>
  </si>
  <si>
    <t>age 5184000000ms in vi -&gt; 2 tháng trước</t>
  </si>
  <si>
    <t>Assertions pass: age 5184000000ms in vi -&gt; 2 tháng trước</t>
  </si>
  <si>
    <t>getLoginWelcomeRoleFromRedirect(/jobseeker) -&gt; jobseeker</t>
  </si>
  <si>
    <t>Automated — tests/unit/gamification-and-history-utils.test.ts:73</t>
  </si>
  <si>
    <t>Assertions pass: getLoginWelcomeRoleFromRedirect(/jobseeker) -&gt; jobseeker</t>
  </si>
  <si>
    <t>getLoginWelcomeRoleFromRedirect(/jobseeker/) -&gt; jobseeker</t>
  </si>
  <si>
    <t>Assertions pass: getLoginWelcomeRoleFromRedirect(/jobseeker/) -&gt; jobseeker</t>
  </si>
  <si>
    <t>getLoginWelcomeRoleFromRedirect(/admin/dashboard) -&gt; admin</t>
  </si>
  <si>
    <t>Assertions pass: getLoginWelcomeRoleFromRedirect(/admin/dashboard) -&gt; admin</t>
  </si>
  <si>
    <t>getLoginWelcomeRoleFromRedirect(/admin/users) -&gt; admin</t>
  </si>
  <si>
    <t>Assertions pass: getLoginWelcomeRoleFromRedirect(/admin/users) -&gt; admin</t>
  </si>
  <si>
    <t>getLoginWelcomeRoleFromRedirect(/hr/dashboard) -&gt; hr</t>
  </si>
  <si>
    <t>Assertions pass: getLoginWelcomeRoleFromRedirect(/hr/dashboard) -&gt; hr</t>
  </si>
  <si>
    <t>getLoginWelcomeRoleFromRedirect(/hr/generate-question) -&gt; hr</t>
  </si>
  <si>
    <t>Assertions pass: getLoginWelcomeRoleFromRedirect(/hr/generate-question) -&gt; hr</t>
  </si>
  <si>
    <t>getLoginWelcomeRoleFromRedirect(/login) -&gt; null</t>
  </si>
  <si>
    <t>Assertions pass: getLoginWelcomeRoleFromRedirect(/login) -&gt; null</t>
  </si>
  <si>
    <t>getLoginWelcomeRoleFromRedirect(/) -&gt; null</t>
  </si>
  <si>
    <t>Assertions pass: getLoginWelcomeRoleFromRedirect(/) -&gt; null</t>
  </si>
  <si>
    <t>mark/has/clear round-trips through sessionStorage and is role-specific</t>
  </si>
  <si>
    <t>Automated — tests/unit/gamification-and-history-utils.test.ts:86</t>
  </si>
  <si>
    <t>Assertions pass: mark/has/clear round-trips through sessionStorage and is role-specific</t>
  </si>
  <si>
    <t>saveLocalSession assigns an id/timestamps and prepends to the list</t>
  </si>
  <si>
    <t>Automated — tests/unit/gamification-and-history-utils.test.ts:108</t>
  </si>
  <si>
    <t>Assertions pass: saveLocalSession assigns an id/timestamps and prepends to the list</t>
  </si>
  <si>
    <t>getLocalSession finds by id, returns null when missing</t>
  </si>
  <si>
    <t>Automated — tests/unit/gamification-and-history-utils.test.ts:119</t>
  </si>
  <si>
    <t>Assertions pass: getLocalSession finds by id, returns null when missing</t>
  </si>
  <si>
    <t>patchLocalSession merges fields for a matching id and no-ops for an unknown id</t>
  </si>
  <si>
    <t>Automated — tests/unit/gamification-and-history-utils.test.ts:125</t>
  </si>
  <si>
    <t>Assertions pass: patchLocalSession merges fields for a matching id and no-ops for an unknown id</t>
  </si>
  <si>
    <t>updateLocalSessionQuestions replaces the question list and bumps updatedAt</t>
  </si>
  <si>
    <t>Automated — tests/unit/gamification-and-history-utils.test.ts:134</t>
  </si>
  <si>
    <t>Assertions pass: updateLocalSessionQuestions replaces the question list and bumps updatedAt</t>
  </si>
  <si>
    <t>toGenerationSession maps every field 1</t>
  </si>
  <si>
    <t>1</t>
  </si>
  <si>
    <t>Automated — tests/unit/gamification-and-history-utils.test.ts:143</t>
  </si>
  <si>
    <t>Assertions pass: 1</t>
  </si>
  <si>
    <t>a malformed localStorage entry is treated as an empty list instead of throwing</t>
  </si>
  <si>
    <t>Automated — tests/unit/gamification-and-history-utils.test.ts:151</t>
  </si>
  <si>
    <t>Assertions pass: a malformed localStorage entry is treated as an empty list instead of throwing</t>
  </si>
  <si>
    <t>setAuth/isAuthenticated/clearAuth round-trip via the legacy mock flag</t>
  </si>
  <si>
    <t>Automated — tests/unit/permissions-and-citations.test.ts:25</t>
  </si>
  <si>
    <t>Assertions pass: setAuth/isAuthenticated/clearAuth round-trip via the legacy mock flag</t>
  </si>
  <si>
    <t>isAuthenticated is also true when a real access token is present, without the legacy flag</t>
  </si>
  <si>
    <t>Automated — tests/unit/permissions-and-citations.test.ts:33</t>
  </si>
  <si>
    <t>Assertions pass: isAuthenticated is also true when a real access token is present, without the legacy flag</t>
  </si>
  <si>
    <t>setUserRole/getUserRole round-trip</t>
  </si>
  <si>
    <t>Automated — tests/unit/permissions-and-citations.test.ts:38</t>
  </si>
  <si>
    <t>Assertions pass: setUserRole/getUserRole round-trip</t>
  </si>
  <si>
    <t>clearAuth clears the role, tokens, and the cached user profile together</t>
  </si>
  <si>
    <t>Automated — tests/unit/permissions-and-citations.test.ts:44</t>
  </si>
  <si>
    <t>Assertions pass: clearAuth clears the role, tokens, and the cached user profile together</t>
  </si>
  <si>
    <t>getRoleRedirect(ADMIN) -&gt; /admin/dashboard</t>
  </si>
  <si>
    <t>Automated — tests/unit/permissions-and-citations.test.ts:57</t>
  </si>
  <si>
    <t>Assertions pass: getRoleRedirect(ADMIN) -&gt; /admin/dashboard</t>
  </si>
  <si>
    <t>getRoleRedirect(SUPER_ADMIN) -&gt; /admin/dashboard</t>
  </si>
  <si>
    <t>Assertions pass: getRoleRedirect(SUPER_ADMIN) -&gt; /admin/dashboard</t>
  </si>
  <si>
    <t>getRoleRedirect(HR_MANAGER) -&gt; /hr/dashboard</t>
  </si>
  <si>
    <t>Assertions pass: getRoleRedirect(HR_MANAGER) -&gt; /hr/dashboard</t>
  </si>
  <si>
    <t>getRoleRedirect(JOB_SEEKER) -&gt; /jobseeker</t>
  </si>
  <si>
    <t>Assertions pass: getRoleRedirect(JOB_SEEKER) -&gt; /jobseeker</t>
  </si>
  <si>
    <t>getRoleRedirect(null) -&gt; /jobseeker</t>
  </si>
  <si>
    <t>Assertions pass: getRoleRedirect(null) -&gt; /jobseeker</t>
  </si>
  <si>
    <t>extractRole reads a direct role field</t>
  </si>
  <si>
    <t>Automated — tests/unit/permissions-and-citations.test.ts:67</t>
  </si>
  <si>
    <t>Assertions pass: extractRole reads a direct role field</t>
  </si>
  <si>
    <t>extractRole reads a role field nested under data.data</t>
  </si>
  <si>
    <t>Automated — tests/unit/permissions-and-citations.test.ts:71</t>
  </si>
  <si>
    <t>Assertions pass: extractRole reads a role field nested under data.data</t>
  </si>
  <si>
    <t>extractRole decodes the role out of a JWT payload under 'accessToken'</t>
  </si>
  <si>
    <t>Automated — tests/unit/permissions-and-citations.test.ts:75</t>
  </si>
  <si>
    <t>Assertions pass: extractRole decodes the role out of a JWT payload under 'accessToken'</t>
  </si>
  <si>
    <t>extractRole decodes the role out of a JWT payload under 'access_token'</t>
  </si>
  <si>
    <t>Assertions pass: extractRole decodes the role out of a JWT payload under 'access_token'</t>
  </si>
  <si>
    <t>extractRole decodes the role out of a JWT payload under 'token'</t>
  </si>
  <si>
    <t>Assertions pass: extractRole decodes the role out of a JWT payload under 'token'</t>
  </si>
  <si>
    <t>extractRole falls back to the Role (capitalized) JWT claim</t>
  </si>
  <si>
    <t>Automated — tests/unit/permissions-and-citations.test.ts:83</t>
  </si>
  <si>
    <t>Assertions pass: extractRole falls back to the Role (capitalized) JWT claim</t>
  </si>
  <si>
    <t>extractRole returns null for a malformed token instead of throwing</t>
  </si>
  <si>
    <t>Automated — tests/unit/permissions-and-citations.test.ts:88</t>
  </si>
  <si>
    <t>Assertions pass: extractRole returns null for a malformed token instead of throwing</t>
  </si>
  <si>
    <t>extractRole returns null for non-object or role-less input</t>
  </si>
  <si>
    <t>Automated — tests/unit/permissions-and-citations.test.ts:92</t>
  </si>
  <si>
    <t>Assertions pass: extractRole returns null for non-object or role-less input</t>
  </si>
  <si>
    <t>isJdCitation(job-description) -&gt; true</t>
  </si>
  <si>
    <t>Automated — tests/unit/permissions-and-citations.test.ts:101</t>
  </si>
  <si>
    <t>Assertions pass: isJdCitation(job-description) -&gt; true</t>
  </si>
  <si>
    <t>isJdCitation(jd) -&gt; true</t>
  </si>
  <si>
    <t>Assertions pass: isJdCitation(jd) -&gt; true</t>
  </si>
  <si>
    <t>isJdCitation(Job Description) -&gt; true</t>
  </si>
  <si>
    <t>Assertions pass: isJdCitation(Job Description) -&gt; true</t>
  </si>
  <si>
    <t>isJdCitation(job_description) -&gt; true</t>
  </si>
  <si>
    <t>Assertions pass: isJdCitation(job_description) -&gt; true</t>
  </si>
  <si>
    <t>isJdCitation(handbook.pdf) -&gt; false</t>
  </si>
  <si>
    <t>Assertions pass: isJdCitation(handbook.pdf) -&gt; false</t>
  </si>
  <si>
    <t>isJdCitation(null) -&gt; false</t>
  </si>
  <si>
    <t>Assertions pass: isJdCitation(null) -&gt; false</t>
  </si>
  <si>
    <t>isJdCitation(%s) -&gt; false</t>
  </si>
  <si>
    <t>Assertions pass: isJdCitation(%s) -&gt; false</t>
  </si>
  <si>
    <t>isJdCitation() -&gt; false</t>
  </si>
  <si>
    <t>Assertions pass: isJdCitation() -&gt; false</t>
  </si>
  <si>
    <t>sortCitationsPrimaryFirst puts the JD citation ahead of KB sources, preserving relative order otherwise</t>
  </si>
  <si>
    <t>Automated — tests/unit/permissions-and-citations.test.ts:107</t>
  </si>
  <si>
    <t>Assertions pass: sortCitationsPrimaryFirst puts the JD citation ahead of KB sources, preserving relative order otherwise</t>
  </si>
  <si>
    <t>sortCitationsPrimaryFirst handles empty/null input</t>
  </si>
  <si>
    <t>Automated — tests/unit/permissions-and-citations.test.ts:118</t>
  </si>
  <si>
    <t>Assertions pass: sortCitationsPrimaryFirst handles empty/null input</t>
  </si>
  <si>
    <t>citationsForDisplay injects a synthetic JD row (empty excerpt) when none is present</t>
  </si>
  <si>
    <t>Automated — tests/unit/permissions-and-citations.test.ts:123</t>
  </si>
  <si>
    <t>Assertions pass: citationsForDisplay injects a synthetic JD row (empty excerpt) when none is present</t>
  </si>
  <si>
    <t>citationsForDisplay does not duplicate the JD row when one already exists</t>
  </si>
  <si>
    <t>Automated — tests/unit/permissions-and-citations.test.ts:129</t>
  </si>
  <si>
    <t>Assertions pass: citationsForDisplay does not duplicate the JD row when one already exists</t>
  </si>
  <si>
    <t>formatCitationExcerpt trims, truncates with an ellipsis past the max length, and nulls out blank text</t>
  </si>
  <si>
    <t>Automated — tests/unit/permissions-and-citations.test.ts:135</t>
  </si>
  <si>
    <t>Assertions pass: formatCitationExcerpt trims, truncates with an ellipsis past the max length, and nulls out blank text</t>
  </si>
  <si>
    <t>citationDisplayName shows the JD label for a JD source and the raw filename otherwise</t>
  </si>
  <si>
    <t>Automated — tests/unit/permissions-and-citations.test.ts:143</t>
  </si>
  <si>
    <t>Assertions pass: citationDisplayName shows the JD label for a JD source and the raw filename otherwise</t>
  </si>
  <si>
    <t>an explicit codeTemplateType wins over everything else</t>
  </si>
  <si>
    <t>Automated — tests/unit/question-template-infer.test.ts:24</t>
  </si>
  <si>
    <t>Assertions pass: an explicit codeTemplateType wins over everything else</t>
  </si>
  <si>
    <t>normalizes a loosely-cased/spaced explicit template id</t>
  </si>
  <si>
    <t>Automated — tests/unit/question-template-infer.test.ts:28</t>
  </si>
  <si>
    <t>Assertions pass: normalizes a loosely-cased/spaced explicit template id</t>
  </si>
  <si>
    <t>an unrecognized explicit template id is ignored, falling through to inference</t>
  </si>
  <si>
    <t>Automated — tests/unit/question-template-infer.test.ts:33</t>
  </si>
  <si>
    <t>Assertions pass: an unrecognized explicit template id is ignored, falling through to inference</t>
  </si>
  <si>
    <t>infers Design a system architecture (system design) for a URL shortener. from question content -&gt; SYSTEM_DESIGN</t>
  </si>
  <si>
    <t>Automated — tests/unit/question-template-infer.test.ts:38</t>
  </si>
  <si>
    <t>Assertions pass: infers Design a system architecture (system design) for a URL shortener. from question content -&gt; SYSTEM_DESIGN</t>
  </si>
  <si>
    <t>infers Complete the TODO in this function (code completion). from question content -&gt; CODE_COMPLETION</t>
  </si>
  <si>
    <t>Assertions pass: infers Complete the TODO in this function (code completion). from question content -&gt; CODE_COMPLETION</t>
  </si>
  <si>
    <t>infers Find the bug in this loop. from question content -&gt; BUG_DETECTION</t>
  </si>
  <si>
    <t>Assertions pass: infers Find the bug in this loop. from question content -&gt; BUG_DETECTION</t>
  </si>
  <si>
    <t>infers Refactor this class to remove duplication. from question content -&gt; REFACTORING</t>
  </si>
  <si>
    <t>Assertions pass: infers Refactor this class to remove duplication. from question content -&gt; REFACTORING</t>
  </si>
  <si>
    <t>infers Write a unit test case for this function. from question content -&gt; TEST_CASE_DESIGN</t>
  </si>
  <si>
    <t>Assertions pass: infers Write a unit test case for this function. from question content -&gt; TEST_CASE_DESIGN</t>
  </si>
  <si>
    <t>infers Analyze the time complexity O(n^2) of this algorithm. from question content -&gt; PERFORMANCE_ANALYSIS</t>
  </si>
  <si>
    <t>Assertions pass: infers Analyze the time complexity O(n^2) of this algorithm. from question content -&gt; PERFORMANCE_ANALYSIS</t>
  </si>
  <si>
    <t>falls back to scoringRubric text when content has no signal</t>
  </si>
  <si>
    <t>Automated — tests/unit/question-template-infer.test.ts:50</t>
  </si>
  <si>
    <t>Assertions pass: falls back to scoringRubric text when content has no signal</t>
  </si>
  <si>
    <t>System-design question TYPE infers SYSTEM_DESIGN even without keyword text</t>
  </si>
  <si>
    <t>Automated — tests/unit/question-template-infer.test.ts:55</t>
  </si>
  <si>
    <t>Assertions pass: System-design question TYPE infers SYSTEM_DESIGN even without keyword text</t>
  </si>
  <si>
    <t>a resolvable code snippet with no other signal infers CODE_COMPLETION</t>
  </si>
  <si>
    <t>Automated — tests/unit/question-template-infer.test.ts:60</t>
  </si>
  <si>
    <t>Assertions pass: a resolvable code snippet with no other signal infers CODE_COMPLETION</t>
  </si>
  <si>
    <t>a purely theoretical question with no snippet/keywords has a null templateId but still gets an image hint</t>
  </si>
  <si>
    <t>Automated — tests/unit/question-template-infer.test.ts:65</t>
  </si>
  <si>
    <t>Assertions pass: a purely theoretical question with no snippet/keywords has a null templateId but still gets an image hint</t>
  </si>
  <si>
    <t>prefers question.codeSnippet directly</t>
  </si>
  <si>
    <t>Automated — tests/unit/question-template-infer.test.ts:74</t>
  </si>
  <si>
    <t>Assertions pass: prefers question.codeSnippet directly</t>
  </si>
  <si>
    <t>extracts from an expectedAnswer "Code snippet</t>
  </si>
  <si>
    <t>" marker</t>
  </si>
  <si>
    <t>Automated — tests/unit/question-template-infer.test.ts:78</t>
  </si>
  <si>
    <t>Assertions pass: " marker</t>
  </si>
  <si>
    <t>extracts from a fenced code block in content</t>
  </si>
  <si>
    <t>Automated — tests/unit/question-template-infer.test.ts:83</t>
  </si>
  <si>
    <t>Assertions pass: extracts from a fenced code block in content</t>
  </si>
  <si>
    <t>heuristically detects raw code in expectedAnswer even without a marker</t>
  </si>
  <si>
    <t>Automated — tests/unit/question-template-infer.test.ts:88</t>
  </si>
  <si>
    <t>Assertions pass: heuristically detects raw code in expectedAnswer even without a marker</t>
  </si>
  <si>
    <t>does not mistake plain prose for a code snippet</t>
  </si>
  <si>
    <t>Automated — tests/unit/question-template-infer.test.ts:94</t>
  </si>
  <si>
    <t>Assertions pass: does not mistake plain prose for a code snippet</t>
  </si>
  <si>
    <t>normalizes literal \n / \t escape sequences into real newlines</t>
  </si>
  <si>
    <t>Automated — tests/unit/question-template-infer.test.ts:99</t>
  </si>
  <si>
    <t>Assertions pass: normalizes literal \n / \t escape sequences into real newlines</t>
  </si>
  <si>
    <t>reads snippetLanguage from scoringRubric's lang= meta, lowercased</t>
  </si>
  <si>
    <t>Automated — tests/unit/question-template-infer.test.ts:107</t>
  </si>
  <si>
    <t>Assertions pass: reads snippetLanguage from scoringRubric's lang= meta, lowercased</t>
  </si>
  <si>
    <t>lang=auto is treated as "no explicit language"</t>
  </si>
  <si>
    <t>Automated — tests/unit/question-template-infer.test.ts:111</t>
  </si>
  <si>
    <t>Assertions pass: lang=auto is treated as "no explicit language"</t>
  </si>
  <si>
    <t>question.imageHint wins over template default and meta</t>
  </si>
  <si>
    <t>Automated — tests/unit/question-template-infer.test.ts:116</t>
  </si>
  <si>
    <t>Assertions pass: question.imageHint wins over template default and meta</t>
  </si>
  <si>
    <t>falls back to the per-template default image hint when nothing else is set</t>
  </si>
  <si>
    <t>Automated — tests/unit/question-template-infer.test.ts:121</t>
  </si>
  <si>
    <t>Assertions pass: falls back to the per-template default image hint when nothing else is set</t>
  </si>
  <si>
    <t>SYSTEM_DESIGN uses diagramHint meta, falling back to the default diagram hint</t>
  </si>
  <si>
    <t>Automated — tests/unit/question-template-infer.test.ts:126</t>
  </si>
  <si>
    <t>Assertions pass: SYSTEM_DESIGN uses diagramHint meta, falling back to the default diagram hint</t>
  </si>
  <si>
    <t>attachedImageUrl is trimmed, undefined when blank</t>
  </si>
  <si>
    <t>Automated — tests/unit/question-template-infer.test.ts:136</t>
  </si>
  <si>
    <t>Assertions pass: attachedImageUrl is trimmed, undefined when blank</t>
  </si>
  <si>
    <t>maps questionType to the Studio type used for inference (system -&gt; SystemDesign)</t>
  </si>
  <si>
    <t>Automated — tests/unit/question-template-infer.test.ts:144</t>
  </si>
  <si>
    <t>Assertions pass: maps questionType to the Studio type used for inference (system -&gt; SystemDesign)</t>
  </si>
  <si>
    <t>reads template/snippet/lang from rationale+scoringRubric meta (semicolon-joined)</t>
  </si>
  <si>
    <t>Automated — tests/unit/question-template-infer.test.ts:150</t>
  </si>
  <si>
    <t>Assertions pass: reads template/snippet/lang from rationale+scoringRubric meta (semicolon-joined)</t>
  </si>
  <si>
    <t>difficulty string is normalized to Easy/Medium/Hard via case-insensitive matching</t>
  </si>
  <si>
    <t>Automated — tests/unit/question-template-infer.test.ts:161</t>
  </si>
  <si>
    <t>Assertions pass: difficulty string is normalized to Easy/Medium/Hard via case-insensitive matching</t>
  </si>
  <si>
    <t>TEST STATISTICS</t>
  </si>
  <si>
    <t>SU26SE102_Test_Report_v1.0</t>
  </si>
  <si>
    <t>N/A</t>
  </si>
  <si>
    <t>Number of test cases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</si>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</sst>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/m/yyyy"/>
  </numFmts>
  <fonts count="27">
    <font>
      <sz val="11"/>
      <color theme="1"/>
      <name val="Calibri"/>
      <charset val="134"/>
      <scheme val="minor"/>
    </font>
    <font>
      <b/>
      <sz val="14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rgb="FFFFFFFF"/>
      <name val="Tahoma"/>
      <charset val="134"/>
    </font>
    <font>
      <sz val="11"/>
      <name val="Calibri"/>
      <charset val="134"/>
    </font>
    <font>
      <b/>
      <sz val="11"/>
      <color rgb="FF4472C4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2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left" vertical="top" wrapText="1"/>
    </xf>
    <xf numFmtId="0" fontId="2" fillId="3" borderId="4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left" vertical="top" wrapText="1"/>
    </xf>
    <xf numFmtId="178" fontId="5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9" Type="http://schemas.openxmlformats.org/officeDocument/2006/relationships/styles" Target="styles.xml"/><Relationship Id="rId38" Type="http://schemas.openxmlformats.org/officeDocument/2006/relationships/sharedStrings" Target="sharedStrings.xml"/><Relationship Id="rId37" Type="http://schemas.openxmlformats.org/officeDocument/2006/relationships/theme" Target="theme/theme1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43"/>
  <sheetViews>
    <sheetView workbookViewId="0">
      <selection activeCell="E13" sqref="E13"/>
    </sheetView>
  </sheetViews>
  <sheetFormatPr defaultColWidth="9" defaultRowHeight="15.05" customHeight="1" outlineLevelCol="4"/>
  <cols>
    <col min="1" max="1" width="20" customWidth="1"/>
    <col min="2" max="2" width="45" customWidth="1"/>
    <col min="3" max="3" width="20" customWidth="1"/>
    <col min="4" max="4" width="45" customWidth="1"/>
    <col min="5" max="5" width="42.5932203389831" customWidth="1"/>
  </cols>
  <sheetData>
    <row r="2" ht="17" customHeight="1" spans="1:5">
      <c r="A2" s="1" t="s">
        <v>0</v>
      </c>
    </row>
    <row r="4" spans="1:5">
      <c r="A4" s="2" t="s">
        <v>1</v>
      </c>
      <c r="B4" s="3" t="s">
        <v>2</v>
      </c>
      <c r="C4" s="2" t="s">
        <v>3</v>
      </c>
      <c r="D4" s="3" t="s">
        <v>4</v>
      </c>
    </row>
    <row r="5" spans="1:5">
      <c r="A5" s="2" t="s">
        <v>5</v>
      </c>
      <c r="B5" s="3" t="s">
        <v>6</v>
      </c>
      <c r="C5" s="2" t="s">
        <v>7</v>
      </c>
      <c r="D5" s="3" t="s">
        <v>8</v>
      </c>
    </row>
    <row r="6" spans="1:5">
      <c r="A6" s="2" t="s">
        <v>9</v>
      </c>
      <c r="B6" s="3" t="s">
        <v>10</v>
      </c>
      <c r="C6" s="2" t="s">
        <v>11</v>
      </c>
      <c r="D6" s="3" t="s">
        <v>12</v>
      </c>
    </row>
    <row r="9" spans="1:5">
      <c r="A9" s="2" t="s">
        <v>13</v>
      </c>
    </row>
    <row r="10" ht="37.3" customHeight="1" spans="1:5">
      <c r="A10" s="4" t="s">
        <v>14</v>
      </c>
      <c r="B10" s="4" t="s">
        <v>11</v>
      </c>
      <c r="C10" s="4" t="s">
        <v>15</v>
      </c>
      <c r="D10" s="4" t="s">
        <v>16</v>
      </c>
      <c r="E10" s="4" t="s">
        <v>17</v>
      </c>
    </row>
    <row r="11" ht="60.2" customHeight="1" spans="1:5">
      <c r="A11" s="5" t="s">
        <v>18</v>
      </c>
      <c r="B11" s="5">
        <v>1</v>
      </c>
      <c r="C11" s="5" t="s">
        <v>19</v>
      </c>
      <c r="D11" s="5" t="s">
        <v>20</v>
      </c>
      <c r="E11" s="6" t="s">
        <v>21</v>
      </c>
    </row>
    <row r="12" ht="105.4" customHeight="1" spans="1:5">
      <c r="A12" s="5" t="s">
        <v>18</v>
      </c>
      <c r="B12" s="5">
        <v>1</v>
      </c>
      <c r="C12" s="5" t="s">
        <v>22</v>
      </c>
      <c r="D12" s="5" t="s">
        <v>20</v>
      </c>
      <c r="E12" s="6" t="s">
        <v>23</v>
      </c>
    </row>
    <row r="13" ht="90.35" customHeight="1" spans="1:5">
      <c r="A13" s="5" t="s">
        <v>18</v>
      </c>
      <c r="B13" s="5">
        <v>1</v>
      </c>
      <c r="C13" s="5" t="s">
        <v>24</v>
      </c>
      <c r="D13" s="5" t="s">
        <v>20</v>
      </c>
      <c r="E13" s="6" t="s">
        <v>25</v>
      </c>
    </row>
    <row r="14" ht="75.25" customHeight="1" spans="1:5">
      <c r="A14" s="5" t="s">
        <v>18</v>
      </c>
      <c r="B14" s="5">
        <v>1</v>
      </c>
      <c r="C14" s="5" t="s">
        <v>26</v>
      </c>
      <c r="D14" s="5" t="s">
        <v>20</v>
      </c>
      <c r="E14" s="6" t="s">
        <v>27</v>
      </c>
    </row>
    <row r="15" ht="90.35" customHeight="1" spans="1:5">
      <c r="A15" s="5" t="s">
        <v>18</v>
      </c>
      <c r="B15" s="5">
        <v>1</v>
      </c>
      <c r="C15" s="5" t="s">
        <v>28</v>
      </c>
      <c r="D15" s="5" t="s">
        <v>20</v>
      </c>
      <c r="E15" s="6" t="s">
        <v>29</v>
      </c>
    </row>
    <row r="16" ht="105.4" customHeight="1" spans="1:5">
      <c r="A16" s="5" t="s">
        <v>18</v>
      </c>
      <c r="B16" s="5">
        <v>1</v>
      </c>
      <c r="C16" s="5" t="s">
        <v>30</v>
      </c>
      <c r="D16" s="5" t="s">
        <v>20</v>
      </c>
      <c r="E16" s="6" t="s">
        <v>31</v>
      </c>
    </row>
    <row r="17" ht="90.35" customHeight="1" spans="1:5">
      <c r="A17" s="5" t="s">
        <v>18</v>
      </c>
      <c r="B17" s="5">
        <v>1</v>
      </c>
      <c r="C17" s="5" t="s">
        <v>32</v>
      </c>
      <c r="D17" s="5" t="s">
        <v>20</v>
      </c>
      <c r="E17" s="6" t="s">
        <v>33</v>
      </c>
    </row>
    <row r="18" ht="135.5" customHeight="1" spans="1:5">
      <c r="A18" s="5" t="s">
        <v>18</v>
      </c>
      <c r="B18" s="5">
        <v>1</v>
      </c>
      <c r="C18" s="5" t="s">
        <v>34</v>
      </c>
      <c r="D18" s="5" t="s">
        <v>20</v>
      </c>
      <c r="E18" s="6" t="s">
        <v>35</v>
      </c>
    </row>
    <row r="19" ht="75.25" customHeight="1" spans="1:5">
      <c r="A19" s="5" t="s">
        <v>18</v>
      </c>
      <c r="B19" s="5">
        <v>1</v>
      </c>
      <c r="C19" s="5" t="s">
        <v>36</v>
      </c>
      <c r="D19" s="5" t="s">
        <v>20</v>
      </c>
      <c r="E19" s="6" t="s">
        <v>37</v>
      </c>
    </row>
    <row r="20" ht="90.35" customHeight="1" spans="1:5">
      <c r="A20" s="5" t="s">
        <v>18</v>
      </c>
      <c r="B20" s="5">
        <v>1</v>
      </c>
      <c r="C20" s="5" t="s">
        <v>38</v>
      </c>
      <c r="D20" s="5" t="s">
        <v>20</v>
      </c>
      <c r="E20" s="6" t="s">
        <v>39</v>
      </c>
    </row>
    <row r="21" ht="120.45" customHeight="1" spans="1:5">
      <c r="A21" s="5" t="s">
        <v>18</v>
      </c>
      <c r="B21" s="5">
        <v>1</v>
      </c>
      <c r="C21" s="5" t="s">
        <v>40</v>
      </c>
      <c r="D21" s="5" t="s">
        <v>20</v>
      </c>
      <c r="E21" s="6" t="s">
        <v>41</v>
      </c>
    </row>
    <row r="22" ht="105.4" customHeight="1" spans="1:5">
      <c r="A22" s="5" t="s">
        <v>18</v>
      </c>
      <c r="B22" s="5">
        <v>1</v>
      </c>
      <c r="C22" s="5" t="s">
        <v>42</v>
      </c>
      <c r="D22" s="5" t="s">
        <v>20</v>
      </c>
      <c r="E22" s="6" t="s">
        <v>43</v>
      </c>
    </row>
    <row r="23" ht="105.4" customHeight="1" spans="1:5">
      <c r="A23" s="5" t="s">
        <v>18</v>
      </c>
      <c r="B23" s="5">
        <v>1</v>
      </c>
      <c r="C23" s="5" t="s">
        <v>44</v>
      </c>
      <c r="D23" s="5" t="s">
        <v>20</v>
      </c>
      <c r="E23" s="6" t="s">
        <v>45</v>
      </c>
    </row>
    <row r="24" ht="120.45" customHeight="1" spans="1:5">
      <c r="A24" s="5" t="s">
        <v>18</v>
      </c>
      <c r="B24" s="5">
        <v>1</v>
      </c>
      <c r="C24" s="5" t="s">
        <v>46</v>
      </c>
      <c r="D24" s="5" t="s">
        <v>20</v>
      </c>
      <c r="E24" s="6" t="s">
        <v>47</v>
      </c>
    </row>
    <row r="25" ht="105.4" customHeight="1" spans="1:5">
      <c r="A25" s="5" t="s">
        <v>18</v>
      </c>
      <c r="B25" s="5">
        <v>1</v>
      </c>
      <c r="C25" s="5" t="s">
        <v>48</v>
      </c>
      <c r="D25" s="5" t="s">
        <v>20</v>
      </c>
      <c r="E25" s="6" t="s">
        <v>49</v>
      </c>
    </row>
    <row r="26" ht="135.5" customHeight="1" spans="1:5">
      <c r="A26" s="5" t="s">
        <v>18</v>
      </c>
      <c r="B26" s="5">
        <v>1</v>
      </c>
      <c r="C26" s="5" t="s">
        <v>50</v>
      </c>
      <c r="D26" s="5" t="s">
        <v>20</v>
      </c>
      <c r="E26" s="6" t="s">
        <v>51</v>
      </c>
    </row>
    <row r="27" ht="105.4" customHeight="1" spans="1:5">
      <c r="A27" s="5" t="s">
        <v>18</v>
      </c>
      <c r="B27" s="5">
        <v>1</v>
      </c>
      <c r="C27" s="5" t="s">
        <v>52</v>
      </c>
      <c r="D27" s="5" t="s">
        <v>20</v>
      </c>
      <c r="E27" s="6" t="s">
        <v>53</v>
      </c>
    </row>
    <row r="28" ht="90.35" customHeight="1" spans="1:5">
      <c r="A28" s="5" t="s">
        <v>18</v>
      </c>
      <c r="B28" s="5">
        <v>1</v>
      </c>
      <c r="C28" s="5" t="s">
        <v>54</v>
      </c>
      <c r="D28" s="5" t="s">
        <v>20</v>
      </c>
      <c r="E28" s="6" t="s">
        <v>55</v>
      </c>
    </row>
    <row r="29" ht="120.45" customHeight="1" spans="1:5">
      <c r="A29" s="5" t="s">
        <v>18</v>
      </c>
      <c r="B29" s="5">
        <v>1</v>
      </c>
      <c r="C29" s="5" t="s">
        <v>56</v>
      </c>
      <c r="D29" s="5" t="s">
        <v>20</v>
      </c>
      <c r="E29" s="6" t="s">
        <v>57</v>
      </c>
    </row>
    <row r="30" ht="105.4" customHeight="1" spans="1:5">
      <c r="A30" s="5" t="s">
        <v>18</v>
      </c>
      <c r="B30" s="5">
        <v>1</v>
      </c>
      <c r="C30" s="5" t="s">
        <v>58</v>
      </c>
      <c r="D30" s="5" t="s">
        <v>20</v>
      </c>
      <c r="E30" s="6" t="s">
        <v>59</v>
      </c>
    </row>
    <row r="31" ht="120.45" customHeight="1" spans="1:5">
      <c r="A31" s="5" t="s">
        <v>18</v>
      </c>
      <c r="B31" s="5">
        <v>1</v>
      </c>
      <c r="C31" s="5" t="s">
        <v>60</v>
      </c>
      <c r="D31" s="5" t="s">
        <v>20</v>
      </c>
      <c r="E31" s="6" t="s">
        <v>61</v>
      </c>
    </row>
    <row r="32" ht="105.4" customHeight="1" spans="1:5">
      <c r="A32" s="5" t="s">
        <v>18</v>
      </c>
      <c r="B32" s="5">
        <v>1</v>
      </c>
      <c r="C32" s="5" t="s">
        <v>62</v>
      </c>
      <c r="D32" s="5" t="s">
        <v>20</v>
      </c>
      <c r="E32" s="6" t="s">
        <v>63</v>
      </c>
    </row>
    <row r="33" ht="90.35" customHeight="1" spans="1:5">
      <c r="A33" s="5" t="s">
        <v>18</v>
      </c>
      <c r="B33" s="5">
        <v>1</v>
      </c>
      <c r="C33" s="5" t="s">
        <v>64</v>
      </c>
      <c r="D33" s="5" t="s">
        <v>20</v>
      </c>
      <c r="E33" s="6" t="s">
        <v>65</v>
      </c>
    </row>
    <row r="34" ht="120.45" customHeight="1" spans="1:5">
      <c r="A34" s="5" t="s">
        <v>18</v>
      </c>
      <c r="B34" s="5">
        <v>1</v>
      </c>
      <c r="C34" s="5" t="s">
        <v>66</v>
      </c>
      <c r="D34" s="5" t="s">
        <v>20</v>
      </c>
      <c r="E34" s="6" t="s">
        <v>67</v>
      </c>
    </row>
    <row r="35" ht="135.5" customHeight="1" spans="1:5">
      <c r="A35" s="5" t="s">
        <v>18</v>
      </c>
      <c r="B35" s="5">
        <v>1</v>
      </c>
      <c r="C35" s="5" t="s">
        <v>68</v>
      </c>
      <c r="D35" s="5" t="s">
        <v>20</v>
      </c>
      <c r="E35" s="6" t="s">
        <v>69</v>
      </c>
    </row>
    <row r="36" ht="135.5" customHeight="1" spans="1:5">
      <c r="A36" s="5" t="s">
        <v>18</v>
      </c>
      <c r="B36" s="5">
        <v>1</v>
      </c>
      <c r="C36" s="5" t="s">
        <v>70</v>
      </c>
      <c r="D36" s="5" t="s">
        <v>20</v>
      </c>
      <c r="E36" s="6" t="s">
        <v>71</v>
      </c>
    </row>
    <row r="37" ht="135.5" customHeight="1" spans="1:5">
      <c r="A37" s="5" t="s">
        <v>18</v>
      </c>
      <c r="B37" s="5">
        <v>1</v>
      </c>
      <c r="C37" s="5" t="s">
        <v>72</v>
      </c>
      <c r="D37" s="5" t="s">
        <v>20</v>
      </c>
      <c r="E37" s="6" t="s">
        <v>73</v>
      </c>
    </row>
    <row r="38" ht="120.45" customHeight="1" spans="1:5">
      <c r="A38" s="5" t="s">
        <v>18</v>
      </c>
      <c r="B38" s="5">
        <v>1</v>
      </c>
      <c r="C38" s="5" t="s">
        <v>74</v>
      </c>
      <c r="D38" s="5" t="s">
        <v>20</v>
      </c>
      <c r="E38" s="6" t="s">
        <v>75</v>
      </c>
    </row>
    <row r="39" ht="180.65" customHeight="1" spans="1:5">
      <c r="A39" s="5" t="s">
        <v>18</v>
      </c>
      <c r="B39" s="5">
        <v>1</v>
      </c>
      <c r="C39" s="5" t="s">
        <v>76</v>
      </c>
      <c r="D39" s="5" t="s">
        <v>20</v>
      </c>
      <c r="E39" s="6" t="s">
        <v>77</v>
      </c>
    </row>
    <row r="40" ht="150.55" customHeight="1" spans="1:5">
      <c r="A40" s="5" t="s">
        <v>18</v>
      </c>
      <c r="B40" s="5">
        <v>1</v>
      </c>
      <c r="C40" s="5" t="s">
        <v>78</v>
      </c>
      <c r="D40" s="5" t="s">
        <v>20</v>
      </c>
      <c r="E40" s="6" t="s">
        <v>79</v>
      </c>
    </row>
    <row r="41" ht="120.45" customHeight="1" spans="1:5">
      <c r="A41" s="5" t="s">
        <v>18</v>
      </c>
      <c r="B41" s="5">
        <v>1</v>
      </c>
      <c r="C41" s="5" t="s">
        <v>80</v>
      </c>
      <c r="D41" s="5" t="s">
        <v>20</v>
      </c>
      <c r="E41" s="6" t="s">
        <v>81</v>
      </c>
    </row>
    <row r="42" ht="150.55" customHeight="1" spans="1:5">
      <c r="A42" s="5" t="s">
        <v>18</v>
      </c>
      <c r="B42" s="5">
        <v>1</v>
      </c>
      <c r="C42" s="5" t="s">
        <v>82</v>
      </c>
      <c r="D42" s="5" t="s">
        <v>20</v>
      </c>
      <c r="E42" s="6" t="s">
        <v>83</v>
      </c>
    </row>
    <row r="43" ht="120.45" customHeight="1" spans="1:5">
      <c r="A43" s="5" t="s">
        <v>18</v>
      </c>
      <c r="B43" s="5">
        <v>1</v>
      </c>
      <c r="C43" s="5" t="s">
        <v>84</v>
      </c>
      <c r="D43" s="5" t="s">
        <v>20</v>
      </c>
      <c r="E43" s="6" t="s">
        <v>85</v>
      </c>
    </row>
  </sheetData>
  <pageMargins left="0.7" right="0.7" top="0.75" bottom="0.75" header="0.3" footer="0.3"/>
  <pageSetup paperSize="1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1"/>
  <sheetViews>
    <sheetView tabSelected="1" workbookViewId="0">
      <selection activeCell="A1" sqref="A1"/>
    </sheetView>
  </sheetViews>
  <sheetFormatPr defaultColWidth="9" defaultRowHeight="15.05" customHeight="1" outlineLevelCol="4"/>
  <cols>
    <col min="1" max="1" width="16.1949152542373" customWidth="1"/>
    <col min="2" max="2" width="30" customWidth="1"/>
    <col min="3" max="3" width="24" customWidth="1"/>
    <col min="4" max="4" width="90" customWidth="1"/>
    <col min="5" max="5" width="55" customWidth="1"/>
  </cols>
  <sheetData>
    <row r="1" ht="17" customHeight="1" spans="1:5">
      <c r="A1" s="1" t="s">
        <v>86</v>
      </c>
    </row>
    <row r="3" spans="1:5">
      <c r="A3" s="2" t="s">
        <v>1</v>
      </c>
      <c r="B3" s="3" t="s">
        <v>2</v>
      </c>
    </row>
    <row r="4" spans="1:5">
      <c r="A4" s="2" t="s">
        <v>5</v>
      </c>
      <c r="B4" s="3" t="s">
        <v>6</v>
      </c>
    </row>
    <row r="5" ht="62.2" customHeight="1" spans="1:5">
      <c r="A5" s="2" t="s">
        <v>87</v>
      </c>
      <c r="B5" s="17" t="s">
        <v>88</v>
      </c>
    </row>
    <row r="8" spans="1:5">
      <c r="A8" s="4" t="s">
        <v>89</v>
      </c>
      <c r="B8" s="4" t="s">
        <v>90</v>
      </c>
      <c r="C8" s="4" t="s">
        <v>91</v>
      </c>
      <c r="D8" s="4" t="s">
        <v>92</v>
      </c>
      <c r="E8" s="4" t="s">
        <v>93</v>
      </c>
    </row>
    <row r="9" ht="45.15" customHeight="1" spans="1:5">
      <c r="A9" s="5">
        <v>1</v>
      </c>
      <c r="B9" s="6" t="s">
        <v>19</v>
      </c>
      <c r="C9" s="6" t="s">
        <v>19</v>
      </c>
      <c r="D9" s="6" t="s">
        <v>94</v>
      </c>
      <c r="E9" s="6" t="s">
        <v>95</v>
      </c>
    </row>
    <row r="10" ht="30.1" customHeight="1" spans="1:5">
      <c r="A10" s="5">
        <v>2</v>
      </c>
      <c r="B10" s="6" t="s">
        <v>96</v>
      </c>
      <c r="C10" s="6" t="s">
        <v>22</v>
      </c>
      <c r="D10" s="6" t="s">
        <v>97</v>
      </c>
      <c r="E10" s="6" t="s">
        <v>98</v>
      </c>
    </row>
    <row r="11" ht="30.1" customHeight="1" spans="1:5">
      <c r="A11" s="5">
        <v>3</v>
      </c>
      <c r="B11" s="6" t="s">
        <v>99</v>
      </c>
      <c r="C11" s="6" t="s">
        <v>24</v>
      </c>
      <c r="D11" s="6" t="s">
        <v>100</v>
      </c>
      <c r="E11" s="6" t="s">
        <v>101</v>
      </c>
    </row>
    <row r="12" ht="30.1" customHeight="1" spans="1:5">
      <c r="A12" s="5">
        <v>4</v>
      </c>
      <c r="B12" s="6" t="s">
        <v>102</v>
      </c>
      <c r="C12" s="6" t="s">
        <v>26</v>
      </c>
      <c r="D12" s="6" t="s">
        <v>103</v>
      </c>
      <c r="E12" s="6" t="s">
        <v>104</v>
      </c>
    </row>
    <row r="13" ht="30.1" customHeight="1" spans="1:5">
      <c r="A13" s="5">
        <v>5</v>
      </c>
      <c r="B13" s="6" t="s">
        <v>105</v>
      </c>
      <c r="C13" s="6" t="s">
        <v>28</v>
      </c>
      <c r="D13" s="6" t="s">
        <v>106</v>
      </c>
      <c r="E13" s="6" t="s">
        <v>107</v>
      </c>
    </row>
    <row r="14" ht="30.1" customHeight="1" spans="1:5">
      <c r="A14" s="5">
        <v>6</v>
      </c>
      <c r="B14" s="6" t="s">
        <v>108</v>
      </c>
      <c r="C14" s="6" t="s">
        <v>30</v>
      </c>
      <c r="D14" s="6" t="s">
        <v>109</v>
      </c>
      <c r="E14" s="6" t="s">
        <v>110</v>
      </c>
    </row>
    <row r="15" ht="45.15" customHeight="1" spans="1:5">
      <c r="A15" s="5">
        <v>7</v>
      </c>
      <c r="B15" s="6" t="s">
        <v>111</v>
      </c>
      <c r="C15" s="6" t="s">
        <v>32</v>
      </c>
      <c r="D15" s="6" t="s">
        <v>112</v>
      </c>
      <c r="E15" s="6" t="s">
        <v>113</v>
      </c>
    </row>
    <row r="16" ht="30.1" customHeight="1" spans="1:5">
      <c r="A16" s="5">
        <v>8</v>
      </c>
      <c r="B16" s="6" t="s">
        <v>114</v>
      </c>
      <c r="C16" s="6" t="s">
        <v>34</v>
      </c>
      <c r="D16" s="6" t="s">
        <v>115</v>
      </c>
      <c r="E16" s="6" t="s">
        <v>116</v>
      </c>
    </row>
    <row r="17" ht="30.1" customHeight="1" spans="1:5">
      <c r="A17" s="5">
        <v>9</v>
      </c>
      <c r="B17" s="6" t="s">
        <v>117</v>
      </c>
      <c r="C17" s="6" t="s">
        <v>36</v>
      </c>
      <c r="D17" s="6" t="s">
        <v>118</v>
      </c>
      <c r="E17" s="6" t="s">
        <v>119</v>
      </c>
    </row>
    <row r="18" ht="45.15" customHeight="1" spans="1:5">
      <c r="A18" s="5">
        <v>10</v>
      </c>
      <c r="B18" s="6" t="s">
        <v>120</v>
      </c>
      <c r="C18" s="6" t="s">
        <v>38</v>
      </c>
      <c r="D18" s="6" t="s">
        <v>121</v>
      </c>
      <c r="E18" s="6" t="s">
        <v>122</v>
      </c>
    </row>
    <row r="19" ht="30.1" customHeight="1" spans="1:5">
      <c r="A19" s="5">
        <v>11</v>
      </c>
      <c r="B19" s="6" t="s">
        <v>123</v>
      </c>
      <c r="C19" s="6" t="s">
        <v>40</v>
      </c>
      <c r="D19" s="6" t="s">
        <v>124</v>
      </c>
      <c r="E19" s="6" t="s">
        <v>125</v>
      </c>
    </row>
    <row r="20" ht="45.15" customHeight="1" spans="1:5">
      <c r="A20" s="5">
        <v>12</v>
      </c>
      <c r="B20" s="6" t="s">
        <v>126</v>
      </c>
      <c r="C20" s="6" t="s">
        <v>42</v>
      </c>
      <c r="D20" s="6" t="s">
        <v>127</v>
      </c>
      <c r="E20" s="6" t="s">
        <v>128</v>
      </c>
    </row>
    <row r="21" ht="45.15" customHeight="1" spans="1:5">
      <c r="A21" s="5">
        <v>13</v>
      </c>
      <c r="B21" s="6" t="s">
        <v>129</v>
      </c>
      <c r="C21" s="6" t="s">
        <v>44</v>
      </c>
      <c r="D21" s="6" t="s">
        <v>130</v>
      </c>
      <c r="E21" s="6" t="s">
        <v>131</v>
      </c>
    </row>
    <row r="22" ht="45.15" customHeight="1" spans="1:5">
      <c r="A22" s="5">
        <v>14</v>
      </c>
      <c r="B22" s="6" t="s">
        <v>132</v>
      </c>
      <c r="C22" s="6" t="s">
        <v>46</v>
      </c>
      <c r="D22" s="6" t="s">
        <v>133</v>
      </c>
      <c r="E22" s="6" t="s">
        <v>134</v>
      </c>
    </row>
    <row r="23" ht="30.1" customHeight="1" spans="1:5">
      <c r="A23" s="5">
        <v>15</v>
      </c>
      <c r="B23" s="6" t="s">
        <v>135</v>
      </c>
      <c r="C23" s="6" t="s">
        <v>48</v>
      </c>
      <c r="D23" s="6" t="s">
        <v>136</v>
      </c>
      <c r="E23" s="6" t="s">
        <v>137</v>
      </c>
    </row>
    <row r="24" ht="30.1" customHeight="1" spans="1:5">
      <c r="A24" s="5">
        <v>16</v>
      </c>
      <c r="B24" s="6" t="s">
        <v>138</v>
      </c>
      <c r="C24" s="6" t="s">
        <v>50</v>
      </c>
      <c r="D24" s="6" t="s">
        <v>139</v>
      </c>
      <c r="E24" s="6" t="s">
        <v>140</v>
      </c>
    </row>
    <row r="25" ht="45.15" customHeight="1" spans="1:5">
      <c r="A25" s="5">
        <v>17</v>
      </c>
      <c r="B25" s="6" t="s">
        <v>141</v>
      </c>
      <c r="C25" s="6" t="s">
        <v>52</v>
      </c>
      <c r="D25" s="6" t="s">
        <v>142</v>
      </c>
      <c r="E25" s="6" t="s">
        <v>143</v>
      </c>
    </row>
    <row r="26" ht="45.15" customHeight="1" spans="1:5">
      <c r="A26" s="5">
        <v>18</v>
      </c>
      <c r="B26" s="6" t="s">
        <v>144</v>
      </c>
      <c r="C26" s="6" t="s">
        <v>54</v>
      </c>
      <c r="D26" s="6" t="s">
        <v>145</v>
      </c>
      <c r="E26" s="6" t="s">
        <v>146</v>
      </c>
    </row>
    <row r="27" ht="45.15" customHeight="1" spans="1:5">
      <c r="A27" s="5">
        <v>19</v>
      </c>
      <c r="B27" s="6" t="s">
        <v>147</v>
      </c>
      <c r="C27" s="6" t="s">
        <v>56</v>
      </c>
      <c r="D27" s="6" t="s">
        <v>148</v>
      </c>
      <c r="E27" s="6" t="s">
        <v>149</v>
      </c>
    </row>
    <row r="28" ht="45.15" customHeight="1" spans="1:5">
      <c r="A28" s="5">
        <v>20</v>
      </c>
      <c r="B28" s="6" t="s">
        <v>150</v>
      </c>
      <c r="C28" s="6" t="s">
        <v>58</v>
      </c>
      <c r="D28" s="6" t="s">
        <v>151</v>
      </c>
      <c r="E28" s="6" t="s">
        <v>152</v>
      </c>
    </row>
    <row r="29" ht="30.1" customHeight="1" spans="1:5">
      <c r="A29" s="5">
        <v>21</v>
      </c>
      <c r="B29" s="6" t="s">
        <v>153</v>
      </c>
      <c r="C29" s="6" t="s">
        <v>60</v>
      </c>
      <c r="D29" s="6" t="s">
        <v>154</v>
      </c>
      <c r="E29" s="6" t="s">
        <v>155</v>
      </c>
    </row>
    <row r="30" ht="45.15" customHeight="1" spans="1:5">
      <c r="A30" s="5">
        <v>22</v>
      </c>
      <c r="B30" s="6" t="s">
        <v>156</v>
      </c>
      <c r="C30" s="6" t="s">
        <v>62</v>
      </c>
      <c r="D30" s="6" t="s">
        <v>157</v>
      </c>
      <c r="E30" s="6" t="s">
        <v>158</v>
      </c>
    </row>
    <row r="31" ht="30.1" customHeight="1" spans="1:5">
      <c r="A31" s="5">
        <v>23</v>
      </c>
      <c r="B31" s="6" t="s">
        <v>159</v>
      </c>
      <c r="C31" s="6" t="s">
        <v>64</v>
      </c>
      <c r="D31" s="6" t="s">
        <v>160</v>
      </c>
      <c r="E31" s="6" t="s">
        <v>161</v>
      </c>
    </row>
    <row r="32" ht="45.15" customHeight="1" spans="1:5">
      <c r="A32" s="5">
        <v>24</v>
      </c>
      <c r="B32" s="6" t="s">
        <v>162</v>
      </c>
      <c r="C32" s="6" t="s">
        <v>66</v>
      </c>
      <c r="D32" s="6" t="s">
        <v>163</v>
      </c>
      <c r="E32" s="6" t="s">
        <v>164</v>
      </c>
    </row>
    <row r="33" ht="45.15" customHeight="1" spans="1:5">
      <c r="A33" s="5">
        <v>25</v>
      </c>
      <c r="B33" s="6" t="s">
        <v>165</v>
      </c>
      <c r="C33" s="6" t="s">
        <v>68</v>
      </c>
      <c r="D33" s="6" t="s">
        <v>166</v>
      </c>
      <c r="E33" s="6" t="s">
        <v>167</v>
      </c>
    </row>
    <row r="34" ht="45.15" customHeight="1" spans="1:5">
      <c r="A34" s="5">
        <v>26</v>
      </c>
      <c r="B34" s="6" t="s">
        <v>168</v>
      </c>
      <c r="C34" s="6" t="s">
        <v>70</v>
      </c>
      <c r="D34" s="6" t="s">
        <v>169</v>
      </c>
      <c r="E34" s="6" t="s">
        <v>170</v>
      </c>
    </row>
    <row r="35" ht="60.2" customHeight="1" spans="1:5">
      <c r="A35" s="5">
        <v>27</v>
      </c>
      <c r="B35" s="6" t="s">
        <v>171</v>
      </c>
      <c r="C35" s="6" t="s">
        <v>72</v>
      </c>
      <c r="D35" s="6" t="s">
        <v>172</v>
      </c>
      <c r="E35" s="6" t="s">
        <v>173</v>
      </c>
    </row>
    <row r="36" ht="45.15" customHeight="1" spans="1:5">
      <c r="A36" s="5">
        <v>28</v>
      </c>
      <c r="B36" s="6" t="s">
        <v>174</v>
      </c>
      <c r="C36" s="6" t="s">
        <v>74</v>
      </c>
      <c r="D36" s="6" t="s">
        <v>175</v>
      </c>
      <c r="E36" s="6" t="s">
        <v>176</v>
      </c>
    </row>
    <row r="37" ht="45.15" customHeight="1" spans="1:5">
      <c r="A37" s="5">
        <v>29</v>
      </c>
      <c r="B37" s="6" t="s">
        <v>177</v>
      </c>
      <c r="C37" s="6" t="s">
        <v>76</v>
      </c>
      <c r="D37" s="6" t="s">
        <v>178</v>
      </c>
      <c r="E37" s="6" t="s">
        <v>179</v>
      </c>
    </row>
    <row r="38" ht="45.15" customHeight="1" spans="1:5">
      <c r="A38" s="5">
        <v>30</v>
      </c>
      <c r="B38" s="6" t="s">
        <v>180</v>
      </c>
      <c r="C38" s="6" t="s">
        <v>78</v>
      </c>
      <c r="D38" s="6" t="s">
        <v>181</v>
      </c>
      <c r="E38" s="6" t="s">
        <v>179</v>
      </c>
    </row>
    <row r="39" ht="45.15" customHeight="1" spans="1:5">
      <c r="A39" s="5">
        <v>31</v>
      </c>
      <c r="B39" s="6" t="s">
        <v>182</v>
      </c>
      <c r="C39" s="6" t="s">
        <v>80</v>
      </c>
      <c r="D39" s="6" t="s">
        <v>183</v>
      </c>
      <c r="E39" s="6" t="s">
        <v>184</v>
      </c>
    </row>
    <row r="40" ht="60.2" customHeight="1" spans="1:5">
      <c r="A40" s="5">
        <v>32</v>
      </c>
      <c r="B40" s="6" t="s">
        <v>185</v>
      </c>
      <c r="C40" s="6" t="s">
        <v>82</v>
      </c>
      <c r="D40" s="6" t="s">
        <v>186</v>
      </c>
      <c r="E40" s="6" t="s">
        <v>187</v>
      </c>
    </row>
    <row r="41" ht="60.2" customHeight="1" spans="1:5">
      <c r="A41" s="5">
        <v>33</v>
      </c>
      <c r="B41" s="6" t="s">
        <v>188</v>
      </c>
      <c r="C41" s="6" t="s">
        <v>84</v>
      </c>
      <c r="D41" s="6" t="s">
        <v>189</v>
      </c>
      <c r="E41" s="6" t="s">
        <v>190</v>
      </c>
    </row>
  </sheetData>
  <pageMargins left="0.7" right="0.7" top="0.75" bottom="0.75" header="0.3" footer="0.3"/>
  <pageSetup paperSize="1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19</v>
      </c>
      <c r="C1" s="8"/>
      <c r="D1" s="8"/>
    </row>
    <row r="2" spans="1:15">
      <c r="A2" s="9" t="s">
        <v>191</v>
      </c>
      <c r="B2" s="10" t="s">
        <v>94</v>
      </c>
      <c r="C2" s="10"/>
      <c r="D2" s="10"/>
    </row>
    <row r="3" spans="1:15">
      <c r="A3" s="9" t="s">
        <v>192</v>
      </c>
      <c r="B3" s="11">
        <f>SUM(B5:D5)</f>
        <v>8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209</v>
      </c>
      <c r="B11" s="15" t="s">
        <v>210</v>
      </c>
      <c r="C11" s="15" t="s">
        <v>211</v>
      </c>
      <c r="D11" s="15" t="s">
        <v>212</v>
      </c>
      <c r="E11" s="15" t="s">
        <v>95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215</v>
      </c>
      <c r="B12" s="15" t="s">
        <v>216</v>
      </c>
      <c r="C12" s="15" t="s">
        <v>217</v>
      </c>
      <c r="D12" s="15" t="s">
        <v>218</v>
      </c>
      <c r="E12" s="15" t="s">
        <v>95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219</v>
      </c>
      <c r="B13" s="15" t="s">
        <v>220</v>
      </c>
      <c r="C13" s="15" t="s">
        <v>221</v>
      </c>
      <c r="D13" s="15" t="s">
        <v>222</v>
      </c>
      <c r="E13" s="15" t="s">
        <v>95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223</v>
      </c>
      <c r="B14" s="15" t="s">
        <v>224</v>
      </c>
      <c r="C14" s="15" t="s">
        <v>225</v>
      </c>
      <c r="D14" s="15" t="s">
        <v>226</v>
      </c>
      <c r="E14" s="15" t="s">
        <v>95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60.2" customHeight="1" spans="1:15">
      <c r="A15" s="14" t="s">
        <v>227</v>
      </c>
      <c r="B15" s="15" t="s">
        <v>228</v>
      </c>
      <c r="C15" s="15" t="s">
        <v>229</v>
      </c>
      <c r="D15" s="15" t="s">
        <v>230</v>
      </c>
      <c r="E15" s="15" t="s">
        <v>95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60.2" customHeight="1" spans="1:15">
      <c r="A16" s="14" t="s">
        <v>231</v>
      </c>
      <c r="B16" s="15" t="s">
        <v>232</v>
      </c>
      <c r="C16" s="15" t="s">
        <v>233</v>
      </c>
      <c r="D16" s="15" t="s">
        <v>234</v>
      </c>
      <c r="E16" s="15" t="s">
        <v>95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60.2" customHeight="1" spans="1:15">
      <c r="A17" s="14" t="s">
        <v>235</v>
      </c>
      <c r="B17" s="15" t="s">
        <v>236</v>
      </c>
      <c r="C17" s="15" t="s">
        <v>237</v>
      </c>
      <c r="D17" s="15" t="s">
        <v>238</v>
      </c>
      <c r="E17" s="15" t="s">
        <v>95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60.2" customHeight="1" spans="1:15">
      <c r="A18" s="14" t="s">
        <v>239</v>
      </c>
      <c r="B18" s="15" t="s">
        <v>240</v>
      </c>
      <c r="C18" s="15" t="s">
        <v>241</v>
      </c>
      <c r="D18" s="15" t="s">
        <v>242</v>
      </c>
      <c r="E18" s="15" t="s">
        <v>95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96</v>
      </c>
      <c r="C1" s="8"/>
      <c r="D1" s="8"/>
    </row>
    <row r="2" spans="1:15">
      <c r="A2" s="9" t="s">
        <v>191</v>
      </c>
      <c r="B2" s="10" t="s">
        <v>97</v>
      </c>
      <c r="C2" s="10"/>
      <c r="D2" s="10"/>
    </row>
    <row r="3" spans="1:15">
      <c r="A3" s="9" t="s">
        <v>192</v>
      </c>
      <c r="B3" s="11">
        <f>SUM(B5:D5)</f>
        <v>8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243</v>
      </c>
      <c r="B11" s="15" t="s">
        <v>244</v>
      </c>
      <c r="C11" s="15" t="s">
        <v>245</v>
      </c>
      <c r="D11" s="15" t="s">
        <v>246</v>
      </c>
      <c r="E11" s="15" t="s">
        <v>98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247</v>
      </c>
      <c r="B12" s="15" t="s">
        <v>248</v>
      </c>
      <c r="C12" s="15" t="s">
        <v>249</v>
      </c>
      <c r="D12" s="15" t="s">
        <v>250</v>
      </c>
      <c r="E12" s="15" t="s">
        <v>98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251</v>
      </c>
      <c r="B13" s="15" t="s">
        <v>252</v>
      </c>
      <c r="C13" s="15" t="s">
        <v>253</v>
      </c>
      <c r="D13" s="15" t="s">
        <v>254</v>
      </c>
      <c r="E13" s="15" t="s">
        <v>98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255</v>
      </c>
      <c r="B14" s="15" t="s">
        <v>256</v>
      </c>
      <c r="C14" s="15" t="s">
        <v>257</v>
      </c>
      <c r="D14" s="15" t="s">
        <v>258</v>
      </c>
      <c r="E14" s="15" t="s">
        <v>98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60.2" customHeight="1" spans="1:15">
      <c r="A15" s="14" t="s">
        <v>259</v>
      </c>
      <c r="B15" s="15" t="s">
        <v>260</v>
      </c>
      <c r="C15" s="15" t="s">
        <v>261</v>
      </c>
      <c r="D15" s="15" t="s">
        <v>262</v>
      </c>
      <c r="E15" s="15" t="s">
        <v>98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60.2" customHeight="1" spans="1:15">
      <c r="A16" s="14" t="s">
        <v>263</v>
      </c>
      <c r="B16" s="15" t="s">
        <v>264</v>
      </c>
      <c r="C16" s="15" t="s">
        <v>265</v>
      </c>
      <c r="D16" s="15" t="s">
        <v>266</v>
      </c>
      <c r="E16" s="15" t="s">
        <v>98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60.2" customHeight="1" spans="1:15">
      <c r="A17" s="14" t="s">
        <v>267</v>
      </c>
      <c r="B17" s="15" t="s">
        <v>268</v>
      </c>
      <c r="C17" s="15" t="s">
        <v>269</v>
      </c>
      <c r="D17" s="15" t="s">
        <v>270</v>
      </c>
      <c r="E17" s="15" t="s">
        <v>98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60.2" customHeight="1" spans="1:15">
      <c r="A18" s="14" t="s">
        <v>271</v>
      </c>
      <c r="B18" s="15" t="s">
        <v>272</v>
      </c>
      <c r="C18" s="15" t="s">
        <v>273</v>
      </c>
      <c r="D18" s="15" t="s">
        <v>274</v>
      </c>
      <c r="E18" s="15" t="s">
        <v>98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99</v>
      </c>
      <c r="C1" s="8"/>
      <c r="D1" s="8"/>
    </row>
    <row r="2" spans="1:15">
      <c r="A2" s="9" t="s">
        <v>191</v>
      </c>
      <c r="B2" s="10" t="s">
        <v>100</v>
      </c>
      <c r="C2" s="10"/>
      <c r="D2" s="10"/>
    </row>
    <row r="3" spans="1:15">
      <c r="A3" s="9" t="s">
        <v>192</v>
      </c>
      <c r="B3" s="11">
        <f>SUM(B5:D5)</f>
        <v>5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275</v>
      </c>
      <c r="B11" s="15" t="s">
        <v>276</v>
      </c>
      <c r="C11" s="15" t="s">
        <v>277</v>
      </c>
      <c r="D11" s="15" t="s">
        <v>278</v>
      </c>
      <c r="E11" s="15" t="s">
        <v>101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279</v>
      </c>
      <c r="B12" s="15" t="s">
        <v>280</v>
      </c>
      <c r="C12" s="15" t="s">
        <v>281</v>
      </c>
      <c r="D12" s="15" t="s">
        <v>282</v>
      </c>
      <c r="E12" s="15" t="s">
        <v>101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283</v>
      </c>
      <c r="B13" s="15" t="s">
        <v>284</v>
      </c>
      <c r="C13" s="15" t="s">
        <v>285</v>
      </c>
      <c r="D13" s="15" t="s">
        <v>286</v>
      </c>
      <c r="E13" s="15" t="s">
        <v>101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287</v>
      </c>
      <c r="B14" s="15" t="s">
        <v>288</v>
      </c>
      <c r="C14" s="15" t="s">
        <v>289</v>
      </c>
      <c r="D14" s="15" t="s">
        <v>290</v>
      </c>
      <c r="E14" s="15" t="s">
        <v>101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60.2" customHeight="1" spans="1:15">
      <c r="A15" s="14" t="s">
        <v>291</v>
      </c>
      <c r="B15" s="15" t="s">
        <v>292</v>
      </c>
      <c r="C15" s="15" t="s">
        <v>293</v>
      </c>
      <c r="D15" s="15" t="s">
        <v>294</v>
      </c>
      <c r="E15" s="15" t="s">
        <v>101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102</v>
      </c>
      <c r="C1" s="8"/>
      <c r="D1" s="8"/>
    </row>
    <row r="2" spans="1:15">
      <c r="A2" s="9" t="s">
        <v>191</v>
      </c>
      <c r="B2" s="10" t="s">
        <v>103</v>
      </c>
      <c r="C2" s="10"/>
      <c r="D2" s="10"/>
    </row>
    <row r="3" spans="1:15">
      <c r="A3" s="9" t="s">
        <v>192</v>
      </c>
      <c r="B3" s="11">
        <f>SUM(B5:D5)</f>
        <v>9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>
      <c r="A11" s="14" t="s">
        <v>295</v>
      </c>
      <c r="B11" s="15" t="s">
        <v>296</v>
      </c>
      <c r="C11" s="15" t="s">
        <v>297</v>
      </c>
      <c r="D11" s="15" t="s">
        <v>298</v>
      </c>
      <c r="E11" s="15" t="s">
        <v>104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45.15" customHeight="1" spans="1:15">
      <c r="A12" s="14" t="s">
        <v>299</v>
      </c>
      <c r="B12" s="15" t="s">
        <v>300</v>
      </c>
      <c r="C12" s="15" t="s">
        <v>301</v>
      </c>
      <c r="D12" s="15" t="s">
        <v>302</v>
      </c>
      <c r="E12" s="15" t="s">
        <v>104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45.15" customHeight="1" spans="1:15">
      <c r="A13" s="14" t="s">
        <v>303</v>
      </c>
      <c r="B13" s="15" t="s">
        <v>304</v>
      </c>
      <c r="C13" s="15" t="s">
        <v>305</v>
      </c>
      <c r="D13" s="15" t="s">
        <v>306</v>
      </c>
      <c r="E13" s="15" t="s">
        <v>104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45.15" customHeight="1" spans="1:15">
      <c r="A14" s="14" t="s">
        <v>307</v>
      </c>
      <c r="B14" s="15" t="s">
        <v>308</v>
      </c>
      <c r="C14" s="15" t="s">
        <v>309</v>
      </c>
      <c r="D14" s="15" t="s">
        <v>310</v>
      </c>
      <c r="E14" s="15" t="s">
        <v>104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45.15" customHeight="1" spans="1:15">
      <c r="A15" s="14" t="s">
        <v>311</v>
      </c>
      <c r="B15" s="15" t="s">
        <v>312</v>
      </c>
      <c r="C15" s="15" t="s">
        <v>313</v>
      </c>
      <c r="D15" s="15" t="s">
        <v>314</v>
      </c>
      <c r="E15" s="15" t="s">
        <v>104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45.15" customHeight="1" spans="1:15">
      <c r="A16" s="14" t="s">
        <v>315</v>
      </c>
      <c r="B16" s="15" t="s">
        <v>316</v>
      </c>
      <c r="C16" s="15" t="s">
        <v>317</v>
      </c>
      <c r="D16" s="15" t="s">
        <v>318</v>
      </c>
      <c r="E16" s="15" t="s">
        <v>104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45.15" customHeight="1" spans="1:15">
      <c r="A17" s="14" t="s">
        <v>319</v>
      </c>
      <c r="B17" s="15" t="s">
        <v>320</v>
      </c>
      <c r="C17" s="15" t="s">
        <v>321</v>
      </c>
      <c r="D17" s="15" t="s">
        <v>322</v>
      </c>
      <c r="E17" s="15" t="s">
        <v>104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45.15" customHeight="1" spans="1:15">
      <c r="A18" s="14" t="s">
        <v>323</v>
      </c>
      <c r="B18" s="15" t="s">
        <v>324</v>
      </c>
      <c r="C18" s="15" t="s">
        <v>325</v>
      </c>
      <c r="D18" s="15" t="s">
        <v>326</v>
      </c>
      <c r="E18" s="15" t="s">
        <v>104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45.15" customHeight="1" spans="1:15">
      <c r="A19" s="14" t="s">
        <v>327</v>
      </c>
      <c r="B19" s="15" t="s">
        <v>328</v>
      </c>
      <c r="C19" s="15" t="s">
        <v>329</v>
      </c>
      <c r="D19" s="15" t="s">
        <v>330</v>
      </c>
      <c r="E19" s="15" t="s">
        <v>104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105</v>
      </c>
      <c r="C1" s="8"/>
      <c r="D1" s="8"/>
    </row>
    <row r="2" spans="1:15">
      <c r="A2" s="9" t="s">
        <v>191</v>
      </c>
      <c r="B2" s="10" t="s">
        <v>106</v>
      </c>
      <c r="C2" s="10"/>
      <c r="D2" s="10"/>
    </row>
    <row r="3" spans="1:15">
      <c r="A3" s="9" t="s">
        <v>192</v>
      </c>
      <c r="B3" s="11">
        <f>SUM(B5:D5)</f>
        <v>9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>
      <c r="A11" s="14" t="s">
        <v>331</v>
      </c>
      <c r="B11" s="15" t="s">
        <v>296</v>
      </c>
      <c r="C11" s="15" t="s">
        <v>332</v>
      </c>
      <c r="D11" s="15" t="s">
        <v>298</v>
      </c>
      <c r="E11" s="15" t="s">
        <v>107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45.15" customHeight="1" spans="1:15">
      <c r="A12" s="14" t="s">
        <v>333</v>
      </c>
      <c r="B12" s="15" t="s">
        <v>334</v>
      </c>
      <c r="C12" s="15" t="s">
        <v>335</v>
      </c>
      <c r="D12" s="15" t="s">
        <v>336</v>
      </c>
      <c r="E12" s="15" t="s">
        <v>107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45.15" customHeight="1" spans="1:15">
      <c r="A13" s="14" t="s">
        <v>337</v>
      </c>
      <c r="B13" s="15" t="s">
        <v>300</v>
      </c>
      <c r="C13" s="15" t="s">
        <v>338</v>
      </c>
      <c r="D13" s="15" t="s">
        <v>302</v>
      </c>
      <c r="E13" s="15" t="s">
        <v>107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45.15" customHeight="1" spans="1:15">
      <c r="A14" s="14" t="s">
        <v>339</v>
      </c>
      <c r="B14" s="15" t="s">
        <v>304</v>
      </c>
      <c r="C14" s="15" t="s">
        <v>340</v>
      </c>
      <c r="D14" s="15" t="s">
        <v>306</v>
      </c>
      <c r="E14" s="15" t="s">
        <v>107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45.15" customHeight="1" spans="1:15">
      <c r="A15" s="14" t="s">
        <v>341</v>
      </c>
      <c r="B15" s="15" t="s">
        <v>308</v>
      </c>
      <c r="C15" s="15" t="s">
        <v>342</v>
      </c>
      <c r="D15" s="15" t="s">
        <v>310</v>
      </c>
      <c r="E15" s="15" t="s">
        <v>107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45.15" customHeight="1" spans="1:15">
      <c r="A16" s="14" t="s">
        <v>343</v>
      </c>
      <c r="B16" s="15" t="s">
        <v>312</v>
      </c>
      <c r="C16" s="15" t="s">
        <v>344</v>
      </c>
      <c r="D16" s="15" t="s">
        <v>314</v>
      </c>
      <c r="E16" s="15" t="s">
        <v>107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45.15" customHeight="1" spans="1:15">
      <c r="A17" s="14" t="s">
        <v>345</v>
      </c>
      <c r="B17" s="15" t="s">
        <v>346</v>
      </c>
      <c r="C17" s="15" t="s">
        <v>347</v>
      </c>
      <c r="D17" s="15" t="s">
        <v>348</v>
      </c>
      <c r="E17" s="15" t="s">
        <v>107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45.15" customHeight="1" spans="1:15">
      <c r="A18" s="14" t="s">
        <v>349</v>
      </c>
      <c r="B18" s="15" t="s">
        <v>324</v>
      </c>
      <c r="C18" s="15" t="s">
        <v>350</v>
      </c>
      <c r="D18" s="15" t="s">
        <v>326</v>
      </c>
      <c r="E18" s="15" t="s">
        <v>107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45.15" customHeight="1" spans="1:15">
      <c r="A19" s="14" t="s">
        <v>351</v>
      </c>
      <c r="B19" s="15" t="s">
        <v>328</v>
      </c>
      <c r="C19" s="15" t="s">
        <v>352</v>
      </c>
      <c r="D19" s="15" t="s">
        <v>330</v>
      </c>
      <c r="E19" s="15" t="s">
        <v>107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108</v>
      </c>
      <c r="C1" s="8"/>
      <c r="D1" s="8"/>
    </row>
    <row r="2" spans="1:15">
      <c r="A2" s="9" t="s">
        <v>191</v>
      </c>
      <c r="B2" s="10" t="s">
        <v>109</v>
      </c>
      <c r="C2" s="10"/>
      <c r="D2" s="10"/>
    </row>
    <row r="3" spans="1:15">
      <c r="A3" s="9" t="s">
        <v>192</v>
      </c>
      <c r="B3" s="11">
        <f>SUM(B5:D5)</f>
        <v>4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353</v>
      </c>
      <c r="B11" s="15" t="s">
        <v>354</v>
      </c>
      <c r="C11" s="15" t="s">
        <v>355</v>
      </c>
      <c r="D11" s="15" t="s">
        <v>356</v>
      </c>
      <c r="E11" s="15" t="s">
        <v>110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357</v>
      </c>
      <c r="B12" s="15" t="s">
        <v>358</v>
      </c>
      <c r="C12" s="15" t="s">
        <v>359</v>
      </c>
      <c r="D12" s="15" t="s">
        <v>360</v>
      </c>
      <c r="E12" s="15" t="s">
        <v>110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361</v>
      </c>
      <c r="B13" s="15" t="s">
        <v>362</v>
      </c>
      <c r="C13" s="15" t="s">
        <v>363</v>
      </c>
      <c r="D13" s="15" t="s">
        <v>364</v>
      </c>
      <c r="E13" s="15" t="s">
        <v>110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365</v>
      </c>
      <c r="B14" s="15" t="s">
        <v>366</v>
      </c>
      <c r="C14" s="15" t="s">
        <v>367</v>
      </c>
      <c r="D14" s="15" t="s">
        <v>368</v>
      </c>
      <c r="E14" s="15" t="s">
        <v>110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111</v>
      </c>
      <c r="C1" s="8"/>
      <c r="D1" s="8"/>
    </row>
    <row r="2" spans="1:15">
      <c r="A2" s="9" t="s">
        <v>191</v>
      </c>
      <c r="B2" s="10" t="s">
        <v>112</v>
      </c>
      <c r="C2" s="10"/>
      <c r="D2" s="10"/>
    </row>
    <row r="3" spans="1:15">
      <c r="A3" s="9" t="s">
        <v>192</v>
      </c>
      <c r="B3" s="11">
        <f>SUM(B5:D5)</f>
        <v>8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369</v>
      </c>
      <c r="B11" s="15" t="s">
        <v>370</v>
      </c>
      <c r="C11" s="15" t="s">
        <v>371</v>
      </c>
      <c r="D11" s="15" t="s">
        <v>372</v>
      </c>
      <c r="E11" s="15" t="s">
        <v>113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75.25" customHeight="1" spans="1:15">
      <c r="A12" s="14" t="s">
        <v>373</v>
      </c>
      <c r="B12" s="15" t="s">
        <v>374</v>
      </c>
      <c r="C12" s="15" t="s">
        <v>375</v>
      </c>
      <c r="D12" s="15" t="s">
        <v>376</v>
      </c>
      <c r="E12" s="15" t="s">
        <v>113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75.25" customHeight="1" spans="1:15">
      <c r="A13" s="14" t="s">
        <v>377</v>
      </c>
      <c r="B13" s="15" t="s">
        <v>378</v>
      </c>
      <c r="C13" s="15" t="s">
        <v>379</v>
      </c>
      <c r="D13" s="15" t="s">
        <v>380</v>
      </c>
      <c r="E13" s="15" t="s">
        <v>113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75.25" customHeight="1" spans="1:15">
      <c r="A14" s="14" t="s">
        <v>381</v>
      </c>
      <c r="B14" s="15" t="s">
        <v>382</v>
      </c>
      <c r="C14" s="15" t="s">
        <v>383</v>
      </c>
      <c r="D14" s="15" t="s">
        <v>384</v>
      </c>
      <c r="E14" s="15" t="s">
        <v>113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75.25" customHeight="1" spans="1:15">
      <c r="A15" s="14" t="s">
        <v>385</v>
      </c>
      <c r="B15" s="15" t="s">
        <v>386</v>
      </c>
      <c r="C15" s="15" t="s">
        <v>387</v>
      </c>
      <c r="D15" s="15" t="s">
        <v>388</v>
      </c>
      <c r="E15" s="15" t="s">
        <v>113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75.25" customHeight="1" spans="1:15">
      <c r="A16" s="14" t="s">
        <v>389</v>
      </c>
      <c r="B16" s="15" t="s">
        <v>390</v>
      </c>
      <c r="C16" s="15" t="s">
        <v>391</v>
      </c>
      <c r="D16" s="15" t="s">
        <v>392</v>
      </c>
      <c r="E16" s="15" t="s">
        <v>113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75.25" customHeight="1" spans="1:15">
      <c r="A17" s="14" t="s">
        <v>393</v>
      </c>
      <c r="B17" s="15" t="s">
        <v>394</v>
      </c>
      <c r="C17" s="15" t="s">
        <v>395</v>
      </c>
      <c r="D17" s="15" t="s">
        <v>396</v>
      </c>
      <c r="E17" s="15" t="s">
        <v>113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75.25" customHeight="1" spans="1:15">
      <c r="A18" s="14" t="s">
        <v>397</v>
      </c>
      <c r="B18" s="15" t="s">
        <v>398</v>
      </c>
      <c r="C18" s="15" t="s">
        <v>399</v>
      </c>
      <c r="D18" s="15" t="s">
        <v>400</v>
      </c>
      <c r="E18" s="15" t="s">
        <v>113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114</v>
      </c>
      <c r="C1" s="8"/>
      <c r="D1" s="8"/>
    </row>
    <row r="2" spans="1:15">
      <c r="A2" s="9" t="s">
        <v>191</v>
      </c>
      <c r="B2" s="10" t="s">
        <v>115</v>
      </c>
      <c r="C2" s="10"/>
      <c r="D2" s="10"/>
    </row>
    <row r="3" spans="1:15">
      <c r="A3" s="9" t="s">
        <v>192</v>
      </c>
      <c r="B3" s="11">
        <f>SUM(B5:D5)</f>
        <v>2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>
      <c r="A11" s="14" t="s">
        <v>401</v>
      </c>
      <c r="B11" s="15" t="s">
        <v>402</v>
      </c>
      <c r="C11" s="15" t="s">
        <v>403</v>
      </c>
      <c r="D11" s="15" t="s">
        <v>404</v>
      </c>
      <c r="E11" s="15" t="s">
        <v>116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45.15" customHeight="1" spans="1:15">
      <c r="A12" s="14" t="s">
        <v>405</v>
      </c>
      <c r="B12" s="15" t="s">
        <v>406</v>
      </c>
      <c r="C12" s="15" t="s">
        <v>407</v>
      </c>
      <c r="D12" s="15" t="s">
        <v>408</v>
      </c>
      <c r="E12" s="15" t="s">
        <v>116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117</v>
      </c>
      <c r="C1" s="8"/>
      <c r="D1" s="8"/>
    </row>
    <row r="2" spans="1:15">
      <c r="A2" s="9" t="s">
        <v>191</v>
      </c>
      <c r="B2" s="10" t="s">
        <v>118</v>
      </c>
      <c r="C2" s="10"/>
      <c r="D2" s="10"/>
    </row>
    <row r="3" spans="1:15">
      <c r="A3" s="9" t="s">
        <v>192</v>
      </c>
      <c r="B3" s="11">
        <f>SUM(B5:D5)</f>
        <v>8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>
      <c r="A11" s="14" t="s">
        <v>409</v>
      </c>
      <c r="B11" s="15" t="s">
        <v>410</v>
      </c>
      <c r="C11" s="15" t="s">
        <v>411</v>
      </c>
      <c r="D11" s="15" t="s">
        <v>412</v>
      </c>
      <c r="E11" s="15" t="s">
        <v>119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45.15" customHeight="1" spans="1:15">
      <c r="A12" s="14" t="s">
        <v>413</v>
      </c>
      <c r="B12" s="15" t="s">
        <v>414</v>
      </c>
      <c r="C12" s="15" t="s">
        <v>415</v>
      </c>
      <c r="D12" s="15" t="s">
        <v>416</v>
      </c>
      <c r="E12" s="15" t="s">
        <v>119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45.15" customHeight="1" spans="1:15">
      <c r="A13" s="14" t="s">
        <v>417</v>
      </c>
      <c r="B13" s="15" t="s">
        <v>418</v>
      </c>
      <c r="C13" s="15" t="s">
        <v>419</v>
      </c>
      <c r="D13" s="15" t="s">
        <v>420</v>
      </c>
      <c r="E13" s="15" t="s">
        <v>119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45.15" customHeight="1" spans="1:15">
      <c r="A14" s="14" t="s">
        <v>421</v>
      </c>
      <c r="B14" s="15" t="s">
        <v>422</v>
      </c>
      <c r="C14" s="15" t="s">
        <v>423</v>
      </c>
      <c r="D14" s="15" t="s">
        <v>424</v>
      </c>
      <c r="E14" s="15" t="s">
        <v>119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45.15" customHeight="1" spans="1:15">
      <c r="A15" s="14" t="s">
        <v>425</v>
      </c>
      <c r="B15" s="15" t="s">
        <v>426</v>
      </c>
      <c r="C15" s="15" t="s">
        <v>427</v>
      </c>
      <c r="D15" s="15" t="s">
        <v>428</v>
      </c>
      <c r="E15" s="15" t="s">
        <v>119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45.15" customHeight="1" spans="1:15">
      <c r="A16" s="14" t="s">
        <v>429</v>
      </c>
      <c r="B16" s="15" t="s">
        <v>430</v>
      </c>
      <c r="C16" s="15" t="s">
        <v>431</v>
      </c>
      <c r="D16" s="15" t="s">
        <v>432</v>
      </c>
      <c r="E16" s="15" t="s">
        <v>119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45.15" customHeight="1" spans="1:15">
      <c r="A17" s="14" t="s">
        <v>433</v>
      </c>
      <c r="B17" s="15" t="s">
        <v>434</v>
      </c>
      <c r="C17" s="15" t="s">
        <v>435</v>
      </c>
      <c r="D17" s="15" t="s">
        <v>436</v>
      </c>
      <c r="E17" s="15" t="s">
        <v>119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45.15" customHeight="1" spans="1:15">
      <c r="A18" s="14" t="s">
        <v>437</v>
      </c>
      <c r="B18" s="15" t="s">
        <v>438</v>
      </c>
      <c r="C18" s="15" t="s">
        <v>439</v>
      </c>
      <c r="D18" s="15" t="s">
        <v>440</v>
      </c>
      <c r="E18" s="15" t="s">
        <v>119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120</v>
      </c>
      <c r="C1" s="8"/>
      <c r="D1" s="8"/>
    </row>
    <row r="2" spans="1:15">
      <c r="A2" s="9" t="s">
        <v>191</v>
      </c>
      <c r="B2" s="10" t="s">
        <v>121</v>
      </c>
      <c r="C2" s="10"/>
      <c r="D2" s="10"/>
    </row>
    <row r="3" spans="1:15">
      <c r="A3" s="9" t="s">
        <v>192</v>
      </c>
      <c r="B3" s="11">
        <f>SUM(B5:D5)</f>
        <v>11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11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11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11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441</v>
      </c>
      <c r="B11" s="15" t="s">
        <v>442</v>
      </c>
      <c r="C11" s="15" t="s">
        <v>443</v>
      </c>
      <c r="D11" s="15" t="s">
        <v>444</v>
      </c>
      <c r="E11" s="15" t="s">
        <v>122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75.25" customHeight="1" spans="1:15">
      <c r="A12" s="14" t="s">
        <v>445</v>
      </c>
      <c r="B12" s="15" t="s">
        <v>446</v>
      </c>
      <c r="C12" s="15" t="s">
        <v>447</v>
      </c>
      <c r="D12" s="15" t="s">
        <v>448</v>
      </c>
      <c r="E12" s="15" t="s">
        <v>122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75.25" customHeight="1" spans="1:15">
      <c r="A13" s="14" t="s">
        <v>449</v>
      </c>
      <c r="B13" s="15" t="s">
        <v>450</v>
      </c>
      <c r="C13" s="15" t="s">
        <v>451</v>
      </c>
      <c r="D13" s="15" t="s">
        <v>452</v>
      </c>
      <c r="E13" s="15" t="s">
        <v>122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75.25" customHeight="1" spans="1:15">
      <c r="A14" s="14" t="s">
        <v>453</v>
      </c>
      <c r="B14" s="15" t="s">
        <v>454</v>
      </c>
      <c r="C14" s="15" t="s">
        <v>455</v>
      </c>
      <c r="D14" s="15" t="s">
        <v>456</v>
      </c>
      <c r="E14" s="15" t="s">
        <v>122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75.25" customHeight="1" spans="1:15">
      <c r="A15" s="14" t="s">
        <v>457</v>
      </c>
      <c r="B15" s="15" t="s">
        <v>458</v>
      </c>
      <c r="C15" s="15" t="s">
        <v>459</v>
      </c>
      <c r="D15" s="15" t="s">
        <v>460</v>
      </c>
      <c r="E15" s="15" t="s">
        <v>122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75.25" customHeight="1" spans="1:15">
      <c r="A16" s="14" t="s">
        <v>461</v>
      </c>
      <c r="B16" s="15" t="s">
        <v>462</v>
      </c>
      <c r="C16" s="15" t="s">
        <v>463</v>
      </c>
      <c r="D16" s="15" t="s">
        <v>464</v>
      </c>
      <c r="E16" s="15" t="s">
        <v>122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75.25" customHeight="1" spans="1:15">
      <c r="A17" s="14" t="s">
        <v>465</v>
      </c>
      <c r="B17" s="15" t="s">
        <v>466</v>
      </c>
      <c r="C17" s="15" t="s">
        <v>467</v>
      </c>
      <c r="D17" s="15" t="s">
        <v>468</v>
      </c>
      <c r="E17" s="15" t="s">
        <v>122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75.25" customHeight="1" spans="1:15">
      <c r="A18" s="14" t="s">
        <v>469</v>
      </c>
      <c r="B18" s="15" t="s">
        <v>470</v>
      </c>
      <c r="C18" s="15" t="s">
        <v>471</v>
      </c>
      <c r="D18" s="15" t="s">
        <v>472</v>
      </c>
      <c r="E18" s="15" t="s">
        <v>122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473</v>
      </c>
    </row>
    <row r="19" ht="75.25" customHeight="1" spans="1:15">
      <c r="A19" s="14" t="s">
        <v>474</v>
      </c>
      <c r="B19" s="15" t="s">
        <v>475</v>
      </c>
      <c r="C19" s="15" t="s">
        <v>476</v>
      </c>
      <c r="D19" s="15" t="s">
        <v>477</v>
      </c>
      <c r="E19" s="15" t="s">
        <v>122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  <row r="20" ht="75.25" customHeight="1" spans="1:15">
      <c r="A20" s="14" t="s">
        <v>478</v>
      </c>
      <c r="B20" s="15" t="s">
        <v>479</v>
      </c>
      <c r="C20" s="15" t="s">
        <v>480</v>
      </c>
      <c r="D20" s="15" t="s">
        <v>481</v>
      </c>
      <c r="E20" s="15" t="s">
        <v>122</v>
      </c>
      <c r="F20" s="14" t="s">
        <v>194</v>
      </c>
      <c r="G20" s="16" t="s">
        <v>18</v>
      </c>
      <c r="H20" s="15" t="s">
        <v>213</v>
      </c>
      <c r="I20" s="14" t="s">
        <v>194</v>
      </c>
      <c r="J20" s="14" t="s">
        <v>18</v>
      </c>
      <c r="K20" s="14" t="s">
        <v>213</v>
      </c>
      <c r="L20" s="14" t="s">
        <v>194</v>
      </c>
      <c r="M20" s="14" t="s">
        <v>18</v>
      </c>
      <c r="N20" s="14" t="s">
        <v>213</v>
      </c>
      <c r="O20" s="15" t="s">
        <v>214</v>
      </c>
    </row>
    <row r="21" ht="75.25" customHeight="1" spans="1:15">
      <c r="A21" s="14" t="s">
        <v>482</v>
      </c>
      <c r="B21" s="15" t="s">
        <v>483</v>
      </c>
      <c r="C21" s="15" t="s">
        <v>484</v>
      </c>
      <c r="D21" s="15" t="s">
        <v>485</v>
      </c>
      <c r="E21" s="15" t="s">
        <v>122</v>
      </c>
      <c r="F21" s="14" t="s">
        <v>194</v>
      </c>
      <c r="G21" s="16" t="s">
        <v>18</v>
      </c>
      <c r="H21" s="15" t="s">
        <v>213</v>
      </c>
      <c r="I21" s="14" t="s">
        <v>194</v>
      </c>
      <c r="J21" s="14" t="s">
        <v>18</v>
      </c>
      <c r="K21" s="14" t="s">
        <v>213</v>
      </c>
      <c r="L21" s="14" t="s">
        <v>194</v>
      </c>
      <c r="M21" s="14" t="s">
        <v>18</v>
      </c>
      <c r="N21" s="14" t="s">
        <v>213</v>
      </c>
      <c r="O21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123</v>
      </c>
      <c r="C1" s="8"/>
      <c r="D1" s="8"/>
    </row>
    <row r="2" spans="1:15">
      <c r="A2" s="9" t="s">
        <v>191</v>
      </c>
      <c r="B2" s="10" t="s">
        <v>124</v>
      </c>
      <c r="C2" s="10"/>
      <c r="D2" s="10"/>
    </row>
    <row r="3" spans="1:15">
      <c r="A3" s="9" t="s">
        <v>192</v>
      </c>
      <c r="B3" s="11">
        <f>SUM(B5:D5)</f>
        <v>4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486</v>
      </c>
      <c r="B11" s="15" t="s">
        <v>487</v>
      </c>
      <c r="C11" s="15" t="s">
        <v>488</v>
      </c>
      <c r="D11" s="15" t="s">
        <v>489</v>
      </c>
      <c r="E11" s="15" t="s">
        <v>125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473</v>
      </c>
    </row>
    <row r="12" ht="60.2" customHeight="1" spans="1:15">
      <c r="A12" s="14" t="s">
        <v>490</v>
      </c>
      <c r="B12" s="15" t="s">
        <v>490</v>
      </c>
      <c r="C12" s="15" t="s">
        <v>491</v>
      </c>
      <c r="D12" s="15" t="s">
        <v>492</v>
      </c>
      <c r="E12" s="15" t="s">
        <v>125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493</v>
      </c>
      <c r="B13" s="15" t="s">
        <v>493</v>
      </c>
      <c r="C13" s="15" t="s">
        <v>494</v>
      </c>
      <c r="D13" s="15" t="s">
        <v>495</v>
      </c>
      <c r="E13" s="15" t="s">
        <v>125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496</v>
      </c>
      <c r="B14" s="15" t="s">
        <v>496</v>
      </c>
      <c r="C14" s="15" t="s">
        <v>497</v>
      </c>
      <c r="D14" s="15" t="s">
        <v>498</v>
      </c>
      <c r="E14" s="15" t="s">
        <v>125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126</v>
      </c>
      <c r="C1" s="8"/>
      <c r="D1" s="8"/>
    </row>
    <row r="2" spans="1:15">
      <c r="A2" s="9" t="s">
        <v>191</v>
      </c>
      <c r="B2" s="10" t="s">
        <v>127</v>
      </c>
      <c r="C2" s="10"/>
      <c r="D2" s="10"/>
    </row>
    <row r="3" spans="1:15">
      <c r="A3" s="9" t="s">
        <v>192</v>
      </c>
      <c r="B3" s="11">
        <f>SUM(B5:D5)</f>
        <v>6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499</v>
      </c>
      <c r="B11" s="15" t="s">
        <v>500</v>
      </c>
      <c r="C11" s="15" t="s">
        <v>501</v>
      </c>
      <c r="D11" s="15" t="s">
        <v>502</v>
      </c>
      <c r="E11" s="15" t="s">
        <v>128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503</v>
      </c>
      <c r="B12" s="15" t="s">
        <v>504</v>
      </c>
      <c r="C12" s="15" t="s">
        <v>505</v>
      </c>
      <c r="D12" s="15" t="s">
        <v>506</v>
      </c>
      <c r="E12" s="15" t="s">
        <v>128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507</v>
      </c>
      <c r="B13" s="15" t="s">
        <v>508</v>
      </c>
      <c r="C13" s="15" t="s">
        <v>509</v>
      </c>
      <c r="D13" s="15" t="s">
        <v>510</v>
      </c>
      <c r="E13" s="15" t="s">
        <v>128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511</v>
      </c>
      <c r="B14" s="15" t="s">
        <v>512</v>
      </c>
      <c r="C14" s="15" t="s">
        <v>513</v>
      </c>
      <c r="D14" s="15" t="s">
        <v>514</v>
      </c>
      <c r="E14" s="15" t="s">
        <v>128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60.2" customHeight="1" spans="1:15">
      <c r="A15" s="14" t="s">
        <v>515</v>
      </c>
      <c r="B15" s="15" t="s">
        <v>516</v>
      </c>
      <c r="C15" s="15" t="s">
        <v>517</v>
      </c>
      <c r="D15" s="15" t="s">
        <v>518</v>
      </c>
      <c r="E15" s="15" t="s">
        <v>128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60.2" customHeight="1" spans="1:15">
      <c r="A16" s="14" t="s">
        <v>519</v>
      </c>
      <c r="B16" s="15" t="s">
        <v>520</v>
      </c>
      <c r="C16" s="15" t="s">
        <v>521</v>
      </c>
      <c r="D16" s="15" t="s">
        <v>522</v>
      </c>
      <c r="E16" s="15" t="s">
        <v>128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129</v>
      </c>
      <c r="C1" s="8"/>
      <c r="D1" s="8"/>
    </row>
    <row r="2" spans="1:15">
      <c r="A2" s="9" t="s">
        <v>191</v>
      </c>
      <c r="B2" s="10" t="s">
        <v>130</v>
      </c>
      <c r="C2" s="10"/>
      <c r="D2" s="10"/>
    </row>
    <row r="3" spans="1:15">
      <c r="A3" s="9" t="s">
        <v>192</v>
      </c>
      <c r="B3" s="11">
        <f>SUM(B5:D5)</f>
        <v>5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523</v>
      </c>
      <c r="B11" s="15" t="s">
        <v>524</v>
      </c>
      <c r="C11" s="15" t="s">
        <v>525</v>
      </c>
      <c r="D11" s="15" t="s">
        <v>526</v>
      </c>
      <c r="E11" s="15" t="s">
        <v>131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527</v>
      </c>
      <c r="B12" s="15" t="s">
        <v>528</v>
      </c>
      <c r="C12" s="15" t="s">
        <v>529</v>
      </c>
      <c r="D12" s="15" t="s">
        <v>530</v>
      </c>
      <c r="E12" s="15" t="s">
        <v>131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531</v>
      </c>
      <c r="B13" s="15" t="s">
        <v>532</v>
      </c>
      <c r="C13" s="15" t="s">
        <v>533</v>
      </c>
      <c r="D13" s="15" t="s">
        <v>534</v>
      </c>
      <c r="E13" s="15" t="s">
        <v>131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535</v>
      </c>
      <c r="B14" s="15" t="s">
        <v>536</v>
      </c>
      <c r="C14" s="15" t="s">
        <v>537</v>
      </c>
      <c r="D14" s="15" t="s">
        <v>538</v>
      </c>
      <c r="E14" s="15" t="s">
        <v>131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60.2" customHeight="1" spans="1:15">
      <c r="A15" s="14" t="s">
        <v>539</v>
      </c>
      <c r="B15" s="15" t="s">
        <v>540</v>
      </c>
      <c r="C15" s="15" t="s">
        <v>541</v>
      </c>
      <c r="D15" s="15" t="s">
        <v>542</v>
      </c>
      <c r="E15" s="15" t="s">
        <v>131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132</v>
      </c>
      <c r="C1" s="8"/>
      <c r="D1" s="8"/>
    </row>
    <row r="2" spans="1:15">
      <c r="A2" s="9" t="s">
        <v>191</v>
      </c>
      <c r="B2" s="10" t="s">
        <v>133</v>
      </c>
      <c r="C2" s="10"/>
      <c r="D2" s="10"/>
    </row>
    <row r="3" spans="1:15">
      <c r="A3" s="9" t="s">
        <v>192</v>
      </c>
      <c r="B3" s="11">
        <f>SUM(B5:D5)</f>
        <v>14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14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14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14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543</v>
      </c>
      <c r="B11" s="15" t="s">
        <v>544</v>
      </c>
      <c r="C11" s="15" t="s">
        <v>545</v>
      </c>
      <c r="D11" s="15" t="s">
        <v>546</v>
      </c>
      <c r="E11" s="15" t="s">
        <v>134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75.25" customHeight="1" spans="1:15">
      <c r="A12" s="14" t="s">
        <v>547</v>
      </c>
      <c r="B12" s="15" t="s">
        <v>548</v>
      </c>
      <c r="C12" s="15" t="s">
        <v>549</v>
      </c>
      <c r="D12" s="15" t="s">
        <v>550</v>
      </c>
      <c r="E12" s="15" t="s">
        <v>134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75.25" customHeight="1" spans="1:15">
      <c r="A13" s="14" t="s">
        <v>551</v>
      </c>
      <c r="B13" s="15" t="s">
        <v>552</v>
      </c>
      <c r="C13" s="15" t="s">
        <v>553</v>
      </c>
      <c r="D13" s="15" t="s">
        <v>554</v>
      </c>
      <c r="E13" s="15" t="s">
        <v>134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75.25" customHeight="1" spans="1:15">
      <c r="A14" s="14" t="s">
        <v>555</v>
      </c>
      <c r="B14" s="15" t="s">
        <v>556</v>
      </c>
      <c r="C14" s="15" t="s">
        <v>557</v>
      </c>
      <c r="D14" s="15" t="s">
        <v>558</v>
      </c>
      <c r="E14" s="15" t="s">
        <v>134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75.25" customHeight="1" spans="1:15">
      <c r="A15" s="14" t="s">
        <v>559</v>
      </c>
      <c r="B15" s="15" t="s">
        <v>560</v>
      </c>
      <c r="C15" s="15" t="s">
        <v>561</v>
      </c>
      <c r="D15" s="15" t="s">
        <v>562</v>
      </c>
      <c r="E15" s="15" t="s">
        <v>134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75.25" customHeight="1" spans="1:15">
      <c r="A16" s="14" t="s">
        <v>563</v>
      </c>
      <c r="B16" s="15" t="s">
        <v>564</v>
      </c>
      <c r="C16" s="15" t="s">
        <v>565</v>
      </c>
      <c r="D16" s="15" t="s">
        <v>566</v>
      </c>
      <c r="E16" s="15" t="s">
        <v>134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75.25" customHeight="1" spans="1:15">
      <c r="A17" s="14" t="s">
        <v>567</v>
      </c>
      <c r="B17" s="15" t="s">
        <v>568</v>
      </c>
      <c r="C17" s="15" t="s">
        <v>569</v>
      </c>
      <c r="D17" s="15" t="s">
        <v>570</v>
      </c>
      <c r="E17" s="15" t="s">
        <v>134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75.25" customHeight="1" spans="1:15">
      <c r="A18" s="14" t="s">
        <v>571</v>
      </c>
      <c r="B18" s="15" t="s">
        <v>572</v>
      </c>
      <c r="C18" s="15" t="s">
        <v>573</v>
      </c>
      <c r="D18" s="15" t="s">
        <v>574</v>
      </c>
      <c r="E18" s="15" t="s">
        <v>134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75.25" customHeight="1" spans="1:15">
      <c r="A19" s="14" t="s">
        <v>575</v>
      </c>
      <c r="B19" s="15" t="s">
        <v>576</v>
      </c>
      <c r="C19" s="15" t="s">
        <v>577</v>
      </c>
      <c r="D19" s="15" t="s">
        <v>578</v>
      </c>
      <c r="E19" s="15" t="s">
        <v>134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  <row r="20" ht="75.25" customHeight="1" spans="1:15">
      <c r="A20" s="14" t="s">
        <v>579</v>
      </c>
      <c r="B20" s="15" t="s">
        <v>580</v>
      </c>
      <c r="C20" s="15" t="s">
        <v>581</v>
      </c>
      <c r="D20" s="15" t="s">
        <v>582</v>
      </c>
      <c r="E20" s="15" t="s">
        <v>134</v>
      </c>
      <c r="F20" s="14" t="s">
        <v>194</v>
      </c>
      <c r="G20" s="16" t="s">
        <v>18</v>
      </c>
      <c r="H20" s="15" t="s">
        <v>213</v>
      </c>
      <c r="I20" s="14" t="s">
        <v>194</v>
      </c>
      <c r="J20" s="14" t="s">
        <v>18</v>
      </c>
      <c r="K20" s="14" t="s">
        <v>213</v>
      </c>
      <c r="L20" s="14" t="s">
        <v>194</v>
      </c>
      <c r="M20" s="14" t="s">
        <v>18</v>
      </c>
      <c r="N20" s="14" t="s">
        <v>213</v>
      </c>
      <c r="O20" s="15" t="s">
        <v>214</v>
      </c>
    </row>
    <row r="21" ht="75.25" customHeight="1" spans="1:15">
      <c r="A21" s="14" t="s">
        <v>583</v>
      </c>
      <c r="B21" s="15" t="s">
        <v>584</v>
      </c>
      <c r="C21" s="15" t="s">
        <v>585</v>
      </c>
      <c r="D21" s="15" t="s">
        <v>586</v>
      </c>
      <c r="E21" s="15" t="s">
        <v>134</v>
      </c>
      <c r="F21" s="14" t="s">
        <v>194</v>
      </c>
      <c r="G21" s="16" t="s">
        <v>18</v>
      </c>
      <c r="H21" s="15" t="s">
        <v>213</v>
      </c>
      <c r="I21" s="14" t="s">
        <v>194</v>
      </c>
      <c r="J21" s="14" t="s">
        <v>18</v>
      </c>
      <c r="K21" s="14" t="s">
        <v>213</v>
      </c>
      <c r="L21" s="14" t="s">
        <v>194</v>
      </c>
      <c r="M21" s="14" t="s">
        <v>18</v>
      </c>
      <c r="N21" s="14" t="s">
        <v>213</v>
      </c>
      <c r="O21" s="15" t="s">
        <v>214</v>
      </c>
    </row>
    <row r="22" ht="75.25" customHeight="1" spans="1:15">
      <c r="A22" s="14" t="s">
        <v>587</v>
      </c>
      <c r="B22" s="15" t="s">
        <v>588</v>
      </c>
      <c r="C22" s="15" t="s">
        <v>589</v>
      </c>
      <c r="D22" s="15" t="s">
        <v>590</v>
      </c>
      <c r="E22" s="15" t="s">
        <v>134</v>
      </c>
      <c r="F22" s="14" t="s">
        <v>194</v>
      </c>
      <c r="G22" s="16" t="s">
        <v>18</v>
      </c>
      <c r="H22" s="15" t="s">
        <v>213</v>
      </c>
      <c r="I22" s="14" t="s">
        <v>194</v>
      </c>
      <c r="J22" s="14" t="s">
        <v>18</v>
      </c>
      <c r="K22" s="14" t="s">
        <v>213</v>
      </c>
      <c r="L22" s="14" t="s">
        <v>194</v>
      </c>
      <c r="M22" s="14" t="s">
        <v>18</v>
      </c>
      <c r="N22" s="14" t="s">
        <v>213</v>
      </c>
      <c r="O22" s="15" t="s">
        <v>214</v>
      </c>
    </row>
    <row r="23" ht="75.25" customHeight="1" spans="1:15">
      <c r="A23" s="14" t="s">
        <v>539</v>
      </c>
      <c r="B23" s="15" t="s">
        <v>591</v>
      </c>
      <c r="C23" s="15" t="s">
        <v>592</v>
      </c>
      <c r="D23" s="15" t="s">
        <v>593</v>
      </c>
      <c r="E23" s="15" t="s">
        <v>134</v>
      </c>
      <c r="F23" s="14" t="s">
        <v>194</v>
      </c>
      <c r="G23" s="16" t="s">
        <v>18</v>
      </c>
      <c r="H23" s="15" t="s">
        <v>213</v>
      </c>
      <c r="I23" s="14" t="s">
        <v>194</v>
      </c>
      <c r="J23" s="14" t="s">
        <v>18</v>
      </c>
      <c r="K23" s="14" t="s">
        <v>213</v>
      </c>
      <c r="L23" s="14" t="s">
        <v>194</v>
      </c>
      <c r="M23" s="14" t="s">
        <v>18</v>
      </c>
      <c r="N23" s="14" t="s">
        <v>213</v>
      </c>
      <c r="O23" s="15" t="s">
        <v>214</v>
      </c>
    </row>
    <row r="24" ht="75.25" customHeight="1" spans="1:15">
      <c r="A24" s="14" t="s">
        <v>594</v>
      </c>
      <c r="B24" s="15" t="s">
        <v>595</v>
      </c>
      <c r="C24" s="15" t="s">
        <v>596</v>
      </c>
      <c r="D24" s="15" t="s">
        <v>597</v>
      </c>
      <c r="E24" s="15" t="s">
        <v>134</v>
      </c>
      <c r="F24" s="14" t="s">
        <v>194</v>
      </c>
      <c r="G24" s="16" t="s">
        <v>18</v>
      </c>
      <c r="H24" s="15" t="s">
        <v>213</v>
      </c>
      <c r="I24" s="14" t="s">
        <v>194</v>
      </c>
      <c r="J24" s="14" t="s">
        <v>18</v>
      </c>
      <c r="K24" s="14" t="s">
        <v>213</v>
      </c>
      <c r="L24" s="14" t="s">
        <v>194</v>
      </c>
      <c r="M24" s="14" t="s">
        <v>18</v>
      </c>
      <c r="N24" s="14" t="s">
        <v>213</v>
      </c>
      <c r="O24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135</v>
      </c>
      <c r="C1" s="8"/>
      <c r="D1" s="8"/>
    </row>
    <row r="2" spans="1:15">
      <c r="A2" s="9" t="s">
        <v>191</v>
      </c>
      <c r="B2" s="10" t="s">
        <v>136</v>
      </c>
      <c r="C2" s="10"/>
      <c r="D2" s="10"/>
    </row>
    <row r="3" spans="1:15">
      <c r="A3" s="9" t="s">
        <v>192</v>
      </c>
      <c r="B3" s="11">
        <f>SUM(B5:D5)</f>
        <v>2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>
      <c r="A11" s="14" t="s">
        <v>598</v>
      </c>
      <c r="B11" s="15" t="s">
        <v>599</v>
      </c>
      <c r="C11" s="15" t="s">
        <v>600</v>
      </c>
      <c r="D11" s="15" t="s">
        <v>601</v>
      </c>
      <c r="E11" s="15" t="s">
        <v>137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45.15" customHeight="1" spans="1:15">
      <c r="A12" s="14" t="s">
        <v>602</v>
      </c>
      <c r="B12" s="15" t="s">
        <v>603</v>
      </c>
      <c r="C12" s="15" t="s">
        <v>604</v>
      </c>
      <c r="D12" s="15" t="s">
        <v>605</v>
      </c>
      <c r="E12" s="15" t="s">
        <v>137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138</v>
      </c>
      <c r="C1" s="8"/>
      <c r="D1" s="8"/>
    </row>
    <row r="2" spans="1:15">
      <c r="A2" s="9" t="s">
        <v>191</v>
      </c>
      <c r="B2" s="10" t="s">
        <v>139</v>
      </c>
      <c r="C2" s="10"/>
      <c r="D2" s="10"/>
    </row>
    <row r="3" spans="1:15">
      <c r="A3" s="9" t="s">
        <v>192</v>
      </c>
      <c r="B3" s="11">
        <f>SUM(B5:D5)</f>
        <v>3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606</v>
      </c>
      <c r="B11" s="15" t="s">
        <v>607</v>
      </c>
      <c r="C11" s="15" t="s">
        <v>608</v>
      </c>
      <c r="D11" s="15" t="s">
        <v>609</v>
      </c>
      <c r="E11" s="15" t="s">
        <v>140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610</v>
      </c>
      <c r="B12" s="15" t="s">
        <v>611</v>
      </c>
      <c r="C12" s="15" t="s">
        <v>612</v>
      </c>
      <c r="D12" s="15" t="s">
        <v>613</v>
      </c>
      <c r="E12" s="15" t="s">
        <v>140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614</v>
      </c>
      <c r="B13" s="15" t="s">
        <v>615</v>
      </c>
      <c r="C13" s="15" t="s">
        <v>616</v>
      </c>
      <c r="D13" s="15" t="s">
        <v>617</v>
      </c>
      <c r="E13" s="15" t="s">
        <v>140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141</v>
      </c>
      <c r="C1" s="8"/>
      <c r="D1" s="8"/>
    </row>
    <row r="2" spans="1:15">
      <c r="A2" s="9" t="s">
        <v>191</v>
      </c>
      <c r="B2" s="10" t="s">
        <v>142</v>
      </c>
      <c r="C2" s="10"/>
      <c r="D2" s="10"/>
    </row>
    <row r="3" spans="1:15">
      <c r="A3" s="9" t="s">
        <v>192</v>
      </c>
      <c r="B3" s="11">
        <f>SUM(B5:D5)</f>
        <v>5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618</v>
      </c>
      <c r="B11" s="15" t="s">
        <v>619</v>
      </c>
      <c r="C11" s="15" t="s">
        <v>620</v>
      </c>
      <c r="D11" s="15" t="s">
        <v>621</v>
      </c>
      <c r="E11" s="15" t="s">
        <v>143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473</v>
      </c>
    </row>
    <row r="12" ht="75.25" customHeight="1" spans="1:15">
      <c r="A12" s="14" t="s">
        <v>622</v>
      </c>
      <c r="B12" s="15" t="s">
        <v>623</v>
      </c>
      <c r="C12" s="15" t="s">
        <v>624</v>
      </c>
      <c r="D12" s="15" t="s">
        <v>625</v>
      </c>
      <c r="E12" s="15" t="s">
        <v>143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75.25" customHeight="1" spans="1:15">
      <c r="A13" s="14" t="s">
        <v>626</v>
      </c>
      <c r="B13" s="15" t="s">
        <v>627</v>
      </c>
      <c r="C13" s="15" t="s">
        <v>628</v>
      </c>
      <c r="D13" s="15" t="s">
        <v>629</v>
      </c>
      <c r="E13" s="15" t="s">
        <v>143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75.25" customHeight="1" spans="1:15">
      <c r="A14" s="14" t="s">
        <v>630</v>
      </c>
      <c r="B14" s="15" t="s">
        <v>631</v>
      </c>
      <c r="C14" s="15" t="s">
        <v>632</v>
      </c>
      <c r="D14" s="15" t="s">
        <v>633</v>
      </c>
      <c r="E14" s="15" t="s">
        <v>143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473</v>
      </c>
    </row>
    <row r="15" ht="75.25" customHeight="1" spans="1:15">
      <c r="A15" s="14" t="s">
        <v>634</v>
      </c>
      <c r="B15" s="15" t="s">
        <v>635</v>
      </c>
      <c r="C15" s="15" t="s">
        <v>636</v>
      </c>
      <c r="D15" s="15" t="s">
        <v>637</v>
      </c>
      <c r="E15" s="15" t="s">
        <v>143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144</v>
      </c>
      <c r="C1" s="8"/>
      <c r="D1" s="8"/>
    </row>
    <row r="2" spans="1:15">
      <c r="A2" s="9" t="s">
        <v>191</v>
      </c>
      <c r="B2" s="10" t="s">
        <v>145</v>
      </c>
      <c r="C2" s="10"/>
      <c r="D2" s="10"/>
    </row>
    <row r="3" spans="1:15">
      <c r="A3" s="9" t="s">
        <v>192</v>
      </c>
      <c r="B3" s="11">
        <f>SUM(B5:D5)</f>
        <v>8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638</v>
      </c>
      <c r="B11" s="15" t="s">
        <v>639</v>
      </c>
      <c r="C11" s="15" t="s">
        <v>640</v>
      </c>
      <c r="D11" s="15" t="s">
        <v>641</v>
      </c>
      <c r="E11" s="15" t="s">
        <v>146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642</v>
      </c>
      <c r="B12" s="15" t="s">
        <v>643</v>
      </c>
      <c r="C12" s="15" t="s">
        <v>644</v>
      </c>
      <c r="D12" s="15" t="s">
        <v>645</v>
      </c>
      <c r="E12" s="15" t="s">
        <v>146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646</v>
      </c>
      <c r="B13" s="15" t="s">
        <v>647</v>
      </c>
      <c r="C13" s="15" t="s">
        <v>648</v>
      </c>
      <c r="D13" s="15" t="s">
        <v>649</v>
      </c>
      <c r="E13" s="15" t="s">
        <v>146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650</v>
      </c>
      <c r="B14" s="15" t="s">
        <v>651</v>
      </c>
      <c r="C14" s="15" t="s">
        <v>652</v>
      </c>
      <c r="D14" s="15" t="s">
        <v>653</v>
      </c>
      <c r="E14" s="15" t="s">
        <v>146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60.2" spans="1:15">
      <c r="A15" s="14" t="s">
        <v>654</v>
      </c>
      <c r="B15" s="15" t="s">
        <v>655</v>
      </c>
      <c r="C15" s="15" t="s">
        <v>656</v>
      </c>
      <c r="D15" s="15" t="s">
        <v>657</v>
      </c>
      <c r="E15" s="15" t="s">
        <v>146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/>
    </row>
    <row r="16" ht="60.2" spans="1:15">
      <c r="A16" s="14" t="s">
        <v>658</v>
      </c>
      <c r="B16" s="15" t="s">
        <v>659</v>
      </c>
      <c r="C16" s="15" t="s">
        <v>660</v>
      </c>
      <c r="D16" s="15" t="s">
        <v>661</v>
      </c>
      <c r="E16" s="15" t="s">
        <v>146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/>
    </row>
    <row r="17" ht="60.2" spans="1:15">
      <c r="A17" s="14" t="s">
        <v>662</v>
      </c>
      <c r="B17" s="15" t="s">
        <v>663</v>
      </c>
      <c r="C17" s="15" t="s">
        <v>664</v>
      </c>
      <c r="D17" s="15" t="s">
        <v>665</v>
      </c>
      <c r="E17" s="15" t="s">
        <v>146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/>
    </row>
    <row r="18" ht="75.25" spans="1:15">
      <c r="A18" s="14" t="s">
        <v>666</v>
      </c>
      <c r="B18" s="15" t="s">
        <v>667</v>
      </c>
      <c r="C18" s="15" t="s">
        <v>668</v>
      </c>
      <c r="D18" s="15" t="s">
        <v>669</v>
      </c>
      <c r="E18" s="15" t="s">
        <v>146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473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147</v>
      </c>
      <c r="C1" s="8"/>
      <c r="D1" s="8"/>
    </row>
    <row r="2" spans="1:15">
      <c r="A2" s="9" t="s">
        <v>191</v>
      </c>
      <c r="B2" s="10" t="s">
        <v>148</v>
      </c>
      <c r="C2" s="10"/>
      <c r="D2" s="10"/>
    </row>
    <row r="3" spans="1:15">
      <c r="A3" s="9" t="s">
        <v>192</v>
      </c>
      <c r="B3" s="11">
        <f>SUM(B5:D5)</f>
        <v>2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670</v>
      </c>
      <c r="B11" s="15" t="s">
        <v>671</v>
      </c>
      <c r="C11" s="15" t="s">
        <v>672</v>
      </c>
      <c r="D11" s="15" t="s">
        <v>673</v>
      </c>
      <c r="E11" s="15" t="s">
        <v>149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75.25" customHeight="1" spans="1:15">
      <c r="A12" s="14" t="s">
        <v>674</v>
      </c>
      <c r="B12" s="15" t="s">
        <v>675</v>
      </c>
      <c r="C12" s="15" t="s">
        <v>676</v>
      </c>
      <c r="D12" s="15" t="s">
        <v>677</v>
      </c>
      <c r="E12" s="15" t="s">
        <v>149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150</v>
      </c>
      <c r="C1" s="8"/>
      <c r="D1" s="8"/>
    </row>
    <row r="2" spans="1:15">
      <c r="A2" s="9" t="s">
        <v>191</v>
      </c>
      <c r="B2" s="10" t="s">
        <v>151</v>
      </c>
      <c r="C2" s="10"/>
      <c r="D2" s="10"/>
    </row>
    <row r="3" spans="1:15">
      <c r="A3" s="9" t="s">
        <v>192</v>
      </c>
      <c r="B3" s="11">
        <f>SUM(B5:D5)</f>
        <v>11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11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11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11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678</v>
      </c>
      <c r="B11" s="15" t="s">
        <v>679</v>
      </c>
      <c r="C11" s="15" t="s">
        <v>680</v>
      </c>
      <c r="D11" s="15" t="s">
        <v>681</v>
      </c>
      <c r="E11" s="15" t="s">
        <v>152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682</v>
      </c>
      <c r="B12" s="15" t="s">
        <v>683</v>
      </c>
      <c r="C12" s="15" t="s">
        <v>684</v>
      </c>
      <c r="D12" s="15" t="s">
        <v>685</v>
      </c>
      <c r="E12" s="15" t="s">
        <v>152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686</v>
      </c>
      <c r="B13" s="15" t="s">
        <v>687</v>
      </c>
      <c r="C13" s="15" t="s">
        <v>688</v>
      </c>
      <c r="D13" s="15" t="s">
        <v>689</v>
      </c>
      <c r="E13" s="15" t="s">
        <v>152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690</v>
      </c>
      <c r="B14" s="15" t="s">
        <v>691</v>
      </c>
      <c r="C14" s="15" t="s">
        <v>692</v>
      </c>
      <c r="D14" s="15" t="s">
        <v>693</v>
      </c>
      <c r="E14" s="15" t="s">
        <v>152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60.2" customHeight="1" spans="1:15">
      <c r="A15" s="14" t="s">
        <v>694</v>
      </c>
      <c r="B15" s="15" t="s">
        <v>695</v>
      </c>
      <c r="C15" s="15" t="s">
        <v>696</v>
      </c>
      <c r="D15" s="15" t="s">
        <v>697</v>
      </c>
      <c r="E15" s="15" t="s">
        <v>152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60.2" customHeight="1" spans="1:15">
      <c r="A16" s="14" t="s">
        <v>698</v>
      </c>
      <c r="B16" s="15" t="s">
        <v>699</v>
      </c>
      <c r="C16" s="15" t="s">
        <v>700</v>
      </c>
      <c r="D16" s="15" t="s">
        <v>701</v>
      </c>
      <c r="E16" s="15" t="s">
        <v>152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60.2" customHeight="1" spans="1:15">
      <c r="A17" s="14" t="s">
        <v>702</v>
      </c>
      <c r="B17" s="15" t="s">
        <v>703</v>
      </c>
      <c r="C17" s="15" t="s">
        <v>704</v>
      </c>
      <c r="D17" s="15" t="s">
        <v>705</v>
      </c>
      <c r="E17" s="15" t="s">
        <v>152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60.2" customHeight="1" spans="1:15">
      <c r="A18" s="14" t="s">
        <v>706</v>
      </c>
      <c r="B18" s="15" t="s">
        <v>707</v>
      </c>
      <c r="C18" s="15" t="s">
        <v>708</v>
      </c>
      <c r="D18" s="15" t="s">
        <v>709</v>
      </c>
      <c r="E18" s="15" t="s">
        <v>152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60.2" customHeight="1" spans="1:15">
      <c r="A19" s="14" t="s">
        <v>710</v>
      </c>
      <c r="B19" s="15" t="s">
        <v>711</v>
      </c>
      <c r="C19" s="15" t="s">
        <v>712</v>
      </c>
      <c r="D19" s="15" t="s">
        <v>713</v>
      </c>
      <c r="E19" s="15" t="s">
        <v>152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  <row r="20" ht="60.2" customHeight="1" spans="1:15">
      <c r="A20" s="14" t="s">
        <v>714</v>
      </c>
      <c r="B20" s="15" t="s">
        <v>715</v>
      </c>
      <c r="C20" s="15" t="s">
        <v>716</v>
      </c>
      <c r="D20" s="15" t="s">
        <v>717</v>
      </c>
      <c r="E20" s="15" t="s">
        <v>152</v>
      </c>
      <c r="F20" s="14" t="s">
        <v>194</v>
      </c>
      <c r="G20" s="16" t="s">
        <v>18</v>
      </c>
      <c r="H20" s="15" t="s">
        <v>213</v>
      </c>
      <c r="I20" s="14" t="s">
        <v>194</v>
      </c>
      <c r="J20" s="14" t="s">
        <v>18</v>
      </c>
      <c r="K20" s="14" t="s">
        <v>213</v>
      </c>
      <c r="L20" s="14" t="s">
        <v>194</v>
      </c>
      <c r="M20" s="14" t="s">
        <v>18</v>
      </c>
      <c r="N20" s="14" t="s">
        <v>213</v>
      </c>
      <c r="O20" s="15" t="s">
        <v>214</v>
      </c>
    </row>
    <row r="21" ht="60.2" customHeight="1" spans="1:15">
      <c r="A21" s="14" t="s">
        <v>718</v>
      </c>
      <c r="B21" s="15" t="s">
        <v>719</v>
      </c>
      <c r="C21" s="15" t="s">
        <v>720</v>
      </c>
      <c r="D21" s="15" t="s">
        <v>721</v>
      </c>
      <c r="E21" s="15" t="s">
        <v>152</v>
      </c>
      <c r="F21" s="14" t="s">
        <v>194</v>
      </c>
      <c r="G21" s="16" t="s">
        <v>18</v>
      </c>
      <c r="H21" s="15" t="s">
        <v>213</v>
      </c>
      <c r="I21" s="14" t="s">
        <v>194</v>
      </c>
      <c r="J21" s="14" t="s">
        <v>18</v>
      </c>
      <c r="K21" s="14" t="s">
        <v>213</v>
      </c>
      <c r="L21" s="14" t="s">
        <v>194</v>
      </c>
      <c r="M21" s="14" t="s">
        <v>18</v>
      </c>
      <c r="N21" s="14" t="s">
        <v>213</v>
      </c>
      <c r="O21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153</v>
      </c>
      <c r="C1" s="8"/>
      <c r="D1" s="8"/>
    </row>
    <row r="2" spans="1:15">
      <c r="A2" s="9" t="s">
        <v>191</v>
      </c>
      <c r="B2" s="10" t="s">
        <v>154</v>
      </c>
      <c r="C2" s="10"/>
      <c r="D2" s="10"/>
    </row>
    <row r="3" spans="1:15">
      <c r="A3" s="9" t="s">
        <v>192</v>
      </c>
      <c r="B3" s="11">
        <f>SUM(B5:D5)</f>
        <v>3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722</v>
      </c>
      <c r="B11" s="15" t="s">
        <v>723</v>
      </c>
      <c r="C11" s="15" t="s">
        <v>724</v>
      </c>
      <c r="D11" s="15" t="s">
        <v>725</v>
      </c>
      <c r="E11" s="15" t="s">
        <v>155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726</v>
      </c>
      <c r="B12" s="15" t="s">
        <v>727</v>
      </c>
      <c r="C12" s="15" t="s">
        <v>728</v>
      </c>
      <c r="D12" s="15" t="s">
        <v>729</v>
      </c>
      <c r="E12" s="15" t="s">
        <v>155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730</v>
      </c>
      <c r="B13" s="15" t="s">
        <v>731</v>
      </c>
      <c r="C13" s="15" t="s">
        <v>732</v>
      </c>
      <c r="D13" s="15" t="s">
        <v>733</v>
      </c>
      <c r="E13" s="15" t="s">
        <v>155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156</v>
      </c>
      <c r="C1" s="8"/>
      <c r="D1" s="8"/>
    </row>
    <row r="2" spans="1:15">
      <c r="A2" s="9" t="s">
        <v>191</v>
      </c>
      <c r="B2" s="10" t="s">
        <v>157</v>
      </c>
      <c r="C2" s="10"/>
      <c r="D2" s="10"/>
    </row>
    <row r="3" spans="1:15">
      <c r="A3" s="9" t="s">
        <v>192</v>
      </c>
      <c r="B3" s="11">
        <f>SUM(B5:D5)</f>
        <v>2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734</v>
      </c>
      <c r="B11" s="15" t="s">
        <v>735</v>
      </c>
      <c r="C11" s="15" t="s">
        <v>736</v>
      </c>
      <c r="D11" s="15" t="s">
        <v>737</v>
      </c>
      <c r="E11" s="15" t="s">
        <v>158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75.25" customHeight="1" spans="1:15">
      <c r="A12" s="14" t="s">
        <v>738</v>
      </c>
      <c r="B12" s="15" t="s">
        <v>739</v>
      </c>
      <c r="C12" s="15" t="s">
        <v>740</v>
      </c>
      <c r="D12" s="15" t="s">
        <v>741</v>
      </c>
      <c r="E12" s="15" t="s">
        <v>158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159</v>
      </c>
      <c r="C1" s="8"/>
      <c r="D1" s="8"/>
    </row>
    <row r="2" spans="1:15">
      <c r="A2" s="9" t="s">
        <v>191</v>
      </c>
      <c r="B2" s="10" t="s">
        <v>160</v>
      </c>
      <c r="C2" s="10"/>
      <c r="D2" s="10"/>
    </row>
    <row r="3" spans="1:15">
      <c r="A3" s="9" t="s">
        <v>192</v>
      </c>
      <c r="B3" s="11">
        <f>SUM(B5:D5)</f>
        <v>1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>
      <c r="A11" s="14" t="s">
        <v>742</v>
      </c>
      <c r="B11" s="15" t="s">
        <v>743</v>
      </c>
      <c r="C11" s="15" t="s">
        <v>744</v>
      </c>
      <c r="D11" s="15" t="s">
        <v>745</v>
      </c>
      <c r="E11" s="15" t="s">
        <v>161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162</v>
      </c>
      <c r="C1" s="8"/>
      <c r="D1" s="8"/>
    </row>
    <row r="2" spans="1:15">
      <c r="A2" s="9" t="s">
        <v>191</v>
      </c>
      <c r="B2" s="10" t="s">
        <v>163</v>
      </c>
      <c r="C2" s="10"/>
      <c r="D2" s="10"/>
    </row>
    <row r="3" spans="1:15">
      <c r="A3" s="9" t="s">
        <v>192</v>
      </c>
      <c r="B3" s="11">
        <f>SUM(B5:D5)</f>
        <v>1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746</v>
      </c>
      <c r="B11" s="15" t="s">
        <v>747</v>
      </c>
      <c r="C11" s="15" t="s">
        <v>748</v>
      </c>
      <c r="D11" s="15" t="s">
        <v>749</v>
      </c>
      <c r="E11" s="15" t="s">
        <v>164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473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165</v>
      </c>
      <c r="C1" s="8"/>
      <c r="D1" s="8"/>
    </row>
    <row r="2" spans="1:15">
      <c r="A2" s="9" t="s">
        <v>191</v>
      </c>
      <c r="B2" s="10" t="s">
        <v>166</v>
      </c>
      <c r="C2" s="10"/>
      <c r="D2" s="10"/>
    </row>
    <row r="3" spans="1:15">
      <c r="A3" s="9" t="s">
        <v>192</v>
      </c>
      <c r="B3" s="11">
        <f>SUM(B5:D5)</f>
        <v>4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750</v>
      </c>
      <c r="B11" s="15" t="s">
        <v>751</v>
      </c>
      <c r="C11" s="15" t="s">
        <v>752</v>
      </c>
      <c r="D11" s="15" t="s">
        <v>753</v>
      </c>
      <c r="E11" s="15" t="s">
        <v>167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754</v>
      </c>
      <c r="B12" s="15" t="s">
        <v>755</v>
      </c>
      <c r="C12" s="15" t="s">
        <v>756</v>
      </c>
      <c r="D12" s="15" t="s">
        <v>757</v>
      </c>
      <c r="E12" s="15" t="s">
        <v>167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758</v>
      </c>
      <c r="B13" s="15" t="s">
        <v>759</v>
      </c>
      <c r="C13" s="15" t="s">
        <v>760</v>
      </c>
      <c r="D13" s="15" t="s">
        <v>761</v>
      </c>
      <c r="E13" s="15" t="s">
        <v>167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762</v>
      </c>
      <c r="B14" s="15" t="s">
        <v>763</v>
      </c>
      <c r="C14" s="15" t="s">
        <v>764</v>
      </c>
      <c r="D14" s="15" t="s">
        <v>765</v>
      </c>
      <c r="E14" s="15" t="s">
        <v>167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168</v>
      </c>
      <c r="C1" s="8"/>
      <c r="D1" s="8"/>
    </row>
    <row r="2" spans="1:15">
      <c r="A2" s="9" t="s">
        <v>191</v>
      </c>
      <c r="B2" s="10" t="s">
        <v>169</v>
      </c>
      <c r="C2" s="10"/>
      <c r="D2" s="10"/>
    </row>
    <row r="3" spans="1:15">
      <c r="A3" s="9" t="s">
        <v>192</v>
      </c>
      <c r="B3" s="11">
        <f>SUM(B5:D5)</f>
        <v>2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>
      <c r="A11" s="14" t="s">
        <v>766</v>
      </c>
      <c r="B11" s="15" t="s">
        <v>767</v>
      </c>
      <c r="C11" s="15" t="s">
        <v>768</v>
      </c>
      <c r="D11" s="15" t="s">
        <v>769</v>
      </c>
      <c r="E11" s="15" t="s">
        <v>170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75.25" customHeight="1" spans="1:15">
      <c r="A12" s="14" t="s">
        <v>770</v>
      </c>
      <c r="B12" s="15" t="s">
        <v>771</v>
      </c>
      <c r="C12" s="15" t="s">
        <v>772</v>
      </c>
      <c r="D12" s="15" t="s">
        <v>773</v>
      </c>
      <c r="E12" s="15" t="s">
        <v>170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171</v>
      </c>
      <c r="C1" s="8"/>
      <c r="D1" s="8"/>
    </row>
    <row r="2" spans="1:15">
      <c r="A2" s="9" t="s">
        <v>191</v>
      </c>
      <c r="B2" s="10" t="s">
        <v>172</v>
      </c>
      <c r="C2" s="10"/>
      <c r="D2" s="10"/>
    </row>
    <row r="3" spans="1:15">
      <c r="A3" s="9" t="s">
        <v>192</v>
      </c>
      <c r="B3" s="11">
        <f>SUM(B5:D5)</f>
        <v>1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90.35" customHeight="1" spans="1:15">
      <c r="A11" s="14" t="s">
        <v>734</v>
      </c>
      <c r="B11" s="15" t="s">
        <v>774</v>
      </c>
      <c r="C11" s="15" t="s">
        <v>775</v>
      </c>
      <c r="D11" s="15" t="s">
        <v>776</v>
      </c>
      <c r="E11" s="15" t="s">
        <v>173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174</v>
      </c>
      <c r="C1" s="8"/>
      <c r="D1" s="8"/>
    </row>
    <row r="2" spans="1:15">
      <c r="A2" s="9" t="s">
        <v>191</v>
      </c>
      <c r="B2" s="10" t="s">
        <v>175</v>
      </c>
      <c r="C2" s="10"/>
      <c r="D2" s="10"/>
    </row>
    <row r="3" spans="1:15">
      <c r="A3" s="9" t="s">
        <v>192</v>
      </c>
      <c r="B3" s="11">
        <f>SUM(B5:D5)</f>
        <v>2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777</v>
      </c>
      <c r="B11" s="15" t="s">
        <v>778</v>
      </c>
      <c r="C11" s="15" t="s">
        <v>779</v>
      </c>
      <c r="D11" s="15" t="s">
        <v>780</v>
      </c>
      <c r="E11" s="15" t="s">
        <v>176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60.2" customHeight="1" spans="1:15">
      <c r="A12" s="14" t="s">
        <v>781</v>
      </c>
      <c r="B12" s="15" t="s">
        <v>782</v>
      </c>
      <c r="C12" s="15" t="s">
        <v>783</v>
      </c>
      <c r="D12" s="15" t="s">
        <v>784</v>
      </c>
      <c r="E12" s="15" t="s">
        <v>176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177</v>
      </c>
      <c r="C1" s="8"/>
      <c r="D1" s="8"/>
    </row>
    <row r="2" spans="1:15">
      <c r="A2" s="9" t="s">
        <v>191</v>
      </c>
      <c r="B2" s="10" t="s">
        <v>178</v>
      </c>
      <c r="C2" s="10"/>
      <c r="D2" s="10"/>
    </row>
    <row r="3" spans="1:15">
      <c r="A3" s="9" t="s">
        <v>192</v>
      </c>
      <c r="B3" s="11">
        <f>SUM(B5:D5)</f>
        <v>44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44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44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44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30.1" customHeight="1" spans="1:15">
      <c r="A11" s="14" t="s">
        <v>785</v>
      </c>
      <c r="B11" s="15" t="s">
        <v>786</v>
      </c>
      <c r="C11" s="15" t="s">
        <v>787</v>
      </c>
      <c r="D11" s="15" t="s">
        <v>788</v>
      </c>
      <c r="E11" s="15" t="s">
        <v>179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30.1" customHeight="1" spans="1:15">
      <c r="A12" s="14" t="s">
        <v>785</v>
      </c>
      <c r="B12" s="15" t="s">
        <v>789</v>
      </c>
      <c r="C12" s="15" t="s">
        <v>787</v>
      </c>
      <c r="D12" s="15" t="s">
        <v>790</v>
      </c>
      <c r="E12" s="15" t="s">
        <v>179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30.1" customHeight="1" spans="1:15">
      <c r="A13" s="14" t="s">
        <v>785</v>
      </c>
      <c r="B13" s="15" t="s">
        <v>791</v>
      </c>
      <c r="C13" s="15" t="s">
        <v>787</v>
      </c>
      <c r="D13" s="15" t="s">
        <v>792</v>
      </c>
      <c r="E13" s="15" t="s">
        <v>179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30.1" customHeight="1" spans="1:15">
      <c r="A14" s="14" t="s">
        <v>785</v>
      </c>
      <c r="B14" s="15" t="s">
        <v>793</v>
      </c>
      <c r="C14" s="15" t="s">
        <v>787</v>
      </c>
      <c r="D14" s="15" t="s">
        <v>794</v>
      </c>
      <c r="E14" s="15" t="s">
        <v>179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30.1" customHeight="1" spans="1:15">
      <c r="A15" s="14" t="s">
        <v>785</v>
      </c>
      <c r="B15" s="15" t="s">
        <v>795</v>
      </c>
      <c r="C15" s="15" t="s">
        <v>787</v>
      </c>
      <c r="D15" s="15" t="s">
        <v>796</v>
      </c>
      <c r="E15" s="15" t="s">
        <v>179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30.1" customHeight="1" spans="1:15">
      <c r="A16" s="14" t="s">
        <v>785</v>
      </c>
      <c r="B16" s="15" t="s">
        <v>797</v>
      </c>
      <c r="C16" s="15" t="s">
        <v>787</v>
      </c>
      <c r="D16" s="15" t="s">
        <v>798</v>
      </c>
      <c r="E16" s="15" t="s">
        <v>179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30.1" customHeight="1" spans="1:15">
      <c r="A17" s="14" t="s">
        <v>785</v>
      </c>
      <c r="B17" s="15" t="s">
        <v>799</v>
      </c>
      <c r="C17" s="15" t="s">
        <v>787</v>
      </c>
      <c r="D17" s="15" t="s">
        <v>800</v>
      </c>
      <c r="E17" s="15" t="s">
        <v>179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30.1" customHeight="1" spans="1:15">
      <c r="A18" s="14" t="s">
        <v>785</v>
      </c>
      <c r="B18" s="15" t="s">
        <v>801</v>
      </c>
      <c r="C18" s="15" t="s">
        <v>787</v>
      </c>
      <c r="D18" s="15" t="s">
        <v>802</v>
      </c>
      <c r="E18" s="15" t="s">
        <v>179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30.1" customHeight="1" spans="1:15">
      <c r="A19" s="14" t="s">
        <v>785</v>
      </c>
      <c r="B19" s="15" t="s">
        <v>803</v>
      </c>
      <c r="C19" s="15" t="s">
        <v>787</v>
      </c>
      <c r="D19" s="15" t="s">
        <v>804</v>
      </c>
      <c r="E19" s="15" t="s">
        <v>179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  <row r="20" ht="45.15" customHeight="1" spans="1:15">
      <c r="A20" s="14" t="s">
        <v>805</v>
      </c>
      <c r="B20" s="15" t="s">
        <v>805</v>
      </c>
      <c r="C20" s="15" t="s">
        <v>806</v>
      </c>
      <c r="D20" s="15" t="s">
        <v>807</v>
      </c>
      <c r="E20" s="15" t="s">
        <v>179</v>
      </c>
      <c r="F20" s="14" t="s">
        <v>194</v>
      </c>
      <c r="G20" s="16" t="s">
        <v>18</v>
      </c>
      <c r="H20" s="15" t="s">
        <v>213</v>
      </c>
      <c r="I20" s="14" t="s">
        <v>194</v>
      </c>
      <c r="J20" s="14" t="s">
        <v>18</v>
      </c>
      <c r="K20" s="14" t="s">
        <v>213</v>
      </c>
      <c r="L20" s="14" t="s">
        <v>194</v>
      </c>
      <c r="M20" s="14" t="s">
        <v>18</v>
      </c>
      <c r="N20" s="14" t="s">
        <v>213</v>
      </c>
      <c r="O20" s="15" t="s">
        <v>214</v>
      </c>
    </row>
    <row r="21" ht="75.25" customHeight="1" spans="1:15">
      <c r="A21" s="14" t="s">
        <v>808</v>
      </c>
      <c r="B21" s="15" t="s">
        <v>808</v>
      </c>
      <c r="C21" s="15" t="s">
        <v>809</v>
      </c>
      <c r="D21" s="15" t="s">
        <v>810</v>
      </c>
      <c r="E21" s="15" t="s">
        <v>179</v>
      </c>
      <c r="F21" s="14" t="s">
        <v>194</v>
      </c>
      <c r="G21" s="16" t="s">
        <v>18</v>
      </c>
      <c r="H21" s="15" t="s">
        <v>213</v>
      </c>
      <c r="I21" s="14" t="s">
        <v>194</v>
      </c>
      <c r="J21" s="14" t="s">
        <v>18</v>
      </c>
      <c r="K21" s="14" t="s">
        <v>213</v>
      </c>
      <c r="L21" s="14" t="s">
        <v>194</v>
      </c>
      <c r="M21" s="14" t="s">
        <v>18</v>
      </c>
      <c r="N21" s="14" t="s">
        <v>213</v>
      </c>
      <c r="O21" s="15" t="s">
        <v>214</v>
      </c>
    </row>
    <row r="22" ht="60.2" customHeight="1" spans="1:15">
      <c r="A22" s="14" t="s">
        <v>811</v>
      </c>
      <c r="B22" s="15" t="s">
        <v>811</v>
      </c>
      <c r="C22" s="15" t="s">
        <v>812</v>
      </c>
      <c r="D22" s="15" t="s">
        <v>813</v>
      </c>
      <c r="E22" s="15" t="s">
        <v>179</v>
      </c>
      <c r="F22" s="14" t="s">
        <v>194</v>
      </c>
      <c r="G22" s="16" t="s">
        <v>18</v>
      </c>
      <c r="H22" s="15" t="s">
        <v>213</v>
      </c>
      <c r="I22" s="14" t="s">
        <v>194</v>
      </c>
      <c r="J22" s="14" t="s">
        <v>18</v>
      </c>
      <c r="K22" s="14" t="s">
        <v>213</v>
      </c>
      <c r="L22" s="14" t="s">
        <v>194</v>
      </c>
      <c r="M22" s="14" t="s">
        <v>18</v>
      </c>
      <c r="N22" s="14" t="s">
        <v>213</v>
      </c>
      <c r="O22" s="15" t="s">
        <v>214</v>
      </c>
    </row>
    <row r="23" ht="30.1" customHeight="1" spans="1:15">
      <c r="A23" s="14" t="s">
        <v>814</v>
      </c>
      <c r="B23" s="15" t="s">
        <v>814</v>
      </c>
      <c r="C23" s="15" t="s">
        <v>815</v>
      </c>
      <c r="D23" s="15" t="s">
        <v>816</v>
      </c>
      <c r="E23" s="15" t="s">
        <v>179</v>
      </c>
      <c r="F23" s="14" t="s">
        <v>194</v>
      </c>
      <c r="G23" s="16" t="s">
        <v>18</v>
      </c>
      <c r="H23" s="15" t="s">
        <v>213</v>
      </c>
      <c r="I23" s="14" t="s">
        <v>194</v>
      </c>
      <c r="J23" s="14" t="s">
        <v>18</v>
      </c>
      <c r="K23" s="14" t="s">
        <v>213</v>
      </c>
      <c r="L23" s="14" t="s">
        <v>194</v>
      </c>
      <c r="M23" s="14" t="s">
        <v>18</v>
      </c>
      <c r="N23" s="14" t="s">
        <v>213</v>
      </c>
      <c r="O23" s="15" t="s">
        <v>214</v>
      </c>
    </row>
    <row r="24" ht="30.1" customHeight="1" spans="1:15">
      <c r="A24" s="14" t="s">
        <v>817</v>
      </c>
      <c r="B24" s="15" t="s">
        <v>817</v>
      </c>
      <c r="C24" s="15" t="s">
        <v>815</v>
      </c>
      <c r="D24" s="15" t="s">
        <v>818</v>
      </c>
      <c r="E24" s="15" t="s">
        <v>179</v>
      </c>
      <c r="F24" s="14" t="s">
        <v>194</v>
      </c>
      <c r="G24" s="16" t="s">
        <v>18</v>
      </c>
      <c r="H24" s="15" t="s">
        <v>213</v>
      </c>
      <c r="I24" s="14" t="s">
        <v>194</v>
      </c>
      <c r="J24" s="14" t="s">
        <v>18</v>
      </c>
      <c r="K24" s="14" t="s">
        <v>213</v>
      </c>
      <c r="L24" s="14" t="s">
        <v>194</v>
      </c>
      <c r="M24" s="14" t="s">
        <v>18</v>
      </c>
      <c r="N24" s="14" t="s">
        <v>213</v>
      </c>
      <c r="O24" s="15" t="s">
        <v>214</v>
      </c>
    </row>
    <row r="25" ht="30.1" customHeight="1" spans="1:15">
      <c r="A25" s="14" t="s">
        <v>819</v>
      </c>
      <c r="B25" s="15" t="s">
        <v>819</v>
      </c>
      <c r="C25" s="15" t="s">
        <v>815</v>
      </c>
      <c r="D25" s="15" t="s">
        <v>820</v>
      </c>
      <c r="E25" s="15" t="s">
        <v>179</v>
      </c>
      <c r="F25" s="14" t="s">
        <v>194</v>
      </c>
      <c r="G25" s="16" t="s">
        <v>18</v>
      </c>
      <c r="H25" s="15" t="s">
        <v>213</v>
      </c>
      <c r="I25" s="14" t="s">
        <v>194</v>
      </c>
      <c r="J25" s="14" t="s">
        <v>18</v>
      </c>
      <c r="K25" s="14" t="s">
        <v>213</v>
      </c>
      <c r="L25" s="14" t="s">
        <v>194</v>
      </c>
      <c r="M25" s="14" t="s">
        <v>18</v>
      </c>
      <c r="N25" s="14" t="s">
        <v>213</v>
      </c>
      <c r="O25" s="15" t="s">
        <v>214</v>
      </c>
    </row>
    <row r="26" ht="30.1" customHeight="1" spans="1:15">
      <c r="A26" s="14" t="s">
        <v>821</v>
      </c>
      <c r="B26" s="15" t="s">
        <v>821</v>
      </c>
      <c r="C26" s="15" t="s">
        <v>815</v>
      </c>
      <c r="D26" s="15" t="s">
        <v>822</v>
      </c>
      <c r="E26" s="15" t="s">
        <v>179</v>
      </c>
      <c r="F26" s="14" t="s">
        <v>194</v>
      </c>
      <c r="G26" s="16" t="s">
        <v>18</v>
      </c>
      <c r="H26" s="15" t="s">
        <v>213</v>
      </c>
      <c r="I26" s="14" t="s">
        <v>194</v>
      </c>
      <c r="J26" s="14" t="s">
        <v>18</v>
      </c>
      <c r="K26" s="14" t="s">
        <v>213</v>
      </c>
      <c r="L26" s="14" t="s">
        <v>194</v>
      </c>
      <c r="M26" s="14" t="s">
        <v>18</v>
      </c>
      <c r="N26" s="14" t="s">
        <v>213</v>
      </c>
      <c r="O26" s="15" t="s">
        <v>214</v>
      </c>
    </row>
    <row r="27" ht="30.1" customHeight="1" spans="1:15">
      <c r="A27" s="14" t="s">
        <v>823</v>
      </c>
      <c r="B27" s="15" t="s">
        <v>823</v>
      </c>
      <c r="C27" s="15" t="s">
        <v>815</v>
      </c>
      <c r="D27" s="15" t="s">
        <v>824</v>
      </c>
      <c r="E27" s="15" t="s">
        <v>179</v>
      </c>
      <c r="F27" s="14" t="s">
        <v>194</v>
      </c>
      <c r="G27" s="16" t="s">
        <v>18</v>
      </c>
      <c r="H27" s="15" t="s">
        <v>213</v>
      </c>
      <c r="I27" s="14" t="s">
        <v>194</v>
      </c>
      <c r="J27" s="14" t="s">
        <v>18</v>
      </c>
      <c r="K27" s="14" t="s">
        <v>213</v>
      </c>
      <c r="L27" s="14" t="s">
        <v>194</v>
      </c>
      <c r="M27" s="14" t="s">
        <v>18</v>
      </c>
      <c r="N27" s="14" t="s">
        <v>213</v>
      </c>
      <c r="O27" s="15" t="s">
        <v>214</v>
      </c>
    </row>
    <row r="28" ht="30.1" customHeight="1" spans="1:15">
      <c r="A28" s="14" t="s">
        <v>825</v>
      </c>
      <c r="B28" s="15" t="s">
        <v>825</v>
      </c>
      <c r="C28" s="15" t="s">
        <v>815</v>
      </c>
      <c r="D28" s="15" t="s">
        <v>826</v>
      </c>
      <c r="E28" s="15" t="s">
        <v>179</v>
      </c>
      <c r="F28" s="14" t="s">
        <v>194</v>
      </c>
      <c r="G28" s="16" t="s">
        <v>18</v>
      </c>
      <c r="H28" s="15" t="s">
        <v>213</v>
      </c>
      <c r="I28" s="14" t="s">
        <v>194</v>
      </c>
      <c r="J28" s="14" t="s">
        <v>18</v>
      </c>
      <c r="K28" s="14" t="s">
        <v>213</v>
      </c>
      <c r="L28" s="14" t="s">
        <v>194</v>
      </c>
      <c r="M28" s="14" t="s">
        <v>18</v>
      </c>
      <c r="N28" s="14" t="s">
        <v>213</v>
      </c>
      <c r="O28" s="15" t="s">
        <v>214</v>
      </c>
    </row>
    <row r="29" ht="30.1" customHeight="1" spans="1:15">
      <c r="A29" s="14" t="s">
        <v>827</v>
      </c>
      <c r="B29" s="15" t="s">
        <v>827</v>
      </c>
      <c r="C29" s="15" t="s">
        <v>815</v>
      </c>
      <c r="D29" s="15" t="s">
        <v>828</v>
      </c>
      <c r="E29" s="15" t="s">
        <v>179</v>
      </c>
      <c r="F29" s="14" t="s">
        <v>194</v>
      </c>
      <c r="G29" s="16" t="s">
        <v>18</v>
      </c>
      <c r="H29" s="15" t="s">
        <v>213</v>
      </c>
      <c r="I29" s="14" t="s">
        <v>194</v>
      </c>
      <c r="J29" s="14" t="s">
        <v>18</v>
      </c>
      <c r="K29" s="14" t="s">
        <v>213</v>
      </c>
      <c r="L29" s="14" t="s">
        <v>194</v>
      </c>
      <c r="M29" s="14" t="s">
        <v>18</v>
      </c>
      <c r="N29" s="14" t="s">
        <v>213</v>
      </c>
      <c r="O29" s="15" t="s">
        <v>214</v>
      </c>
    </row>
    <row r="30" ht="30.1" customHeight="1" spans="1:15">
      <c r="A30" s="14" t="s">
        <v>829</v>
      </c>
      <c r="B30" s="15" t="s">
        <v>829</v>
      </c>
      <c r="C30" s="15" t="s">
        <v>815</v>
      </c>
      <c r="D30" s="15" t="s">
        <v>830</v>
      </c>
      <c r="E30" s="15" t="s">
        <v>179</v>
      </c>
      <c r="F30" s="14" t="s">
        <v>194</v>
      </c>
      <c r="G30" s="16" t="s">
        <v>18</v>
      </c>
      <c r="H30" s="15" t="s">
        <v>213</v>
      </c>
      <c r="I30" s="14" t="s">
        <v>194</v>
      </c>
      <c r="J30" s="14" t="s">
        <v>18</v>
      </c>
      <c r="K30" s="14" t="s">
        <v>213</v>
      </c>
      <c r="L30" s="14" t="s">
        <v>194</v>
      </c>
      <c r="M30" s="14" t="s">
        <v>18</v>
      </c>
      <c r="N30" s="14" t="s">
        <v>213</v>
      </c>
      <c r="O30" s="15" t="s">
        <v>214</v>
      </c>
    </row>
    <row r="31" ht="45.15" customHeight="1" spans="1:15">
      <c r="A31" s="14" t="s">
        <v>831</v>
      </c>
      <c r="B31" s="15" t="s">
        <v>831</v>
      </c>
      <c r="C31" s="15" t="s">
        <v>832</v>
      </c>
      <c r="D31" s="15" t="s">
        <v>833</v>
      </c>
      <c r="E31" s="15" t="s">
        <v>179</v>
      </c>
      <c r="F31" s="14" t="s">
        <v>194</v>
      </c>
      <c r="G31" s="16" t="s">
        <v>18</v>
      </c>
      <c r="H31" s="15" t="s">
        <v>213</v>
      </c>
      <c r="I31" s="14" t="s">
        <v>194</v>
      </c>
      <c r="J31" s="14" t="s">
        <v>18</v>
      </c>
      <c r="K31" s="14" t="s">
        <v>213</v>
      </c>
      <c r="L31" s="14" t="s">
        <v>194</v>
      </c>
      <c r="M31" s="14" t="s">
        <v>18</v>
      </c>
      <c r="N31" s="14" t="s">
        <v>213</v>
      </c>
      <c r="O31" s="15" t="s">
        <v>214</v>
      </c>
    </row>
    <row r="32" ht="60.2" customHeight="1" spans="1:15">
      <c r="A32" s="14" t="s">
        <v>834</v>
      </c>
      <c r="B32" s="15" t="s">
        <v>834</v>
      </c>
      <c r="C32" s="15" t="s">
        <v>835</v>
      </c>
      <c r="D32" s="15" t="s">
        <v>836</v>
      </c>
      <c r="E32" s="15" t="s">
        <v>179</v>
      </c>
      <c r="F32" s="14" t="s">
        <v>194</v>
      </c>
      <c r="G32" s="16" t="s">
        <v>18</v>
      </c>
      <c r="H32" s="15" t="s">
        <v>213</v>
      </c>
      <c r="I32" s="14" t="s">
        <v>194</v>
      </c>
      <c r="J32" s="14" t="s">
        <v>18</v>
      </c>
      <c r="K32" s="14" t="s">
        <v>213</v>
      </c>
      <c r="L32" s="14" t="s">
        <v>194</v>
      </c>
      <c r="M32" s="14" t="s">
        <v>18</v>
      </c>
      <c r="N32" s="14" t="s">
        <v>213</v>
      </c>
      <c r="O32" s="15" t="s">
        <v>214</v>
      </c>
    </row>
    <row r="33" ht="30.1" customHeight="1" spans="1:15">
      <c r="A33" s="14" t="s">
        <v>837</v>
      </c>
      <c r="B33" s="15" t="s">
        <v>837</v>
      </c>
      <c r="C33" s="15" t="s">
        <v>838</v>
      </c>
      <c r="D33" s="15" t="s">
        <v>839</v>
      </c>
      <c r="E33" s="15" t="s">
        <v>179</v>
      </c>
      <c r="F33" s="14" t="s">
        <v>194</v>
      </c>
      <c r="G33" s="16" t="s">
        <v>18</v>
      </c>
      <c r="H33" s="15" t="s">
        <v>213</v>
      </c>
      <c r="I33" s="14" t="s">
        <v>194</v>
      </c>
      <c r="J33" s="14" t="s">
        <v>18</v>
      </c>
      <c r="K33" s="14" t="s">
        <v>213</v>
      </c>
      <c r="L33" s="14" t="s">
        <v>194</v>
      </c>
      <c r="M33" s="14" t="s">
        <v>18</v>
      </c>
      <c r="N33" s="14" t="s">
        <v>213</v>
      </c>
      <c r="O33" s="15" t="s">
        <v>214</v>
      </c>
    </row>
    <row r="34" ht="60.2" customHeight="1" spans="1:15">
      <c r="A34" s="14" t="s">
        <v>840</v>
      </c>
      <c r="B34" s="15" t="s">
        <v>840</v>
      </c>
      <c r="C34" s="15" t="s">
        <v>838</v>
      </c>
      <c r="D34" s="15" t="s">
        <v>841</v>
      </c>
      <c r="E34" s="15" t="s">
        <v>179</v>
      </c>
      <c r="F34" s="14" t="s">
        <v>194</v>
      </c>
      <c r="G34" s="16" t="s">
        <v>18</v>
      </c>
      <c r="H34" s="15" t="s">
        <v>213</v>
      </c>
      <c r="I34" s="14" t="s">
        <v>194</v>
      </c>
      <c r="J34" s="14" t="s">
        <v>18</v>
      </c>
      <c r="K34" s="14" t="s">
        <v>213</v>
      </c>
      <c r="L34" s="14" t="s">
        <v>194</v>
      </c>
      <c r="M34" s="14" t="s">
        <v>18</v>
      </c>
      <c r="N34" s="14" t="s">
        <v>213</v>
      </c>
      <c r="O34" s="15" t="s">
        <v>214</v>
      </c>
    </row>
    <row r="35" ht="45.15" customHeight="1" spans="1:15">
      <c r="A35" s="14" t="s">
        <v>842</v>
      </c>
      <c r="B35" s="15" t="s">
        <v>842</v>
      </c>
      <c r="C35" s="15" t="s">
        <v>838</v>
      </c>
      <c r="D35" s="15" t="s">
        <v>843</v>
      </c>
      <c r="E35" s="15" t="s">
        <v>179</v>
      </c>
      <c r="F35" s="14" t="s">
        <v>194</v>
      </c>
      <c r="G35" s="16" t="s">
        <v>18</v>
      </c>
      <c r="H35" s="15" t="s">
        <v>213</v>
      </c>
      <c r="I35" s="14" t="s">
        <v>194</v>
      </c>
      <c r="J35" s="14" t="s">
        <v>18</v>
      </c>
      <c r="K35" s="14" t="s">
        <v>213</v>
      </c>
      <c r="L35" s="14" t="s">
        <v>194</v>
      </c>
      <c r="M35" s="14" t="s">
        <v>18</v>
      </c>
      <c r="N35" s="14" t="s">
        <v>213</v>
      </c>
      <c r="O35" s="15" t="s">
        <v>214</v>
      </c>
    </row>
    <row r="36" ht="60.2" customHeight="1" spans="1:15">
      <c r="A36" s="14" t="s">
        <v>844</v>
      </c>
      <c r="B36" s="15" t="s">
        <v>844</v>
      </c>
      <c r="C36" s="15" t="s">
        <v>838</v>
      </c>
      <c r="D36" s="15" t="s">
        <v>845</v>
      </c>
      <c r="E36" s="15" t="s">
        <v>179</v>
      </c>
      <c r="F36" s="14" t="s">
        <v>194</v>
      </c>
      <c r="G36" s="16" t="s">
        <v>18</v>
      </c>
      <c r="H36" s="15" t="s">
        <v>213</v>
      </c>
      <c r="I36" s="14" t="s">
        <v>194</v>
      </c>
      <c r="J36" s="14" t="s">
        <v>18</v>
      </c>
      <c r="K36" s="14" t="s">
        <v>213</v>
      </c>
      <c r="L36" s="14" t="s">
        <v>194</v>
      </c>
      <c r="M36" s="14" t="s">
        <v>18</v>
      </c>
      <c r="N36" s="14" t="s">
        <v>213</v>
      </c>
      <c r="O36" s="15" t="s">
        <v>214</v>
      </c>
    </row>
    <row r="37" ht="45.15" customHeight="1" spans="1:15">
      <c r="A37" s="14" t="s">
        <v>846</v>
      </c>
      <c r="B37" s="15" t="s">
        <v>846</v>
      </c>
      <c r="C37" s="15" t="s">
        <v>838</v>
      </c>
      <c r="D37" s="15" t="s">
        <v>847</v>
      </c>
      <c r="E37" s="15" t="s">
        <v>179</v>
      </c>
      <c r="F37" s="14" t="s">
        <v>194</v>
      </c>
      <c r="G37" s="16" t="s">
        <v>18</v>
      </c>
      <c r="H37" s="15" t="s">
        <v>213</v>
      </c>
      <c r="I37" s="14" t="s">
        <v>194</v>
      </c>
      <c r="J37" s="14" t="s">
        <v>18</v>
      </c>
      <c r="K37" s="14" t="s">
        <v>213</v>
      </c>
      <c r="L37" s="14" t="s">
        <v>194</v>
      </c>
      <c r="M37" s="14" t="s">
        <v>18</v>
      </c>
      <c r="N37" s="14" t="s">
        <v>213</v>
      </c>
      <c r="O37" s="15" t="s">
        <v>214</v>
      </c>
    </row>
    <row r="38" ht="45.15" customHeight="1" spans="1:15">
      <c r="A38" s="14" t="s">
        <v>848</v>
      </c>
      <c r="B38" s="15" t="s">
        <v>848</v>
      </c>
      <c r="C38" s="15" t="s">
        <v>838</v>
      </c>
      <c r="D38" s="15" t="s">
        <v>849</v>
      </c>
      <c r="E38" s="15" t="s">
        <v>179</v>
      </c>
      <c r="F38" s="14" t="s">
        <v>194</v>
      </c>
      <c r="G38" s="16" t="s">
        <v>18</v>
      </c>
      <c r="H38" s="15" t="s">
        <v>213</v>
      </c>
      <c r="I38" s="14" t="s">
        <v>194</v>
      </c>
      <c r="J38" s="14" t="s">
        <v>18</v>
      </c>
      <c r="K38" s="14" t="s">
        <v>213</v>
      </c>
      <c r="L38" s="14" t="s">
        <v>194</v>
      </c>
      <c r="M38" s="14" t="s">
        <v>18</v>
      </c>
      <c r="N38" s="14" t="s">
        <v>213</v>
      </c>
      <c r="O38" s="15" t="s">
        <v>214</v>
      </c>
    </row>
    <row r="39" ht="75.25" customHeight="1" spans="1:15">
      <c r="A39" s="14" t="s">
        <v>850</v>
      </c>
      <c r="B39" s="15" t="s">
        <v>850</v>
      </c>
      <c r="C39" s="15" t="s">
        <v>838</v>
      </c>
      <c r="D39" s="15" t="s">
        <v>851</v>
      </c>
      <c r="E39" s="15" t="s">
        <v>179</v>
      </c>
      <c r="F39" s="14" t="s">
        <v>194</v>
      </c>
      <c r="G39" s="16" t="s">
        <v>18</v>
      </c>
      <c r="H39" s="15" t="s">
        <v>213</v>
      </c>
      <c r="I39" s="14" t="s">
        <v>194</v>
      </c>
      <c r="J39" s="14" t="s">
        <v>18</v>
      </c>
      <c r="K39" s="14" t="s">
        <v>213</v>
      </c>
      <c r="L39" s="14" t="s">
        <v>194</v>
      </c>
      <c r="M39" s="14" t="s">
        <v>18</v>
      </c>
      <c r="N39" s="14" t="s">
        <v>213</v>
      </c>
      <c r="O39" s="15" t="s">
        <v>214</v>
      </c>
    </row>
    <row r="40" ht="60.2" customHeight="1" spans="1:15">
      <c r="A40" s="14" t="s">
        <v>852</v>
      </c>
      <c r="B40" s="15" t="s">
        <v>852</v>
      </c>
      <c r="C40" s="15" t="s">
        <v>838</v>
      </c>
      <c r="D40" s="15" t="s">
        <v>853</v>
      </c>
      <c r="E40" s="15" t="s">
        <v>179</v>
      </c>
      <c r="F40" s="14" t="s">
        <v>194</v>
      </c>
      <c r="G40" s="16" t="s">
        <v>18</v>
      </c>
      <c r="H40" s="15" t="s">
        <v>213</v>
      </c>
      <c r="I40" s="14" t="s">
        <v>194</v>
      </c>
      <c r="J40" s="14" t="s">
        <v>18</v>
      </c>
      <c r="K40" s="14" t="s">
        <v>213</v>
      </c>
      <c r="L40" s="14" t="s">
        <v>194</v>
      </c>
      <c r="M40" s="14" t="s">
        <v>18</v>
      </c>
      <c r="N40" s="14" t="s">
        <v>213</v>
      </c>
      <c r="O40" s="15" t="s">
        <v>214</v>
      </c>
    </row>
    <row r="41" ht="45.15" customHeight="1" spans="1:15">
      <c r="A41" s="14" t="s">
        <v>854</v>
      </c>
      <c r="B41" s="15" t="s">
        <v>854</v>
      </c>
      <c r="C41" s="15" t="s">
        <v>838</v>
      </c>
      <c r="D41" s="15" t="s">
        <v>855</v>
      </c>
      <c r="E41" s="15" t="s">
        <v>179</v>
      </c>
      <c r="F41" s="14" t="s">
        <v>194</v>
      </c>
      <c r="G41" s="16" t="s">
        <v>18</v>
      </c>
      <c r="H41" s="15" t="s">
        <v>213</v>
      </c>
      <c r="I41" s="14" t="s">
        <v>194</v>
      </c>
      <c r="J41" s="14" t="s">
        <v>18</v>
      </c>
      <c r="K41" s="14" t="s">
        <v>213</v>
      </c>
      <c r="L41" s="14" t="s">
        <v>194</v>
      </c>
      <c r="M41" s="14" t="s">
        <v>18</v>
      </c>
      <c r="N41" s="14" t="s">
        <v>213</v>
      </c>
      <c r="O41" s="15" t="s">
        <v>214</v>
      </c>
    </row>
    <row r="42" ht="60.2" customHeight="1" spans="1:15">
      <c r="A42" s="14" t="s">
        <v>856</v>
      </c>
      <c r="B42" s="15" t="s">
        <v>856</v>
      </c>
      <c r="C42" s="15" t="s">
        <v>857</v>
      </c>
      <c r="D42" s="15" t="s">
        <v>858</v>
      </c>
      <c r="E42" s="15" t="s">
        <v>179</v>
      </c>
      <c r="F42" s="14" t="s">
        <v>194</v>
      </c>
      <c r="G42" s="16" t="s">
        <v>18</v>
      </c>
      <c r="H42" s="15" t="s">
        <v>213</v>
      </c>
      <c r="I42" s="14" t="s">
        <v>194</v>
      </c>
      <c r="J42" s="14" t="s">
        <v>18</v>
      </c>
      <c r="K42" s="14" t="s">
        <v>213</v>
      </c>
      <c r="L42" s="14" t="s">
        <v>194</v>
      </c>
      <c r="M42" s="14" t="s">
        <v>18</v>
      </c>
      <c r="N42" s="14" t="s">
        <v>213</v>
      </c>
      <c r="O42" s="15" t="s">
        <v>214</v>
      </c>
    </row>
    <row r="43" ht="45.15" customHeight="1" spans="1:15">
      <c r="A43" s="14" t="s">
        <v>859</v>
      </c>
      <c r="B43" s="15" t="s">
        <v>859</v>
      </c>
      <c r="C43" s="15" t="s">
        <v>860</v>
      </c>
      <c r="D43" s="15" t="s">
        <v>861</v>
      </c>
      <c r="E43" s="15" t="s">
        <v>179</v>
      </c>
      <c r="F43" s="14" t="s">
        <v>194</v>
      </c>
      <c r="G43" s="16" t="s">
        <v>18</v>
      </c>
      <c r="H43" s="15" t="s">
        <v>213</v>
      </c>
      <c r="I43" s="14" t="s">
        <v>194</v>
      </c>
      <c r="J43" s="14" t="s">
        <v>18</v>
      </c>
      <c r="K43" s="14" t="s">
        <v>213</v>
      </c>
      <c r="L43" s="14" t="s">
        <v>194</v>
      </c>
      <c r="M43" s="14" t="s">
        <v>18</v>
      </c>
      <c r="N43" s="14" t="s">
        <v>213</v>
      </c>
      <c r="O43" s="15" t="s">
        <v>214</v>
      </c>
    </row>
    <row r="44" ht="60.2" customHeight="1" spans="1:15">
      <c r="A44" s="14" t="s">
        <v>862</v>
      </c>
      <c r="B44" s="15" t="s">
        <v>862</v>
      </c>
      <c r="C44" s="15" t="s">
        <v>863</v>
      </c>
      <c r="D44" s="15" t="s">
        <v>864</v>
      </c>
      <c r="E44" s="15" t="s">
        <v>179</v>
      </c>
      <c r="F44" s="14" t="s">
        <v>194</v>
      </c>
      <c r="G44" s="16" t="s">
        <v>18</v>
      </c>
      <c r="H44" s="15" t="s">
        <v>213</v>
      </c>
      <c r="I44" s="14" t="s">
        <v>194</v>
      </c>
      <c r="J44" s="14" t="s">
        <v>18</v>
      </c>
      <c r="K44" s="14" t="s">
        <v>213</v>
      </c>
      <c r="L44" s="14" t="s">
        <v>194</v>
      </c>
      <c r="M44" s="14" t="s">
        <v>18</v>
      </c>
      <c r="N44" s="14" t="s">
        <v>213</v>
      </c>
      <c r="O44" s="15" t="s">
        <v>214</v>
      </c>
    </row>
    <row r="45" ht="45.15" customHeight="1" spans="1:15">
      <c r="A45" s="14" t="s">
        <v>865</v>
      </c>
      <c r="B45" s="15" t="s">
        <v>865</v>
      </c>
      <c r="C45" s="15" t="s">
        <v>866</v>
      </c>
      <c r="D45" s="15" t="s">
        <v>867</v>
      </c>
      <c r="E45" s="15" t="s">
        <v>179</v>
      </c>
      <c r="F45" s="14" t="s">
        <v>194</v>
      </c>
      <c r="G45" s="16" t="s">
        <v>18</v>
      </c>
      <c r="H45" s="15" t="s">
        <v>213</v>
      </c>
      <c r="I45" s="14" t="s">
        <v>194</v>
      </c>
      <c r="J45" s="14" t="s">
        <v>18</v>
      </c>
      <c r="K45" s="14" t="s">
        <v>213</v>
      </c>
      <c r="L45" s="14" t="s">
        <v>194</v>
      </c>
      <c r="M45" s="14" t="s">
        <v>18</v>
      </c>
      <c r="N45" s="14" t="s">
        <v>213</v>
      </c>
      <c r="O45" s="15" t="s">
        <v>214</v>
      </c>
    </row>
    <row r="46" ht="30.1" customHeight="1" spans="1:15">
      <c r="A46" s="14" t="s">
        <v>868</v>
      </c>
      <c r="B46" s="15" t="s">
        <v>869</v>
      </c>
      <c r="C46" s="15" t="s">
        <v>870</v>
      </c>
      <c r="D46" s="15" t="s">
        <v>871</v>
      </c>
      <c r="E46" s="15" t="s">
        <v>179</v>
      </c>
      <c r="F46" s="14" t="s">
        <v>194</v>
      </c>
      <c r="G46" s="16" t="s">
        <v>18</v>
      </c>
      <c r="H46" s="15" t="s">
        <v>213</v>
      </c>
      <c r="I46" s="14" t="s">
        <v>194</v>
      </c>
      <c r="J46" s="14" t="s">
        <v>18</v>
      </c>
      <c r="K46" s="14" t="s">
        <v>213</v>
      </c>
      <c r="L46" s="14" t="s">
        <v>194</v>
      </c>
      <c r="M46" s="14" t="s">
        <v>18</v>
      </c>
      <c r="N46" s="14" t="s">
        <v>213</v>
      </c>
      <c r="O46" s="15" t="s">
        <v>214</v>
      </c>
    </row>
    <row r="47" ht="30.1" customHeight="1" spans="1:15">
      <c r="A47" s="14" t="s">
        <v>872</v>
      </c>
      <c r="B47" s="15" t="s">
        <v>873</v>
      </c>
      <c r="C47" s="15" t="s">
        <v>870</v>
      </c>
      <c r="D47" s="15" t="s">
        <v>874</v>
      </c>
      <c r="E47" s="15" t="s">
        <v>179</v>
      </c>
      <c r="F47" s="14" t="s">
        <v>194</v>
      </c>
      <c r="G47" s="16" t="s">
        <v>18</v>
      </c>
      <c r="H47" s="15" t="s">
        <v>213</v>
      </c>
      <c r="I47" s="14" t="s">
        <v>194</v>
      </c>
      <c r="J47" s="14" t="s">
        <v>18</v>
      </c>
      <c r="K47" s="14" t="s">
        <v>213</v>
      </c>
      <c r="L47" s="14" t="s">
        <v>194</v>
      </c>
      <c r="M47" s="14" t="s">
        <v>18</v>
      </c>
      <c r="N47" s="14" t="s">
        <v>213</v>
      </c>
      <c r="O47" s="15" t="s">
        <v>214</v>
      </c>
    </row>
    <row r="48" ht="30.1" customHeight="1" spans="1:15">
      <c r="A48" s="14" t="s">
        <v>875</v>
      </c>
      <c r="B48" s="15" t="s">
        <v>876</v>
      </c>
      <c r="C48" s="15" t="s">
        <v>870</v>
      </c>
      <c r="D48" s="15" t="s">
        <v>877</v>
      </c>
      <c r="E48" s="15" t="s">
        <v>179</v>
      </c>
      <c r="F48" s="14" t="s">
        <v>194</v>
      </c>
      <c r="G48" s="16" t="s">
        <v>18</v>
      </c>
      <c r="H48" s="15" t="s">
        <v>213</v>
      </c>
      <c r="I48" s="14" t="s">
        <v>194</v>
      </c>
      <c r="J48" s="14" t="s">
        <v>18</v>
      </c>
      <c r="K48" s="14" t="s">
        <v>213</v>
      </c>
      <c r="L48" s="14" t="s">
        <v>194</v>
      </c>
      <c r="M48" s="14" t="s">
        <v>18</v>
      </c>
      <c r="N48" s="14" t="s">
        <v>213</v>
      </c>
      <c r="O48" s="15" t="s">
        <v>214</v>
      </c>
    </row>
    <row r="49" ht="30.1" customHeight="1" spans="1:15">
      <c r="A49" s="14" t="s">
        <v>878</v>
      </c>
      <c r="B49" s="15" t="s">
        <v>878</v>
      </c>
      <c r="C49" s="15" t="s">
        <v>870</v>
      </c>
      <c r="D49" s="15" t="s">
        <v>879</v>
      </c>
      <c r="E49" s="15" t="s">
        <v>179</v>
      </c>
      <c r="F49" s="14" t="s">
        <v>194</v>
      </c>
      <c r="G49" s="16" t="s">
        <v>18</v>
      </c>
      <c r="H49" s="15" t="s">
        <v>213</v>
      </c>
      <c r="I49" s="14" t="s">
        <v>194</v>
      </c>
      <c r="J49" s="14" t="s">
        <v>18</v>
      </c>
      <c r="K49" s="14" t="s">
        <v>213</v>
      </c>
      <c r="L49" s="14" t="s">
        <v>194</v>
      </c>
      <c r="M49" s="14" t="s">
        <v>18</v>
      </c>
      <c r="N49" s="14" t="s">
        <v>213</v>
      </c>
      <c r="O49" s="15" t="s">
        <v>214</v>
      </c>
    </row>
    <row r="50" ht="30.1" customHeight="1" spans="1:15">
      <c r="A50" s="14" t="s">
        <v>880</v>
      </c>
      <c r="B50" s="15" t="s">
        <v>881</v>
      </c>
      <c r="C50" s="15" t="s">
        <v>870</v>
      </c>
      <c r="D50" s="15" t="s">
        <v>882</v>
      </c>
      <c r="E50" s="15" t="s">
        <v>179</v>
      </c>
      <c r="F50" s="14" t="s">
        <v>194</v>
      </c>
      <c r="G50" s="16" t="s">
        <v>18</v>
      </c>
      <c r="H50" s="15" t="s">
        <v>213</v>
      </c>
      <c r="I50" s="14" t="s">
        <v>194</v>
      </c>
      <c r="J50" s="14" t="s">
        <v>18</v>
      </c>
      <c r="K50" s="14" t="s">
        <v>213</v>
      </c>
      <c r="L50" s="14" t="s">
        <v>194</v>
      </c>
      <c r="M50" s="14" t="s">
        <v>18</v>
      </c>
      <c r="N50" s="14" t="s">
        <v>213</v>
      </c>
      <c r="O50" s="15" t="s">
        <v>214</v>
      </c>
    </row>
    <row r="51" ht="30.1" customHeight="1" spans="1:15">
      <c r="A51" s="14" t="s">
        <v>883</v>
      </c>
      <c r="B51" s="15" t="s">
        <v>883</v>
      </c>
      <c r="C51" s="15" t="s">
        <v>884</v>
      </c>
      <c r="D51" s="15" t="s">
        <v>885</v>
      </c>
      <c r="E51" s="15" t="s">
        <v>179</v>
      </c>
      <c r="F51" s="14" t="s">
        <v>194</v>
      </c>
      <c r="G51" s="16" t="s">
        <v>18</v>
      </c>
      <c r="H51" s="15" t="s">
        <v>213</v>
      </c>
      <c r="I51" s="14" t="s">
        <v>194</v>
      </c>
      <c r="J51" s="14" t="s">
        <v>18</v>
      </c>
      <c r="K51" s="14" t="s">
        <v>213</v>
      </c>
      <c r="L51" s="14" t="s">
        <v>194</v>
      </c>
      <c r="M51" s="14" t="s">
        <v>18</v>
      </c>
      <c r="N51" s="14" t="s">
        <v>213</v>
      </c>
      <c r="O51" s="15" t="s">
        <v>214</v>
      </c>
    </row>
    <row r="52" ht="30.1" customHeight="1" spans="1:15">
      <c r="A52" s="14" t="s">
        <v>886</v>
      </c>
      <c r="B52" s="15" t="s">
        <v>886</v>
      </c>
      <c r="C52" s="15" t="s">
        <v>884</v>
      </c>
      <c r="D52" s="15" t="s">
        <v>887</v>
      </c>
      <c r="E52" s="15" t="s">
        <v>179</v>
      </c>
      <c r="F52" s="14" t="s">
        <v>194</v>
      </c>
      <c r="G52" s="16" t="s">
        <v>18</v>
      </c>
      <c r="H52" s="15" t="s">
        <v>213</v>
      </c>
      <c r="I52" s="14" t="s">
        <v>194</v>
      </c>
      <c r="J52" s="14" t="s">
        <v>18</v>
      </c>
      <c r="K52" s="14" t="s">
        <v>213</v>
      </c>
      <c r="L52" s="14" t="s">
        <v>194</v>
      </c>
      <c r="M52" s="14" t="s">
        <v>18</v>
      </c>
      <c r="N52" s="14" t="s">
        <v>213</v>
      </c>
      <c r="O52" s="15" t="s">
        <v>214</v>
      </c>
    </row>
    <row r="53" ht="30.1" customHeight="1" spans="1:15">
      <c r="A53" s="14" t="s">
        <v>888</v>
      </c>
      <c r="B53" s="15" t="s">
        <v>888</v>
      </c>
      <c r="C53" s="15" t="s">
        <v>884</v>
      </c>
      <c r="D53" s="15" t="s">
        <v>889</v>
      </c>
      <c r="E53" s="15" t="s">
        <v>179</v>
      </c>
      <c r="F53" s="14" t="s">
        <v>194</v>
      </c>
      <c r="G53" s="16" t="s">
        <v>18</v>
      </c>
      <c r="H53" s="15" t="s">
        <v>213</v>
      </c>
      <c r="I53" s="14" t="s">
        <v>194</v>
      </c>
      <c r="J53" s="14" t="s">
        <v>18</v>
      </c>
      <c r="K53" s="14" t="s">
        <v>213</v>
      </c>
      <c r="L53" s="14" t="s">
        <v>194</v>
      </c>
      <c r="M53" s="14" t="s">
        <v>18</v>
      </c>
      <c r="N53" s="14" t="s">
        <v>213</v>
      </c>
      <c r="O53" s="15" t="s">
        <v>214</v>
      </c>
    </row>
    <row r="54" ht="30.1" customHeight="1" spans="1:15">
      <c r="A54" s="14" t="s">
        <v>890</v>
      </c>
      <c r="B54" s="15" t="s">
        <v>890</v>
      </c>
      <c r="C54" s="15" t="s">
        <v>884</v>
      </c>
      <c r="D54" s="15" t="s">
        <v>891</v>
      </c>
      <c r="E54" s="15" t="s">
        <v>179</v>
      </c>
      <c r="F54" s="14" t="s">
        <v>194</v>
      </c>
      <c r="G54" s="16" t="s">
        <v>18</v>
      </c>
      <c r="H54" s="15" t="s">
        <v>213</v>
      </c>
      <c r="I54" s="14" t="s">
        <v>194</v>
      </c>
      <c r="J54" s="14" t="s">
        <v>18</v>
      </c>
      <c r="K54" s="14" t="s">
        <v>213</v>
      </c>
      <c r="L54" s="14" t="s">
        <v>194</v>
      </c>
      <c r="M54" s="14" t="s">
        <v>18</v>
      </c>
      <c r="N54" s="14" t="s">
        <v>213</v>
      </c>
      <c r="O54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180</v>
      </c>
      <c r="C1" s="8"/>
      <c r="D1" s="8"/>
    </row>
    <row r="2" spans="1:15">
      <c r="A2" s="9" t="s">
        <v>191</v>
      </c>
      <c r="B2" s="10" t="s">
        <v>181</v>
      </c>
      <c r="C2" s="10"/>
      <c r="D2" s="10"/>
    </row>
    <row r="3" spans="1:15">
      <c r="A3" s="9" t="s">
        <v>192</v>
      </c>
      <c r="B3" s="11">
        <f>SUM(B5:D5)</f>
        <v>40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40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40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40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>
      <c r="A11" s="14" t="s">
        <v>892</v>
      </c>
      <c r="B11" s="15" t="s">
        <v>892</v>
      </c>
      <c r="C11" s="15" t="s">
        <v>893</v>
      </c>
      <c r="D11" s="15" t="s">
        <v>894</v>
      </c>
      <c r="E11" s="15" t="s">
        <v>179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30.1" customHeight="1" spans="1:15">
      <c r="A12" s="14" t="s">
        <v>895</v>
      </c>
      <c r="B12" s="15" t="s">
        <v>895</v>
      </c>
      <c r="C12" s="15" t="s">
        <v>896</v>
      </c>
      <c r="D12" s="15" t="s">
        <v>897</v>
      </c>
      <c r="E12" s="15" t="s">
        <v>179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30.1" customHeight="1" spans="1:15">
      <c r="A13" s="14" t="s">
        <v>898</v>
      </c>
      <c r="B13" s="15" t="s">
        <v>898</v>
      </c>
      <c r="C13" s="15" t="s">
        <v>899</v>
      </c>
      <c r="D13" s="15" t="s">
        <v>900</v>
      </c>
      <c r="E13" s="15" t="s">
        <v>179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30.1" customHeight="1" spans="1:15">
      <c r="A14" s="14" t="s">
        <v>901</v>
      </c>
      <c r="B14" s="15" t="s">
        <v>901</v>
      </c>
      <c r="C14" s="15" t="s">
        <v>902</v>
      </c>
      <c r="D14" s="15" t="s">
        <v>903</v>
      </c>
      <c r="E14" s="15" t="s">
        <v>179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30.1" customHeight="1" spans="1:15">
      <c r="A15" s="14" t="s">
        <v>904</v>
      </c>
      <c r="B15" s="15" t="s">
        <v>904</v>
      </c>
      <c r="C15" s="15" t="s">
        <v>905</v>
      </c>
      <c r="D15" s="15" t="s">
        <v>906</v>
      </c>
      <c r="E15" s="15" t="s">
        <v>179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30.1" customHeight="1" spans="1:15">
      <c r="A16" s="14" t="s">
        <v>907</v>
      </c>
      <c r="B16" s="15" t="s">
        <v>907</v>
      </c>
      <c r="C16" s="15" t="s">
        <v>908</v>
      </c>
      <c r="D16" s="15" t="s">
        <v>909</v>
      </c>
      <c r="E16" s="15" t="s">
        <v>179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30.1" customHeight="1" spans="1:15">
      <c r="A17" s="14" t="s">
        <v>910</v>
      </c>
      <c r="B17" s="15" t="s">
        <v>910</v>
      </c>
      <c r="C17" s="15" t="s">
        <v>911</v>
      </c>
      <c r="D17" s="15" t="s">
        <v>912</v>
      </c>
      <c r="E17" s="15" t="s">
        <v>179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45.15" customHeight="1" spans="1:15">
      <c r="A18" s="14" t="s">
        <v>913</v>
      </c>
      <c r="B18" s="15" t="s">
        <v>913</v>
      </c>
      <c r="C18" s="15" t="s">
        <v>914</v>
      </c>
      <c r="D18" s="15" t="s">
        <v>915</v>
      </c>
      <c r="E18" s="15" t="s">
        <v>179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60.2" customHeight="1" spans="1:15">
      <c r="A19" s="14" t="s">
        <v>916</v>
      </c>
      <c r="B19" s="15" t="s">
        <v>916</v>
      </c>
      <c r="C19" s="15" t="s">
        <v>917</v>
      </c>
      <c r="D19" s="15" t="s">
        <v>918</v>
      </c>
      <c r="E19" s="15" t="s">
        <v>179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  <row r="20" ht="45.15" customHeight="1" spans="1:15">
      <c r="A20" s="14" t="s">
        <v>919</v>
      </c>
      <c r="B20" s="15" t="s">
        <v>919</v>
      </c>
      <c r="C20" s="15" t="s">
        <v>920</v>
      </c>
      <c r="D20" s="15" t="s">
        <v>921</v>
      </c>
      <c r="E20" s="15" t="s">
        <v>179</v>
      </c>
      <c r="F20" s="14" t="s">
        <v>194</v>
      </c>
      <c r="G20" s="16" t="s">
        <v>18</v>
      </c>
      <c r="H20" s="15" t="s">
        <v>213</v>
      </c>
      <c r="I20" s="14" t="s">
        <v>194</v>
      </c>
      <c r="J20" s="14" t="s">
        <v>18</v>
      </c>
      <c r="K20" s="14" t="s">
        <v>213</v>
      </c>
      <c r="L20" s="14" t="s">
        <v>194</v>
      </c>
      <c r="M20" s="14" t="s">
        <v>18</v>
      </c>
      <c r="N20" s="14" t="s">
        <v>213</v>
      </c>
      <c r="O20" s="15" t="s">
        <v>214</v>
      </c>
    </row>
    <row r="21" ht="45.15" customHeight="1" spans="1:15">
      <c r="A21" s="14" t="s">
        <v>922</v>
      </c>
      <c r="B21" s="15" t="s">
        <v>922</v>
      </c>
      <c r="C21" s="15" t="s">
        <v>923</v>
      </c>
      <c r="D21" s="15" t="s">
        <v>924</v>
      </c>
      <c r="E21" s="15" t="s">
        <v>179</v>
      </c>
      <c r="F21" s="14" t="s">
        <v>194</v>
      </c>
      <c r="G21" s="16" t="s">
        <v>18</v>
      </c>
      <c r="H21" s="15" t="s">
        <v>213</v>
      </c>
      <c r="I21" s="14" t="s">
        <v>194</v>
      </c>
      <c r="J21" s="14" t="s">
        <v>18</v>
      </c>
      <c r="K21" s="14" t="s">
        <v>213</v>
      </c>
      <c r="L21" s="14" t="s">
        <v>194</v>
      </c>
      <c r="M21" s="14" t="s">
        <v>18</v>
      </c>
      <c r="N21" s="14" t="s">
        <v>213</v>
      </c>
      <c r="O21" s="15" t="s">
        <v>214</v>
      </c>
    </row>
    <row r="22" ht="75.25" customHeight="1" spans="1:15">
      <c r="A22" s="14" t="s">
        <v>925</v>
      </c>
      <c r="B22" s="15" t="s">
        <v>925</v>
      </c>
      <c r="C22" s="15" t="s">
        <v>926</v>
      </c>
      <c r="D22" s="15" t="s">
        <v>927</v>
      </c>
      <c r="E22" s="15" t="s">
        <v>179</v>
      </c>
      <c r="F22" s="14" t="s">
        <v>194</v>
      </c>
      <c r="G22" s="16" t="s">
        <v>18</v>
      </c>
      <c r="H22" s="15" t="s">
        <v>213</v>
      </c>
      <c r="I22" s="14" t="s">
        <v>194</v>
      </c>
      <c r="J22" s="14" t="s">
        <v>18</v>
      </c>
      <c r="K22" s="14" t="s">
        <v>213</v>
      </c>
      <c r="L22" s="14" t="s">
        <v>194</v>
      </c>
      <c r="M22" s="14" t="s">
        <v>18</v>
      </c>
      <c r="N22" s="14" t="s">
        <v>213</v>
      </c>
      <c r="O22" s="15" t="s">
        <v>214</v>
      </c>
    </row>
    <row r="23" ht="75.25" customHeight="1" spans="1:15">
      <c r="A23" s="14" t="s">
        <v>928</v>
      </c>
      <c r="B23" s="15" t="s">
        <v>928</v>
      </c>
      <c r="C23" s="15" t="s">
        <v>929</v>
      </c>
      <c r="D23" s="15" t="s">
        <v>930</v>
      </c>
      <c r="E23" s="15" t="s">
        <v>179</v>
      </c>
      <c r="F23" s="14" t="s">
        <v>194</v>
      </c>
      <c r="G23" s="16" t="s">
        <v>18</v>
      </c>
      <c r="H23" s="15" t="s">
        <v>213</v>
      </c>
      <c r="I23" s="14" t="s">
        <v>194</v>
      </c>
      <c r="J23" s="14" t="s">
        <v>18</v>
      </c>
      <c r="K23" s="14" t="s">
        <v>213</v>
      </c>
      <c r="L23" s="14" t="s">
        <v>194</v>
      </c>
      <c r="M23" s="14" t="s">
        <v>18</v>
      </c>
      <c r="N23" s="14" t="s">
        <v>213</v>
      </c>
      <c r="O23" s="15" t="s">
        <v>214</v>
      </c>
    </row>
    <row r="24" ht="75.25" customHeight="1" spans="1:15">
      <c r="A24" s="14" t="s">
        <v>931</v>
      </c>
      <c r="B24" s="15" t="s">
        <v>931</v>
      </c>
      <c r="C24" s="15" t="s">
        <v>932</v>
      </c>
      <c r="D24" s="15" t="s">
        <v>933</v>
      </c>
      <c r="E24" s="15" t="s">
        <v>179</v>
      </c>
      <c r="F24" s="14" t="s">
        <v>194</v>
      </c>
      <c r="G24" s="16" t="s">
        <v>18</v>
      </c>
      <c r="H24" s="15" t="s">
        <v>213</v>
      </c>
      <c r="I24" s="14" t="s">
        <v>194</v>
      </c>
      <c r="J24" s="14" t="s">
        <v>18</v>
      </c>
      <c r="K24" s="14" t="s">
        <v>213</v>
      </c>
      <c r="L24" s="14" t="s">
        <v>194</v>
      </c>
      <c r="M24" s="14" t="s">
        <v>18</v>
      </c>
      <c r="N24" s="14" t="s">
        <v>213</v>
      </c>
      <c r="O24" s="15" t="s">
        <v>214</v>
      </c>
    </row>
    <row r="25" ht="60.2" customHeight="1" spans="1:15">
      <c r="A25" s="14" t="s">
        <v>934</v>
      </c>
      <c r="B25" s="15" t="s">
        <v>934</v>
      </c>
      <c r="C25" s="15" t="s">
        <v>935</v>
      </c>
      <c r="D25" s="15" t="s">
        <v>936</v>
      </c>
      <c r="E25" s="15" t="s">
        <v>179</v>
      </c>
      <c r="F25" s="14" t="s">
        <v>194</v>
      </c>
      <c r="G25" s="16" t="s">
        <v>18</v>
      </c>
      <c r="H25" s="15" t="s">
        <v>213</v>
      </c>
      <c r="I25" s="14" t="s">
        <v>194</v>
      </c>
      <c r="J25" s="14" t="s">
        <v>18</v>
      </c>
      <c r="K25" s="14" t="s">
        <v>213</v>
      </c>
      <c r="L25" s="14" t="s">
        <v>194</v>
      </c>
      <c r="M25" s="14" t="s">
        <v>18</v>
      </c>
      <c r="N25" s="14" t="s">
        <v>213</v>
      </c>
      <c r="O25" s="15" t="s">
        <v>214</v>
      </c>
    </row>
    <row r="26" ht="60.2" customHeight="1" spans="1:15">
      <c r="A26" s="14" t="s">
        <v>937</v>
      </c>
      <c r="B26" s="15" t="s">
        <v>937</v>
      </c>
      <c r="C26" s="15" t="s">
        <v>938</v>
      </c>
      <c r="D26" s="15" t="s">
        <v>939</v>
      </c>
      <c r="E26" s="15" t="s">
        <v>179</v>
      </c>
      <c r="F26" s="14" t="s">
        <v>194</v>
      </c>
      <c r="G26" s="16" t="s">
        <v>18</v>
      </c>
      <c r="H26" s="15" t="s">
        <v>213</v>
      </c>
      <c r="I26" s="14" t="s">
        <v>194</v>
      </c>
      <c r="J26" s="14" t="s">
        <v>18</v>
      </c>
      <c r="K26" s="14" t="s">
        <v>213</v>
      </c>
      <c r="L26" s="14" t="s">
        <v>194</v>
      </c>
      <c r="M26" s="14" t="s">
        <v>18</v>
      </c>
      <c r="N26" s="14" t="s">
        <v>213</v>
      </c>
      <c r="O26" s="15" t="s">
        <v>214</v>
      </c>
    </row>
    <row r="27" ht="45.15" customHeight="1" spans="1:15">
      <c r="A27" s="14" t="s">
        <v>940</v>
      </c>
      <c r="B27" s="15" t="s">
        <v>940</v>
      </c>
      <c r="C27" s="15" t="s">
        <v>941</v>
      </c>
      <c r="D27" s="15" t="s">
        <v>942</v>
      </c>
      <c r="E27" s="15" t="s">
        <v>179</v>
      </c>
      <c r="F27" s="14" t="s">
        <v>194</v>
      </c>
      <c r="G27" s="16" t="s">
        <v>18</v>
      </c>
      <c r="H27" s="15" t="s">
        <v>213</v>
      </c>
      <c r="I27" s="14" t="s">
        <v>194</v>
      </c>
      <c r="J27" s="14" t="s">
        <v>18</v>
      </c>
      <c r="K27" s="14" t="s">
        <v>213</v>
      </c>
      <c r="L27" s="14" t="s">
        <v>194</v>
      </c>
      <c r="M27" s="14" t="s">
        <v>18</v>
      </c>
      <c r="N27" s="14" t="s">
        <v>213</v>
      </c>
      <c r="O27" s="15" t="s">
        <v>214</v>
      </c>
    </row>
    <row r="28" ht="30.1" customHeight="1" spans="1:15">
      <c r="A28" s="14" t="s">
        <v>943</v>
      </c>
      <c r="B28" s="15" t="s">
        <v>943</v>
      </c>
      <c r="C28" s="15" t="s">
        <v>944</v>
      </c>
      <c r="D28" s="15" t="s">
        <v>945</v>
      </c>
      <c r="E28" s="15" t="s">
        <v>179</v>
      </c>
      <c r="F28" s="14" t="s">
        <v>194</v>
      </c>
      <c r="G28" s="16" t="s">
        <v>18</v>
      </c>
      <c r="H28" s="15" t="s">
        <v>213</v>
      </c>
      <c r="I28" s="14" t="s">
        <v>194</v>
      </c>
      <c r="J28" s="14" t="s">
        <v>18</v>
      </c>
      <c r="K28" s="14" t="s">
        <v>213</v>
      </c>
      <c r="L28" s="14" t="s">
        <v>194</v>
      </c>
      <c r="M28" s="14" t="s">
        <v>18</v>
      </c>
      <c r="N28" s="14" t="s">
        <v>213</v>
      </c>
      <c r="O28" s="15" t="s">
        <v>214</v>
      </c>
    </row>
    <row r="29" ht="30.1" customHeight="1" spans="1:15">
      <c r="A29" s="14" t="s">
        <v>946</v>
      </c>
      <c r="B29" s="15" t="s">
        <v>946</v>
      </c>
      <c r="C29" s="15" t="s">
        <v>944</v>
      </c>
      <c r="D29" s="15" t="s">
        <v>947</v>
      </c>
      <c r="E29" s="15" t="s">
        <v>179</v>
      </c>
      <c r="F29" s="14" t="s">
        <v>194</v>
      </c>
      <c r="G29" s="16" t="s">
        <v>18</v>
      </c>
      <c r="H29" s="15" t="s">
        <v>213</v>
      </c>
      <c r="I29" s="14" t="s">
        <v>194</v>
      </c>
      <c r="J29" s="14" t="s">
        <v>18</v>
      </c>
      <c r="K29" s="14" t="s">
        <v>213</v>
      </c>
      <c r="L29" s="14" t="s">
        <v>194</v>
      </c>
      <c r="M29" s="14" t="s">
        <v>18</v>
      </c>
      <c r="N29" s="14" t="s">
        <v>213</v>
      </c>
      <c r="O29" s="15" t="s">
        <v>214</v>
      </c>
    </row>
    <row r="30" ht="45.15" customHeight="1" spans="1:15">
      <c r="A30" s="14" t="s">
        <v>948</v>
      </c>
      <c r="B30" s="15" t="s">
        <v>948</v>
      </c>
      <c r="C30" s="15" t="s">
        <v>944</v>
      </c>
      <c r="D30" s="15" t="s">
        <v>949</v>
      </c>
      <c r="E30" s="15" t="s">
        <v>179</v>
      </c>
      <c r="F30" s="14" t="s">
        <v>194</v>
      </c>
      <c r="G30" s="16" t="s">
        <v>18</v>
      </c>
      <c r="H30" s="15" t="s">
        <v>213</v>
      </c>
      <c r="I30" s="14" t="s">
        <v>194</v>
      </c>
      <c r="J30" s="14" t="s">
        <v>18</v>
      </c>
      <c r="K30" s="14" t="s">
        <v>213</v>
      </c>
      <c r="L30" s="14" t="s">
        <v>194</v>
      </c>
      <c r="M30" s="14" t="s">
        <v>18</v>
      </c>
      <c r="N30" s="14" t="s">
        <v>213</v>
      </c>
      <c r="O30" s="15" t="s">
        <v>214</v>
      </c>
    </row>
    <row r="31" ht="30.1" customHeight="1" spans="1:15">
      <c r="A31" s="14" t="s">
        <v>950</v>
      </c>
      <c r="B31" s="15" t="s">
        <v>950</v>
      </c>
      <c r="C31" s="15" t="s">
        <v>944</v>
      </c>
      <c r="D31" s="15" t="s">
        <v>951</v>
      </c>
      <c r="E31" s="15" t="s">
        <v>179</v>
      </c>
      <c r="F31" s="14" t="s">
        <v>194</v>
      </c>
      <c r="G31" s="16" t="s">
        <v>18</v>
      </c>
      <c r="H31" s="15" t="s">
        <v>213</v>
      </c>
      <c r="I31" s="14" t="s">
        <v>194</v>
      </c>
      <c r="J31" s="14" t="s">
        <v>18</v>
      </c>
      <c r="K31" s="14" t="s">
        <v>213</v>
      </c>
      <c r="L31" s="14" t="s">
        <v>194</v>
      </c>
      <c r="M31" s="14" t="s">
        <v>18</v>
      </c>
      <c r="N31" s="14" t="s">
        <v>213</v>
      </c>
      <c r="O31" s="15" t="s">
        <v>214</v>
      </c>
    </row>
    <row r="32" ht="30.1" customHeight="1" spans="1:15">
      <c r="A32" s="14" t="s">
        <v>952</v>
      </c>
      <c r="B32" s="15" t="s">
        <v>952</v>
      </c>
      <c r="C32" s="15" t="s">
        <v>953</v>
      </c>
      <c r="D32" s="15" t="s">
        <v>954</v>
      </c>
      <c r="E32" s="15" t="s">
        <v>179</v>
      </c>
      <c r="F32" s="14" t="s">
        <v>194</v>
      </c>
      <c r="G32" s="16" t="s">
        <v>18</v>
      </c>
      <c r="H32" s="15" t="s">
        <v>213</v>
      </c>
      <c r="I32" s="14" t="s">
        <v>194</v>
      </c>
      <c r="J32" s="14" t="s">
        <v>18</v>
      </c>
      <c r="K32" s="14" t="s">
        <v>213</v>
      </c>
      <c r="L32" s="14" t="s">
        <v>194</v>
      </c>
      <c r="M32" s="14" t="s">
        <v>18</v>
      </c>
      <c r="N32" s="14" t="s">
        <v>213</v>
      </c>
      <c r="O32" s="15" t="s">
        <v>214</v>
      </c>
    </row>
    <row r="33" ht="45.15" customHeight="1" spans="1:15">
      <c r="A33" s="14" t="s">
        <v>955</v>
      </c>
      <c r="B33" s="15" t="s">
        <v>955</v>
      </c>
      <c r="C33" s="15" t="s">
        <v>953</v>
      </c>
      <c r="D33" s="15" t="s">
        <v>956</v>
      </c>
      <c r="E33" s="15" t="s">
        <v>179</v>
      </c>
      <c r="F33" s="14" t="s">
        <v>194</v>
      </c>
      <c r="G33" s="16" t="s">
        <v>18</v>
      </c>
      <c r="H33" s="15" t="s">
        <v>213</v>
      </c>
      <c r="I33" s="14" t="s">
        <v>194</v>
      </c>
      <c r="J33" s="14" t="s">
        <v>18</v>
      </c>
      <c r="K33" s="14" t="s">
        <v>213</v>
      </c>
      <c r="L33" s="14" t="s">
        <v>194</v>
      </c>
      <c r="M33" s="14" t="s">
        <v>18</v>
      </c>
      <c r="N33" s="14" t="s">
        <v>213</v>
      </c>
      <c r="O33" s="15" t="s">
        <v>214</v>
      </c>
    </row>
    <row r="34" ht="45.15" customHeight="1" spans="1:15">
      <c r="A34" s="14" t="s">
        <v>957</v>
      </c>
      <c r="B34" s="15" t="s">
        <v>957</v>
      </c>
      <c r="C34" s="15" t="s">
        <v>953</v>
      </c>
      <c r="D34" s="15" t="s">
        <v>958</v>
      </c>
      <c r="E34" s="15" t="s">
        <v>179</v>
      </c>
      <c r="F34" s="14" t="s">
        <v>194</v>
      </c>
      <c r="G34" s="16" t="s">
        <v>18</v>
      </c>
      <c r="H34" s="15" t="s">
        <v>213</v>
      </c>
      <c r="I34" s="14" t="s">
        <v>194</v>
      </c>
      <c r="J34" s="14" t="s">
        <v>18</v>
      </c>
      <c r="K34" s="14" t="s">
        <v>213</v>
      </c>
      <c r="L34" s="14" t="s">
        <v>194</v>
      </c>
      <c r="M34" s="14" t="s">
        <v>18</v>
      </c>
      <c r="N34" s="14" t="s">
        <v>213</v>
      </c>
      <c r="O34" s="15" t="s">
        <v>214</v>
      </c>
    </row>
    <row r="35" ht="45.15" customHeight="1" spans="1:15">
      <c r="A35" s="14" t="s">
        <v>959</v>
      </c>
      <c r="B35" s="15" t="s">
        <v>959</v>
      </c>
      <c r="C35" s="15" t="s">
        <v>953</v>
      </c>
      <c r="D35" s="15" t="s">
        <v>960</v>
      </c>
      <c r="E35" s="15" t="s">
        <v>179</v>
      </c>
      <c r="F35" s="14" t="s">
        <v>194</v>
      </c>
      <c r="G35" s="16" t="s">
        <v>18</v>
      </c>
      <c r="H35" s="15" t="s">
        <v>213</v>
      </c>
      <c r="I35" s="14" t="s">
        <v>194</v>
      </c>
      <c r="J35" s="14" t="s">
        <v>18</v>
      </c>
      <c r="K35" s="14" t="s">
        <v>213</v>
      </c>
      <c r="L35" s="14" t="s">
        <v>194</v>
      </c>
      <c r="M35" s="14" t="s">
        <v>18</v>
      </c>
      <c r="N35" s="14" t="s">
        <v>213</v>
      </c>
      <c r="O35" s="15" t="s">
        <v>214</v>
      </c>
    </row>
    <row r="36" ht="45.15" customHeight="1" spans="1:15">
      <c r="A36" s="14" t="s">
        <v>961</v>
      </c>
      <c r="B36" s="15" t="s">
        <v>961</v>
      </c>
      <c r="C36" s="15" t="s">
        <v>953</v>
      </c>
      <c r="D36" s="15" t="s">
        <v>962</v>
      </c>
      <c r="E36" s="15" t="s">
        <v>179</v>
      </c>
      <c r="F36" s="14" t="s">
        <v>194</v>
      </c>
      <c r="G36" s="16" t="s">
        <v>18</v>
      </c>
      <c r="H36" s="15" t="s">
        <v>213</v>
      </c>
      <c r="I36" s="14" t="s">
        <v>194</v>
      </c>
      <c r="J36" s="14" t="s">
        <v>18</v>
      </c>
      <c r="K36" s="14" t="s">
        <v>213</v>
      </c>
      <c r="L36" s="14" t="s">
        <v>194</v>
      </c>
      <c r="M36" s="14" t="s">
        <v>18</v>
      </c>
      <c r="N36" s="14" t="s">
        <v>213</v>
      </c>
      <c r="O36" s="15" t="s">
        <v>214</v>
      </c>
    </row>
    <row r="37" ht="45.15" customHeight="1" spans="1:15">
      <c r="A37" s="14" t="s">
        <v>963</v>
      </c>
      <c r="B37" s="15" t="s">
        <v>963</v>
      </c>
      <c r="C37" s="15" t="s">
        <v>953</v>
      </c>
      <c r="D37" s="15" t="s">
        <v>964</v>
      </c>
      <c r="E37" s="15" t="s">
        <v>179</v>
      </c>
      <c r="F37" s="14" t="s">
        <v>194</v>
      </c>
      <c r="G37" s="16" t="s">
        <v>18</v>
      </c>
      <c r="H37" s="15" t="s">
        <v>213</v>
      </c>
      <c r="I37" s="14" t="s">
        <v>194</v>
      </c>
      <c r="J37" s="14" t="s">
        <v>18</v>
      </c>
      <c r="K37" s="14" t="s">
        <v>213</v>
      </c>
      <c r="L37" s="14" t="s">
        <v>194</v>
      </c>
      <c r="M37" s="14" t="s">
        <v>18</v>
      </c>
      <c r="N37" s="14" t="s">
        <v>213</v>
      </c>
      <c r="O37" s="15" t="s">
        <v>214</v>
      </c>
    </row>
    <row r="38" ht="45.15" customHeight="1" spans="1:15">
      <c r="A38" s="14" t="s">
        <v>965</v>
      </c>
      <c r="B38" s="15" t="s">
        <v>965</v>
      </c>
      <c r="C38" s="15" t="s">
        <v>953</v>
      </c>
      <c r="D38" s="15" t="s">
        <v>966</v>
      </c>
      <c r="E38" s="15" t="s">
        <v>179</v>
      </c>
      <c r="F38" s="14" t="s">
        <v>194</v>
      </c>
      <c r="G38" s="16" t="s">
        <v>18</v>
      </c>
      <c r="H38" s="15" t="s">
        <v>213</v>
      </c>
      <c r="I38" s="14" t="s">
        <v>194</v>
      </c>
      <c r="J38" s="14" t="s">
        <v>18</v>
      </c>
      <c r="K38" s="14" t="s">
        <v>213</v>
      </c>
      <c r="L38" s="14" t="s">
        <v>194</v>
      </c>
      <c r="M38" s="14" t="s">
        <v>18</v>
      </c>
      <c r="N38" s="14" t="s">
        <v>213</v>
      </c>
      <c r="O38" s="15" t="s">
        <v>214</v>
      </c>
    </row>
    <row r="39" ht="45.15" customHeight="1" spans="1:15">
      <c r="A39" s="14" t="s">
        <v>967</v>
      </c>
      <c r="B39" s="15" t="s">
        <v>967</v>
      </c>
      <c r="C39" s="15" t="s">
        <v>953</v>
      </c>
      <c r="D39" s="15" t="s">
        <v>968</v>
      </c>
      <c r="E39" s="15" t="s">
        <v>179</v>
      </c>
      <c r="F39" s="14" t="s">
        <v>194</v>
      </c>
      <c r="G39" s="16" t="s">
        <v>18</v>
      </c>
      <c r="H39" s="15" t="s">
        <v>213</v>
      </c>
      <c r="I39" s="14" t="s">
        <v>194</v>
      </c>
      <c r="J39" s="14" t="s">
        <v>18</v>
      </c>
      <c r="K39" s="14" t="s">
        <v>213</v>
      </c>
      <c r="L39" s="14" t="s">
        <v>194</v>
      </c>
      <c r="M39" s="14" t="s">
        <v>18</v>
      </c>
      <c r="N39" s="14" t="s">
        <v>213</v>
      </c>
      <c r="O39" s="15" t="s">
        <v>214</v>
      </c>
    </row>
    <row r="40" ht="30.1" customHeight="1" spans="1:15">
      <c r="A40" s="14" t="s">
        <v>969</v>
      </c>
      <c r="B40" s="15" t="s">
        <v>969</v>
      </c>
      <c r="C40" s="15" t="s">
        <v>953</v>
      </c>
      <c r="D40" s="15" t="s">
        <v>970</v>
      </c>
      <c r="E40" s="15" t="s">
        <v>179</v>
      </c>
      <c r="F40" s="14" t="s">
        <v>194</v>
      </c>
      <c r="G40" s="16" t="s">
        <v>18</v>
      </c>
      <c r="H40" s="15" t="s">
        <v>213</v>
      </c>
      <c r="I40" s="14" t="s">
        <v>194</v>
      </c>
      <c r="J40" s="14" t="s">
        <v>18</v>
      </c>
      <c r="K40" s="14" t="s">
        <v>213</v>
      </c>
      <c r="L40" s="14" t="s">
        <v>194</v>
      </c>
      <c r="M40" s="14" t="s">
        <v>18</v>
      </c>
      <c r="N40" s="14" t="s">
        <v>213</v>
      </c>
      <c r="O40" s="15" t="s">
        <v>214</v>
      </c>
    </row>
    <row r="41" ht="45.15" customHeight="1" spans="1:15">
      <c r="A41" s="14" t="s">
        <v>971</v>
      </c>
      <c r="B41" s="15" t="s">
        <v>971</v>
      </c>
      <c r="C41" s="15" t="s">
        <v>972</v>
      </c>
      <c r="D41" s="15" t="s">
        <v>973</v>
      </c>
      <c r="E41" s="15" t="s">
        <v>179</v>
      </c>
      <c r="F41" s="14" t="s">
        <v>194</v>
      </c>
      <c r="G41" s="16" t="s">
        <v>18</v>
      </c>
      <c r="H41" s="15" t="s">
        <v>213</v>
      </c>
      <c r="I41" s="14" t="s">
        <v>194</v>
      </c>
      <c r="J41" s="14" t="s">
        <v>18</v>
      </c>
      <c r="K41" s="14" t="s">
        <v>213</v>
      </c>
      <c r="L41" s="14" t="s">
        <v>194</v>
      </c>
      <c r="M41" s="14" t="s">
        <v>18</v>
      </c>
      <c r="N41" s="14" t="s">
        <v>213</v>
      </c>
      <c r="O41" s="15" t="s">
        <v>214</v>
      </c>
    </row>
    <row r="42" ht="45.15" customHeight="1" spans="1:15">
      <c r="A42" s="14" t="s">
        <v>974</v>
      </c>
      <c r="B42" s="15" t="s">
        <v>974</v>
      </c>
      <c r="C42" s="15" t="s">
        <v>972</v>
      </c>
      <c r="D42" s="15" t="s">
        <v>975</v>
      </c>
      <c r="E42" s="15" t="s">
        <v>179</v>
      </c>
      <c r="F42" s="14" t="s">
        <v>194</v>
      </c>
      <c r="G42" s="16" t="s">
        <v>18</v>
      </c>
      <c r="H42" s="15" t="s">
        <v>213</v>
      </c>
      <c r="I42" s="14" t="s">
        <v>194</v>
      </c>
      <c r="J42" s="14" t="s">
        <v>18</v>
      </c>
      <c r="K42" s="14" t="s">
        <v>213</v>
      </c>
      <c r="L42" s="14" t="s">
        <v>194</v>
      </c>
      <c r="M42" s="14" t="s">
        <v>18</v>
      </c>
      <c r="N42" s="14" t="s">
        <v>213</v>
      </c>
      <c r="O42" s="15" t="s">
        <v>214</v>
      </c>
    </row>
    <row r="43" ht="45.15" customHeight="1" spans="1:15">
      <c r="A43" s="14" t="s">
        <v>976</v>
      </c>
      <c r="B43" s="15" t="s">
        <v>976</v>
      </c>
      <c r="C43" s="15" t="s">
        <v>972</v>
      </c>
      <c r="D43" s="15" t="s">
        <v>977</v>
      </c>
      <c r="E43" s="15" t="s">
        <v>179</v>
      </c>
      <c r="F43" s="14" t="s">
        <v>194</v>
      </c>
      <c r="G43" s="16" t="s">
        <v>18</v>
      </c>
      <c r="H43" s="15" t="s">
        <v>213</v>
      </c>
      <c r="I43" s="14" t="s">
        <v>194</v>
      </c>
      <c r="J43" s="14" t="s">
        <v>18</v>
      </c>
      <c r="K43" s="14" t="s">
        <v>213</v>
      </c>
      <c r="L43" s="14" t="s">
        <v>194</v>
      </c>
      <c r="M43" s="14" t="s">
        <v>18</v>
      </c>
      <c r="N43" s="14" t="s">
        <v>213</v>
      </c>
      <c r="O43" s="15" t="s">
        <v>214</v>
      </c>
    </row>
    <row r="44" ht="45.15" customHeight="1" spans="1:15">
      <c r="A44" s="14" t="s">
        <v>971</v>
      </c>
      <c r="B44" s="15" t="s">
        <v>971</v>
      </c>
      <c r="C44" s="15" t="s">
        <v>972</v>
      </c>
      <c r="D44" s="15" t="s">
        <v>973</v>
      </c>
      <c r="E44" s="15" t="s">
        <v>179</v>
      </c>
      <c r="F44" s="14" t="s">
        <v>194</v>
      </c>
      <c r="G44" s="16" t="s">
        <v>18</v>
      </c>
      <c r="H44" s="15" t="s">
        <v>213</v>
      </c>
      <c r="I44" s="14" t="s">
        <v>194</v>
      </c>
      <c r="J44" s="14" t="s">
        <v>18</v>
      </c>
      <c r="K44" s="14" t="s">
        <v>213</v>
      </c>
      <c r="L44" s="14" t="s">
        <v>194</v>
      </c>
      <c r="M44" s="14" t="s">
        <v>18</v>
      </c>
      <c r="N44" s="14" t="s">
        <v>213</v>
      </c>
      <c r="O44" s="15" t="s">
        <v>214</v>
      </c>
    </row>
    <row r="45" ht="45.15" customHeight="1" spans="1:15">
      <c r="A45" s="14" t="s">
        <v>978</v>
      </c>
      <c r="B45" s="15" t="s">
        <v>978</v>
      </c>
      <c r="C45" s="15" t="s">
        <v>979</v>
      </c>
      <c r="D45" s="15" t="s">
        <v>980</v>
      </c>
      <c r="E45" s="15" t="s">
        <v>179</v>
      </c>
      <c r="F45" s="14" t="s">
        <v>194</v>
      </c>
      <c r="G45" s="16" t="s">
        <v>18</v>
      </c>
      <c r="H45" s="15" t="s">
        <v>213</v>
      </c>
      <c r="I45" s="14" t="s">
        <v>194</v>
      </c>
      <c r="J45" s="14" t="s">
        <v>18</v>
      </c>
      <c r="K45" s="14" t="s">
        <v>213</v>
      </c>
      <c r="L45" s="14" t="s">
        <v>194</v>
      </c>
      <c r="M45" s="14" t="s">
        <v>18</v>
      </c>
      <c r="N45" s="14" t="s">
        <v>213</v>
      </c>
      <c r="O45" s="15" t="s">
        <v>214</v>
      </c>
    </row>
    <row r="46" ht="45.15" customHeight="1" spans="1:15">
      <c r="A46" s="14" t="s">
        <v>981</v>
      </c>
      <c r="B46" s="15" t="s">
        <v>981</v>
      </c>
      <c r="C46" s="15" t="s">
        <v>982</v>
      </c>
      <c r="D46" s="15" t="s">
        <v>983</v>
      </c>
      <c r="E46" s="15" t="s">
        <v>179</v>
      </c>
      <c r="F46" s="14" t="s">
        <v>194</v>
      </c>
      <c r="G46" s="16" t="s">
        <v>18</v>
      </c>
      <c r="H46" s="15" t="s">
        <v>213</v>
      </c>
      <c r="I46" s="14" t="s">
        <v>194</v>
      </c>
      <c r="J46" s="14" t="s">
        <v>18</v>
      </c>
      <c r="K46" s="14" t="s">
        <v>213</v>
      </c>
      <c r="L46" s="14" t="s">
        <v>194</v>
      </c>
      <c r="M46" s="14" t="s">
        <v>18</v>
      </c>
      <c r="N46" s="14" t="s">
        <v>213</v>
      </c>
      <c r="O46" s="15" t="s">
        <v>214</v>
      </c>
    </row>
    <row r="47" ht="60.2" customHeight="1" spans="1:15">
      <c r="A47" s="14" t="s">
        <v>984</v>
      </c>
      <c r="B47" s="15" t="s">
        <v>984</v>
      </c>
      <c r="C47" s="15" t="s">
        <v>985</v>
      </c>
      <c r="D47" s="15" t="s">
        <v>986</v>
      </c>
      <c r="E47" s="15" t="s">
        <v>179</v>
      </c>
      <c r="F47" s="14" t="s">
        <v>194</v>
      </c>
      <c r="G47" s="16" t="s">
        <v>18</v>
      </c>
      <c r="H47" s="15" t="s">
        <v>213</v>
      </c>
      <c r="I47" s="14" t="s">
        <v>194</v>
      </c>
      <c r="J47" s="14" t="s">
        <v>18</v>
      </c>
      <c r="K47" s="14" t="s">
        <v>213</v>
      </c>
      <c r="L47" s="14" t="s">
        <v>194</v>
      </c>
      <c r="M47" s="14" t="s">
        <v>18</v>
      </c>
      <c r="N47" s="14" t="s">
        <v>213</v>
      </c>
      <c r="O47" s="15" t="s">
        <v>214</v>
      </c>
    </row>
    <row r="48" ht="60.2" customHeight="1" spans="1:15">
      <c r="A48" s="14" t="s">
        <v>987</v>
      </c>
      <c r="B48" s="15" t="s">
        <v>987</v>
      </c>
      <c r="C48" s="15" t="s">
        <v>988</v>
      </c>
      <c r="D48" s="15" t="s">
        <v>989</v>
      </c>
      <c r="E48" s="15" t="s">
        <v>179</v>
      </c>
      <c r="F48" s="14" t="s">
        <v>194</v>
      </c>
      <c r="G48" s="16" t="s">
        <v>18</v>
      </c>
      <c r="H48" s="15" t="s">
        <v>213</v>
      </c>
      <c r="I48" s="14" t="s">
        <v>194</v>
      </c>
      <c r="J48" s="14" t="s">
        <v>18</v>
      </c>
      <c r="K48" s="14" t="s">
        <v>213</v>
      </c>
      <c r="L48" s="14" t="s">
        <v>194</v>
      </c>
      <c r="M48" s="14" t="s">
        <v>18</v>
      </c>
      <c r="N48" s="14" t="s">
        <v>213</v>
      </c>
      <c r="O48" s="15" t="s">
        <v>214</v>
      </c>
    </row>
    <row r="49" ht="45.15" customHeight="1" spans="1:15">
      <c r="A49" s="14" t="s">
        <v>990</v>
      </c>
      <c r="B49" s="15" t="s">
        <v>990</v>
      </c>
      <c r="C49" s="15" t="s">
        <v>991</v>
      </c>
      <c r="D49" s="15" t="s">
        <v>992</v>
      </c>
      <c r="E49" s="15" t="s">
        <v>179</v>
      </c>
      <c r="F49" s="14" t="s">
        <v>194</v>
      </c>
      <c r="G49" s="16" t="s">
        <v>18</v>
      </c>
      <c r="H49" s="15" t="s">
        <v>213</v>
      </c>
      <c r="I49" s="14" t="s">
        <v>194</v>
      </c>
      <c r="J49" s="14" t="s">
        <v>18</v>
      </c>
      <c r="K49" s="14" t="s">
        <v>213</v>
      </c>
      <c r="L49" s="14" t="s">
        <v>194</v>
      </c>
      <c r="M49" s="14" t="s">
        <v>18</v>
      </c>
      <c r="N49" s="14" t="s">
        <v>213</v>
      </c>
      <c r="O49" s="15" t="s">
        <v>214</v>
      </c>
    </row>
    <row r="50" ht="60.2" customHeight="1" spans="1:15">
      <c r="A50" s="14" t="s">
        <v>993</v>
      </c>
      <c r="B50" s="15" t="s">
        <v>993</v>
      </c>
      <c r="C50" s="15" t="s">
        <v>994</v>
      </c>
      <c r="D50" s="15" t="s">
        <v>995</v>
      </c>
      <c r="E50" s="15" t="s">
        <v>179</v>
      </c>
      <c r="F50" s="14" t="s">
        <v>194</v>
      </c>
      <c r="G50" s="16" t="s">
        <v>18</v>
      </c>
      <c r="H50" s="15" t="s">
        <v>213</v>
      </c>
      <c r="I50" s="14" t="s">
        <v>194</v>
      </c>
      <c r="J50" s="14" t="s">
        <v>18</v>
      </c>
      <c r="K50" s="14" t="s">
        <v>213</v>
      </c>
      <c r="L50" s="14" t="s">
        <v>194</v>
      </c>
      <c r="M50" s="14" t="s">
        <v>18</v>
      </c>
      <c r="N50" s="14" t="s">
        <v>213</v>
      </c>
      <c r="O50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182</v>
      </c>
      <c r="C1" s="8"/>
      <c r="D1" s="8"/>
    </row>
    <row r="2" spans="1:15">
      <c r="A2" s="9" t="s">
        <v>191</v>
      </c>
      <c r="B2" s="10" t="s">
        <v>183</v>
      </c>
      <c r="C2" s="10"/>
      <c r="D2" s="10"/>
    </row>
    <row r="3" spans="1:15">
      <c r="A3" s="9" t="s">
        <v>192</v>
      </c>
      <c r="B3" s="11">
        <f>SUM(B5:D5)</f>
        <v>49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49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49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49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>
      <c r="A11" s="14" t="s">
        <v>996</v>
      </c>
      <c r="B11" s="15" t="s">
        <v>996</v>
      </c>
      <c r="C11" s="15" t="s">
        <v>997</v>
      </c>
      <c r="D11" s="15" t="s">
        <v>998</v>
      </c>
      <c r="E11" s="15" t="s">
        <v>184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45.15" customHeight="1" spans="1:15">
      <c r="A12" s="14" t="s">
        <v>999</v>
      </c>
      <c r="B12" s="15" t="s">
        <v>999</v>
      </c>
      <c r="C12" s="15" t="s">
        <v>1000</v>
      </c>
      <c r="D12" s="15" t="s">
        <v>1001</v>
      </c>
      <c r="E12" s="15" t="s">
        <v>184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45.15" customHeight="1" spans="1:15">
      <c r="A13" s="14" t="s">
        <v>1002</v>
      </c>
      <c r="B13" s="15" t="s">
        <v>1002</v>
      </c>
      <c r="C13" s="15" t="s">
        <v>1000</v>
      </c>
      <c r="D13" s="15" t="s">
        <v>1003</v>
      </c>
      <c r="E13" s="15" t="s">
        <v>184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45.15" customHeight="1" spans="1:15">
      <c r="A14" s="14" t="s">
        <v>1004</v>
      </c>
      <c r="B14" s="15" t="s">
        <v>1004</v>
      </c>
      <c r="C14" s="15" t="s">
        <v>1000</v>
      </c>
      <c r="D14" s="15" t="s">
        <v>1005</v>
      </c>
      <c r="E14" s="15" t="s">
        <v>184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45.15" customHeight="1" spans="1:15">
      <c r="A15" s="14" t="s">
        <v>1006</v>
      </c>
      <c r="B15" s="15" t="s">
        <v>1006</v>
      </c>
      <c r="C15" s="15" t="s">
        <v>1000</v>
      </c>
      <c r="D15" s="15" t="s">
        <v>1007</v>
      </c>
      <c r="E15" s="15" t="s">
        <v>184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45.15" customHeight="1" spans="1:15">
      <c r="A16" s="14" t="s">
        <v>1008</v>
      </c>
      <c r="B16" s="15" t="s">
        <v>1008</v>
      </c>
      <c r="C16" s="15" t="s">
        <v>1000</v>
      </c>
      <c r="D16" s="15" t="s">
        <v>1009</v>
      </c>
      <c r="E16" s="15" t="s">
        <v>184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45.15" customHeight="1" spans="1:15">
      <c r="A17" s="14" t="s">
        <v>1010</v>
      </c>
      <c r="B17" s="15" t="s">
        <v>1010</v>
      </c>
      <c r="C17" s="15" t="s">
        <v>1000</v>
      </c>
      <c r="D17" s="15" t="s">
        <v>1011</v>
      </c>
      <c r="E17" s="15" t="s">
        <v>184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45.15" customHeight="1" spans="1:15">
      <c r="A18" s="14" t="s">
        <v>1012</v>
      </c>
      <c r="B18" s="15" t="s">
        <v>1012</v>
      </c>
      <c r="C18" s="15" t="s">
        <v>1000</v>
      </c>
      <c r="D18" s="15" t="s">
        <v>1013</v>
      </c>
      <c r="E18" s="15" t="s">
        <v>184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45.15" customHeight="1" spans="1:15">
      <c r="A19" s="14" t="s">
        <v>1014</v>
      </c>
      <c r="B19" s="15" t="s">
        <v>1014</v>
      </c>
      <c r="C19" s="15" t="s">
        <v>1000</v>
      </c>
      <c r="D19" s="15" t="s">
        <v>1015</v>
      </c>
      <c r="E19" s="15" t="s">
        <v>184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  <row r="20" ht="45.15" customHeight="1" spans="1:15">
      <c r="A20" s="14" t="s">
        <v>1016</v>
      </c>
      <c r="B20" s="15" t="s">
        <v>1016</v>
      </c>
      <c r="C20" s="15" t="s">
        <v>1000</v>
      </c>
      <c r="D20" s="15" t="s">
        <v>1017</v>
      </c>
      <c r="E20" s="15" t="s">
        <v>184</v>
      </c>
      <c r="F20" s="14" t="s">
        <v>194</v>
      </c>
      <c r="G20" s="16" t="s">
        <v>18</v>
      </c>
      <c r="H20" s="15" t="s">
        <v>213</v>
      </c>
      <c r="I20" s="14" t="s">
        <v>194</v>
      </c>
      <c r="J20" s="14" t="s">
        <v>18</v>
      </c>
      <c r="K20" s="14" t="s">
        <v>213</v>
      </c>
      <c r="L20" s="14" t="s">
        <v>194</v>
      </c>
      <c r="M20" s="14" t="s">
        <v>18</v>
      </c>
      <c r="N20" s="14" t="s">
        <v>213</v>
      </c>
      <c r="O20" s="15" t="s">
        <v>214</v>
      </c>
    </row>
    <row r="21" ht="45.15" customHeight="1" spans="1:15">
      <c r="A21" s="14" t="s">
        <v>1018</v>
      </c>
      <c r="B21" s="15" t="s">
        <v>1018</v>
      </c>
      <c r="C21" s="15" t="s">
        <v>1000</v>
      </c>
      <c r="D21" s="15" t="s">
        <v>1019</v>
      </c>
      <c r="E21" s="15" t="s">
        <v>184</v>
      </c>
      <c r="F21" s="14" t="s">
        <v>194</v>
      </c>
      <c r="G21" s="16" t="s">
        <v>18</v>
      </c>
      <c r="H21" s="15" t="s">
        <v>213</v>
      </c>
      <c r="I21" s="14" t="s">
        <v>194</v>
      </c>
      <c r="J21" s="14" t="s">
        <v>18</v>
      </c>
      <c r="K21" s="14" t="s">
        <v>213</v>
      </c>
      <c r="L21" s="14" t="s">
        <v>194</v>
      </c>
      <c r="M21" s="14" t="s">
        <v>18</v>
      </c>
      <c r="N21" s="14" t="s">
        <v>213</v>
      </c>
      <c r="O21" s="15" t="s">
        <v>214</v>
      </c>
    </row>
    <row r="22" ht="45.15" customHeight="1" spans="1:15">
      <c r="A22" s="14" t="s">
        <v>1020</v>
      </c>
      <c r="B22" s="15" t="s">
        <v>1020</v>
      </c>
      <c r="C22" s="15" t="s">
        <v>1000</v>
      </c>
      <c r="D22" s="15" t="s">
        <v>1021</v>
      </c>
      <c r="E22" s="15" t="s">
        <v>184</v>
      </c>
      <c r="F22" s="14" t="s">
        <v>194</v>
      </c>
      <c r="G22" s="16" t="s">
        <v>18</v>
      </c>
      <c r="H22" s="15" t="s">
        <v>213</v>
      </c>
      <c r="I22" s="14" t="s">
        <v>194</v>
      </c>
      <c r="J22" s="14" t="s">
        <v>18</v>
      </c>
      <c r="K22" s="14" t="s">
        <v>213</v>
      </c>
      <c r="L22" s="14" t="s">
        <v>194</v>
      </c>
      <c r="M22" s="14" t="s">
        <v>18</v>
      </c>
      <c r="N22" s="14" t="s">
        <v>213</v>
      </c>
      <c r="O22" s="15" t="s">
        <v>214</v>
      </c>
    </row>
    <row r="23" ht="45.15" customHeight="1" spans="1:15">
      <c r="A23" s="14" t="s">
        <v>1022</v>
      </c>
      <c r="B23" s="15" t="s">
        <v>1022</v>
      </c>
      <c r="C23" s="15" t="s">
        <v>1000</v>
      </c>
      <c r="D23" s="15" t="s">
        <v>1023</v>
      </c>
      <c r="E23" s="15" t="s">
        <v>184</v>
      </c>
      <c r="F23" s="14" t="s">
        <v>194</v>
      </c>
      <c r="G23" s="16" t="s">
        <v>18</v>
      </c>
      <c r="H23" s="15" t="s">
        <v>213</v>
      </c>
      <c r="I23" s="14" t="s">
        <v>194</v>
      </c>
      <c r="J23" s="14" t="s">
        <v>18</v>
      </c>
      <c r="K23" s="14" t="s">
        <v>213</v>
      </c>
      <c r="L23" s="14" t="s">
        <v>194</v>
      </c>
      <c r="M23" s="14" t="s">
        <v>18</v>
      </c>
      <c r="N23" s="14" t="s">
        <v>213</v>
      </c>
      <c r="O23" s="15" t="s">
        <v>214</v>
      </c>
    </row>
    <row r="24" ht="45.15" customHeight="1" spans="1:15">
      <c r="A24" s="14" t="s">
        <v>1024</v>
      </c>
      <c r="B24" s="15" t="s">
        <v>1024</v>
      </c>
      <c r="C24" s="15" t="s">
        <v>1000</v>
      </c>
      <c r="D24" s="15" t="s">
        <v>1025</v>
      </c>
      <c r="E24" s="15" t="s">
        <v>184</v>
      </c>
      <c r="F24" s="14" t="s">
        <v>194</v>
      </c>
      <c r="G24" s="16" t="s">
        <v>18</v>
      </c>
      <c r="H24" s="15" t="s">
        <v>213</v>
      </c>
      <c r="I24" s="14" t="s">
        <v>194</v>
      </c>
      <c r="J24" s="14" t="s">
        <v>18</v>
      </c>
      <c r="K24" s="14" t="s">
        <v>213</v>
      </c>
      <c r="L24" s="14" t="s">
        <v>194</v>
      </c>
      <c r="M24" s="14" t="s">
        <v>18</v>
      </c>
      <c r="N24" s="14" t="s">
        <v>213</v>
      </c>
      <c r="O24" s="15" t="s">
        <v>214</v>
      </c>
    </row>
    <row r="25" ht="45.15" customHeight="1" spans="1:15">
      <c r="A25" s="14" t="s">
        <v>1026</v>
      </c>
      <c r="B25" s="15" t="s">
        <v>1026</v>
      </c>
      <c r="C25" s="15" t="s">
        <v>1000</v>
      </c>
      <c r="D25" s="15" t="s">
        <v>1027</v>
      </c>
      <c r="E25" s="15" t="s">
        <v>184</v>
      </c>
      <c r="F25" s="14" t="s">
        <v>194</v>
      </c>
      <c r="G25" s="16" t="s">
        <v>18</v>
      </c>
      <c r="H25" s="15" t="s">
        <v>213</v>
      </c>
      <c r="I25" s="14" t="s">
        <v>194</v>
      </c>
      <c r="J25" s="14" t="s">
        <v>18</v>
      </c>
      <c r="K25" s="14" t="s">
        <v>213</v>
      </c>
      <c r="L25" s="14" t="s">
        <v>194</v>
      </c>
      <c r="M25" s="14" t="s">
        <v>18</v>
      </c>
      <c r="N25" s="14" t="s">
        <v>213</v>
      </c>
      <c r="O25" s="15" t="s">
        <v>214</v>
      </c>
    </row>
    <row r="26" ht="60.2" customHeight="1" spans="1:15">
      <c r="A26" s="14" t="s">
        <v>1028</v>
      </c>
      <c r="B26" s="15" t="s">
        <v>1028</v>
      </c>
      <c r="C26" s="15" t="s">
        <v>1029</v>
      </c>
      <c r="D26" s="15" t="s">
        <v>1030</v>
      </c>
      <c r="E26" s="15" t="s">
        <v>184</v>
      </c>
      <c r="F26" s="14" t="s">
        <v>194</v>
      </c>
      <c r="G26" s="16" t="s">
        <v>18</v>
      </c>
      <c r="H26" s="15" t="s">
        <v>213</v>
      </c>
      <c r="I26" s="14" t="s">
        <v>194</v>
      </c>
      <c r="J26" s="14" t="s">
        <v>18</v>
      </c>
      <c r="K26" s="14" t="s">
        <v>213</v>
      </c>
      <c r="L26" s="14" t="s">
        <v>194</v>
      </c>
      <c r="M26" s="14" t="s">
        <v>18</v>
      </c>
      <c r="N26" s="14" t="s">
        <v>213</v>
      </c>
      <c r="O26" s="15" t="s">
        <v>214</v>
      </c>
    </row>
    <row r="27" ht="45.15" customHeight="1" spans="1:15">
      <c r="A27" s="14" t="s">
        <v>1031</v>
      </c>
      <c r="B27" s="15" t="s">
        <v>1031</v>
      </c>
      <c r="C27" s="15" t="s">
        <v>1032</v>
      </c>
      <c r="D27" s="15" t="s">
        <v>1033</v>
      </c>
      <c r="E27" s="15" t="s">
        <v>184</v>
      </c>
      <c r="F27" s="14" t="s">
        <v>194</v>
      </c>
      <c r="G27" s="16" t="s">
        <v>18</v>
      </c>
      <c r="H27" s="15" t="s">
        <v>213</v>
      </c>
      <c r="I27" s="14" t="s">
        <v>194</v>
      </c>
      <c r="J27" s="14" t="s">
        <v>18</v>
      </c>
      <c r="K27" s="14" t="s">
        <v>213</v>
      </c>
      <c r="L27" s="14" t="s">
        <v>194</v>
      </c>
      <c r="M27" s="14" t="s">
        <v>18</v>
      </c>
      <c r="N27" s="14" t="s">
        <v>213</v>
      </c>
      <c r="O27" s="15" t="s">
        <v>214</v>
      </c>
    </row>
    <row r="28" ht="45.15" customHeight="1" spans="1:15">
      <c r="A28" s="14" t="s">
        <v>1034</v>
      </c>
      <c r="B28" s="15" t="s">
        <v>1034</v>
      </c>
      <c r="C28" s="15" t="s">
        <v>1032</v>
      </c>
      <c r="D28" s="15" t="s">
        <v>1035</v>
      </c>
      <c r="E28" s="15" t="s">
        <v>184</v>
      </c>
      <c r="F28" s="14" t="s">
        <v>194</v>
      </c>
      <c r="G28" s="16" t="s">
        <v>18</v>
      </c>
      <c r="H28" s="15" t="s">
        <v>213</v>
      </c>
      <c r="I28" s="14" t="s">
        <v>194</v>
      </c>
      <c r="J28" s="14" t="s">
        <v>18</v>
      </c>
      <c r="K28" s="14" t="s">
        <v>213</v>
      </c>
      <c r="L28" s="14" t="s">
        <v>194</v>
      </c>
      <c r="M28" s="14" t="s">
        <v>18</v>
      </c>
      <c r="N28" s="14" t="s">
        <v>213</v>
      </c>
      <c r="O28" s="15" t="s">
        <v>214</v>
      </c>
    </row>
    <row r="29" ht="45.15" customHeight="1" spans="1:15">
      <c r="A29" s="14" t="s">
        <v>1036</v>
      </c>
      <c r="B29" s="15" t="s">
        <v>1036</v>
      </c>
      <c r="C29" s="15" t="s">
        <v>1032</v>
      </c>
      <c r="D29" s="15" t="s">
        <v>1037</v>
      </c>
      <c r="E29" s="15" t="s">
        <v>184</v>
      </c>
      <c r="F29" s="14" t="s">
        <v>194</v>
      </c>
      <c r="G29" s="16" t="s">
        <v>18</v>
      </c>
      <c r="H29" s="15" t="s">
        <v>213</v>
      </c>
      <c r="I29" s="14" t="s">
        <v>194</v>
      </c>
      <c r="J29" s="14" t="s">
        <v>18</v>
      </c>
      <c r="K29" s="14" t="s">
        <v>213</v>
      </c>
      <c r="L29" s="14" t="s">
        <v>194</v>
      </c>
      <c r="M29" s="14" t="s">
        <v>18</v>
      </c>
      <c r="N29" s="14" t="s">
        <v>213</v>
      </c>
      <c r="O29" s="15" t="s">
        <v>214</v>
      </c>
    </row>
    <row r="30" ht="45.15" customHeight="1" spans="1:15">
      <c r="A30" s="14" t="s">
        <v>1038</v>
      </c>
      <c r="B30" s="15" t="s">
        <v>1038</v>
      </c>
      <c r="C30" s="15" t="s">
        <v>1032</v>
      </c>
      <c r="D30" s="15" t="s">
        <v>1039</v>
      </c>
      <c r="E30" s="15" t="s">
        <v>184</v>
      </c>
      <c r="F30" s="14" t="s">
        <v>194</v>
      </c>
      <c r="G30" s="16" t="s">
        <v>18</v>
      </c>
      <c r="H30" s="15" t="s">
        <v>213</v>
      </c>
      <c r="I30" s="14" t="s">
        <v>194</v>
      </c>
      <c r="J30" s="14" t="s">
        <v>18</v>
      </c>
      <c r="K30" s="14" t="s">
        <v>213</v>
      </c>
      <c r="L30" s="14" t="s">
        <v>194</v>
      </c>
      <c r="M30" s="14" t="s">
        <v>18</v>
      </c>
      <c r="N30" s="14" t="s">
        <v>213</v>
      </c>
      <c r="O30" s="15" t="s">
        <v>214</v>
      </c>
    </row>
    <row r="31" ht="45.15" customHeight="1" spans="1:15">
      <c r="A31" s="14" t="s">
        <v>1040</v>
      </c>
      <c r="B31" s="15" t="s">
        <v>1040</v>
      </c>
      <c r="C31" s="15" t="s">
        <v>1032</v>
      </c>
      <c r="D31" s="15" t="s">
        <v>1041</v>
      </c>
      <c r="E31" s="15" t="s">
        <v>184</v>
      </c>
      <c r="F31" s="14" t="s">
        <v>194</v>
      </c>
      <c r="G31" s="16" t="s">
        <v>18</v>
      </c>
      <c r="H31" s="15" t="s">
        <v>213</v>
      </c>
      <c r="I31" s="14" t="s">
        <v>194</v>
      </c>
      <c r="J31" s="14" t="s">
        <v>18</v>
      </c>
      <c r="K31" s="14" t="s">
        <v>213</v>
      </c>
      <c r="L31" s="14" t="s">
        <v>194</v>
      </c>
      <c r="M31" s="14" t="s">
        <v>18</v>
      </c>
      <c r="N31" s="14" t="s">
        <v>213</v>
      </c>
      <c r="O31" s="15" t="s">
        <v>214</v>
      </c>
    </row>
    <row r="32" ht="45.15" customHeight="1" spans="1:15">
      <c r="A32" s="14" t="s">
        <v>1042</v>
      </c>
      <c r="B32" s="15" t="s">
        <v>1042</v>
      </c>
      <c r="C32" s="15" t="s">
        <v>1032</v>
      </c>
      <c r="D32" s="15" t="s">
        <v>1043</v>
      </c>
      <c r="E32" s="15" t="s">
        <v>184</v>
      </c>
      <c r="F32" s="14" t="s">
        <v>194</v>
      </c>
      <c r="G32" s="16" t="s">
        <v>18</v>
      </c>
      <c r="H32" s="15" t="s">
        <v>213</v>
      </c>
      <c r="I32" s="14" t="s">
        <v>194</v>
      </c>
      <c r="J32" s="14" t="s">
        <v>18</v>
      </c>
      <c r="K32" s="14" t="s">
        <v>213</v>
      </c>
      <c r="L32" s="14" t="s">
        <v>194</v>
      </c>
      <c r="M32" s="14" t="s">
        <v>18</v>
      </c>
      <c r="N32" s="14" t="s">
        <v>213</v>
      </c>
      <c r="O32" s="15" t="s">
        <v>214</v>
      </c>
    </row>
    <row r="33" ht="45.15" customHeight="1" spans="1:15">
      <c r="A33" s="14" t="s">
        <v>1044</v>
      </c>
      <c r="B33" s="15" t="s">
        <v>1044</v>
      </c>
      <c r="C33" s="15" t="s">
        <v>1032</v>
      </c>
      <c r="D33" s="15" t="s">
        <v>1045</v>
      </c>
      <c r="E33" s="15" t="s">
        <v>184</v>
      </c>
      <c r="F33" s="14" t="s">
        <v>194</v>
      </c>
      <c r="G33" s="16" t="s">
        <v>18</v>
      </c>
      <c r="H33" s="15" t="s">
        <v>213</v>
      </c>
      <c r="I33" s="14" t="s">
        <v>194</v>
      </c>
      <c r="J33" s="14" t="s">
        <v>18</v>
      </c>
      <c r="K33" s="14" t="s">
        <v>213</v>
      </c>
      <c r="L33" s="14" t="s">
        <v>194</v>
      </c>
      <c r="M33" s="14" t="s">
        <v>18</v>
      </c>
      <c r="N33" s="14" t="s">
        <v>213</v>
      </c>
      <c r="O33" s="15" t="s">
        <v>214</v>
      </c>
    </row>
    <row r="34" ht="75.25" customHeight="1" spans="1:15">
      <c r="A34" s="14" t="s">
        <v>1046</v>
      </c>
      <c r="B34" s="15" t="s">
        <v>1046</v>
      </c>
      <c r="C34" s="15" t="s">
        <v>1047</v>
      </c>
      <c r="D34" s="15" t="s">
        <v>1048</v>
      </c>
      <c r="E34" s="15" t="s">
        <v>184</v>
      </c>
      <c r="F34" s="14" t="s">
        <v>194</v>
      </c>
      <c r="G34" s="16" t="s">
        <v>18</v>
      </c>
      <c r="H34" s="15" t="s">
        <v>213</v>
      </c>
      <c r="I34" s="14" t="s">
        <v>194</v>
      </c>
      <c r="J34" s="14" t="s">
        <v>18</v>
      </c>
      <c r="K34" s="14" t="s">
        <v>213</v>
      </c>
      <c r="L34" s="14" t="s">
        <v>194</v>
      </c>
      <c r="M34" s="14" t="s">
        <v>18</v>
      </c>
      <c r="N34" s="14" t="s">
        <v>213</v>
      </c>
      <c r="O34" s="15" t="s">
        <v>214</v>
      </c>
    </row>
    <row r="35" ht="45.15" customHeight="1" spans="1:15">
      <c r="A35" s="14" t="s">
        <v>1049</v>
      </c>
      <c r="B35" s="15" t="s">
        <v>1049</v>
      </c>
      <c r="C35" s="15" t="s">
        <v>1050</v>
      </c>
      <c r="D35" s="15" t="s">
        <v>1051</v>
      </c>
      <c r="E35" s="15" t="s">
        <v>184</v>
      </c>
      <c r="F35" s="14" t="s">
        <v>194</v>
      </c>
      <c r="G35" s="16" t="s">
        <v>18</v>
      </c>
      <c r="H35" s="15" t="s">
        <v>213</v>
      </c>
      <c r="I35" s="14" t="s">
        <v>194</v>
      </c>
      <c r="J35" s="14" t="s">
        <v>18</v>
      </c>
      <c r="K35" s="14" t="s">
        <v>213</v>
      </c>
      <c r="L35" s="14" t="s">
        <v>194</v>
      </c>
      <c r="M35" s="14" t="s">
        <v>18</v>
      </c>
      <c r="N35" s="14" t="s">
        <v>213</v>
      </c>
      <c r="O35" s="15" t="s">
        <v>214</v>
      </c>
    </row>
    <row r="36" ht="45.15" customHeight="1" spans="1:15">
      <c r="A36" s="14" t="s">
        <v>1052</v>
      </c>
      <c r="B36" s="15" t="s">
        <v>1052</v>
      </c>
      <c r="C36" s="15" t="s">
        <v>1050</v>
      </c>
      <c r="D36" s="15" t="s">
        <v>1053</v>
      </c>
      <c r="E36" s="15" t="s">
        <v>184</v>
      </c>
      <c r="F36" s="14" t="s">
        <v>194</v>
      </c>
      <c r="G36" s="16" t="s">
        <v>18</v>
      </c>
      <c r="H36" s="15" t="s">
        <v>213</v>
      </c>
      <c r="I36" s="14" t="s">
        <v>194</v>
      </c>
      <c r="J36" s="14" t="s">
        <v>18</v>
      </c>
      <c r="K36" s="14" t="s">
        <v>213</v>
      </c>
      <c r="L36" s="14" t="s">
        <v>194</v>
      </c>
      <c r="M36" s="14" t="s">
        <v>18</v>
      </c>
      <c r="N36" s="14" t="s">
        <v>213</v>
      </c>
      <c r="O36" s="15" t="s">
        <v>214</v>
      </c>
    </row>
    <row r="37" ht="45.15" customHeight="1" spans="1:15">
      <c r="A37" s="14" t="s">
        <v>1054</v>
      </c>
      <c r="B37" s="15" t="s">
        <v>1054</v>
      </c>
      <c r="C37" s="15" t="s">
        <v>1050</v>
      </c>
      <c r="D37" s="15" t="s">
        <v>1055</v>
      </c>
      <c r="E37" s="15" t="s">
        <v>184</v>
      </c>
      <c r="F37" s="14" t="s">
        <v>194</v>
      </c>
      <c r="G37" s="16" t="s">
        <v>18</v>
      </c>
      <c r="H37" s="15" t="s">
        <v>213</v>
      </c>
      <c r="I37" s="14" t="s">
        <v>194</v>
      </c>
      <c r="J37" s="14" t="s">
        <v>18</v>
      </c>
      <c r="K37" s="14" t="s">
        <v>213</v>
      </c>
      <c r="L37" s="14" t="s">
        <v>194</v>
      </c>
      <c r="M37" s="14" t="s">
        <v>18</v>
      </c>
      <c r="N37" s="14" t="s">
        <v>213</v>
      </c>
      <c r="O37" s="15" t="s">
        <v>214</v>
      </c>
    </row>
    <row r="38" ht="45.15" customHeight="1" spans="1:15">
      <c r="A38" s="14" t="s">
        <v>1056</v>
      </c>
      <c r="B38" s="15" t="s">
        <v>1056</v>
      </c>
      <c r="C38" s="15" t="s">
        <v>1050</v>
      </c>
      <c r="D38" s="15" t="s">
        <v>1057</v>
      </c>
      <c r="E38" s="15" t="s">
        <v>184</v>
      </c>
      <c r="F38" s="14" t="s">
        <v>194</v>
      </c>
      <c r="G38" s="16" t="s">
        <v>18</v>
      </c>
      <c r="H38" s="15" t="s">
        <v>213</v>
      </c>
      <c r="I38" s="14" t="s">
        <v>194</v>
      </c>
      <c r="J38" s="14" t="s">
        <v>18</v>
      </c>
      <c r="K38" s="14" t="s">
        <v>213</v>
      </c>
      <c r="L38" s="14" t="s">
        <v>194</v>
      </c>
      <c r="M38" s="14" t="s">
        <v>18</v>
      </c>
      <c r="N38" s="14" t="s">
        <v>213</v>
      </c>
      <c r="O38" s="15" t="s">
        <v>214</v>
      </c>
    </row>
    <row r="39" ht="45.15" customHeight="1" spans="1:15">
      <c r="A39" s="14" t="s">
        <v>1058</v>
      </c>
      <c r="B39" s="15" t="s">
        <v>1058</v>
      </c>
      <c r="C39" s="15" t="s">
        <v>1050</v>
      </c>
      <c r="D39" s="15" t="s">
        <v>1059</v>
      </c>
      <c r="E39" s="15" t="s">
        <v>184</v>
      </c>
      <c r="F39" s="14" t="s">
        <v>194</v>
      </c>
      <c r="G39" s="16" t="s">
        <v>18</v>
      </c>
      <c r="H39" s="15" t="s">
        <v>213</v>
      </c>
      <c r="I39" s="14" t="s">
        <v>194</v>
      </c>
      <c r="J39" s="14" t="s">
        <v>18</v>
      </c>
      <c r="K39" s="14" t="s">
        <v>213</v>
      </c>
      <c r="L39" s="14" t="s">
        <v>194</v>
      </c>
      <c r="M39" s="14" t="s">
        <v>18</v>
      </c>
      <c r="N39" s="14" t="s">
        <v>213</v>
      </c>
      <c r="O39" s="15" t="s">
        <v>214</v>
      </c>
    </row>
    <row r="40" ht="45.15" customHeight="1" spans="1:15">
      <c r="A40" s="14" t="s">
        <v>1060</v>
      </c>
      <c r="B40" s="15" t="s">
        <v>1060</v>
      </c>
      <c r="C40" s="15" t="s">
        <v>1050</v>
      </c>
      <c r="D40" s="15" t="s">
        <v>1061</v>
      </c>
      <c r="E40" s="15" t="s">
        <v>184</v>
      </c>
      <c r="F40" s="14" t="s">
        <v>194</v>
      </c>
      <c r="G40" s="16" t="s">
        <v>18</v>
      </c>
      <c r="H40" s="15" t="s">
        <v>213</v>
      </c>
      <c r="I40" s="14" t="s">
        <v>194</v>
      </c>
      <c r="J40" s="14" t="s">
        <v>18</v>
      </c>
      <c r="K40" s="14" t="s">
        <v>213</v>
      </c>
      <c r="L40" s="14" t="s">
        <v>194</v>
      </c>
      <c r="M40" s="14" t="s">
        <v>18</v>
      </c>
      <c r="N40" s="14" t="s">
        <v>213</v>
      </c>
      <c r="O40" s="15" t="s">
        <v>214</v>
      </c>
    </row>
    <row r="41" ht="45.15" customHeight="1" spans="1:15">
      <c r="A41" s="14" t="s">
        <v>1062</v>
      </c>
      <c r="B41" s="15" t="s">
        <v>1062</v>
      </c>
      <c r="C41" s="15" t="s">
        <v>1050</v>
      </c>
      <c r="D41" s="15" t="s">
        <v>1063</v>
      </c>
      <c r="E41" s="15" t="s">
        <v>184</v>
      </c>
      <c r="F41" s="14" t="s">
        <v>194</v>
      </c>
      <c r="G41" s="16" t="s">
        <v>18</v>
      </c>
      <c r="H41" s="15" t="s">
        <v>213</v>
      </c>
      <c r="I41" s="14" t="s">
        <v>194</v>
      </c>
      <c r="J41" s="14" t="s">
        <v>18</v>
      </c>
      <c r="K41" s="14" t="s">
        <v>213</v>
      </c>
      <c r="L41" s="14" t="s">
        <v>194</v>
      </c>
      <c r="M41" s="14" t="s">
        <v>18</v>
      </c>
      <c r="N41" s="14" t="s">
        <v>213</v>
      </c>
      <c r="O41" s="15" t="s">
        <v>214</v>
      </c>
    </row>
    <row r="42" ht="45.15" customHeight="1" spans="1:15">
      <c r="A42" s="14" t="s">
        <v>1064</v>
      </c>
      <c r="B42" s="15" t="s">
        <v>1064</v>
      </c>
      <c r="C42" s="15" t="s">
        <v>1050</v>
      </c>
      <c r="D42" s="15" t="s">
        <v>1065</v>
      </c>
      <c r="E42" s="15" t="s">
        <v>184</v>
      </c>
      <c r="F42" s="14" t="s">
        <v>194</v>
      </c>
      <c r="G42" s="16" t="s">
        <v>18</v>
      </c>
      <c r="H42" s="15" t="s">
        <v>213</v>
      </c>
      <c r="I42" s="14" t="s">
        <v>194</v>
      </c>
      <c r="J42" s="14" t="s">
        <v>18</v>
      </c>
      <c r="K42" s="14" t="s">
        <v>213</v>
      </c>
      <c r="L42" s="14" t="s">
        <v>194</v>
      </c>
      <c r="M42" s="14" t="s">
        <v>18</v>
      </c>
      <c r="N42" s="14" t="s">
        <v>213</v>
      </c>
      <c r="O42" s="15" t="s">
        <v>214</v>
      </c>
    </row>
    <row r="43" ht="45.15" customHeight="1" spans="1:15">
      <c r="A43" s="14" t="s">
        <v>1066</v>
      </c>
      <c r="B43" s="15" t="s">
        <v>1066</v>
      </c>
      <c r="C43" s="15" t="s">
        <v>1050</v>
      </c>
      <c r="D43" s="15" t="s">
        <v>1067</v>
      </c>
      <c r="E43" s="15" t="s">
        <v>184</v>
      </c>
      <c r="F43" s="14" t="s">
        <v>194</v>
      </c>
      <c r="G43" s="16" t="s">
        <v>18</v>
      </c>
      <c r="H43" s="15" t="s">
        <v>213</v>
      </c>
      <c r="I43" s="14" t="s">
        <v>194</v>
      </c>
      <c r="J43" s="14" t="s">
        <v>18</v>
      </c>
      <c r="K43" s="14" t="s">
        <v>213</v>
      </c>
      <c r="L43" s="14" t="s">
        <v>194</v>
      </c>
      <c r="M43" s="14" t="s">
        <v>18</v>
      </c>
      <c r="N43" s="14" t="s">
        <v>213</v>
      </c>
      <c r="O43" s="15" t="s">
        <v>214</v>
      </c>
    </row>
    <row r="44" ht="45.15" customHeight="1" spans="1:15">
      <c r="A44" s="14" t="s">
        <v>1068</v>
      </c>
      <c r="B44" s="15" t="s">
        <v>1068</v>
      </c>
      <c r="C44" s="15" t="s">
        <v>1050</v>
      </c>
      <c r="D44" s="15" t="s">
        <v>1069</v>
      </c>
      <c r="E44" s="15" t="s">
        <v>184</v>
      </c>
      <c r="F44" s="14" t="s">
        <v>194</v>
      </c>
      <c r="G44" s="16" t="s">
        <v>18</v>
      </c>
      <c r="H44" s="15" t="s">
        <v>213</v>
      </c>
      <c r="I44" s="14" t="s">
        <v>194</v>
      </c>
      <c r="J44" s="14" t="s">
        <v>18</v>
      </c>
      <c r="K44" s="14" t="s">
        <v>213</v>
      </c>
      <c r="L44" s="14" t="s">
        <v>194</v>
      </c>
      <c r="M44" s="14" t="s">
        <v>18</v>
      </c>
      <c r="N44" s="14" t="s">
        <v>213</v>
      </c>
      <c r="O44" s="15" t="s">
        <v>214</v>
      </c>
    </row>
    <row r="45" ht="45.15" customHeight="1" spans="1:15">
      <c r="A45" s="14" t="s">
        <v>1070</v>
      </c>
      <c r="B45" s="15" t="s">
        <v>1070</v>
      </c>
      <c r="C45" s="15" t="s">
        <v>1071</v>
      </c>
      <c r="D45" s="15" t="s">
        <v>1072</v>
      </c>
      <c r="E45" s="15" t="s">
        <v>184</v>
      </c>
      <c r="F45" s="14" t="s">
        <v>194</v>
      </c>
      <c r="G45" s="16" t="s">
        <v>18</v>
      </c>
      <c r="H45" s="15" t="s">
        <v>213</v>
      </c>
      <c r="I45" s="14" t="s">
        <v>194</v>
      </c>
      <c r="J45" s="14" t="s">
        <v>18</v>
      </c>
      <c r="K45" s="14" t="s">
        <v>213</v>
      </c>
      <c r="L45" s="14" t="s">
        <v>194</v>
      </c>
      <c r="M45" s="14" t="s">
        <v>18</v>
      </c>
      <c r="N45" s="14" t="s">
        <v>213</v>
      </c>
      <c r="O45" s="15" t="s">
        <v>214</v>
      </c>
    </row>
    <row r="46" ht="45.15" customHeight="1" spans="1:15">
      <c r="A46" s="14" t="s">
        <v>1073</v>
      </c>
      <c r="B46" s="15" t="s">
        <v>1073</v>
      </c>
      <c r="C46" s="15" t="s">
        <v>1071</v>
      </c>
      <c r="D46" s="15" t="s">
        <v>1074</v>
      </c>
      <c r="E46" s="15" t="s">
        <v>184</v>
      </c>
      <c r="F46" s="14" t="s">
        <v>194</v>
      </c>
      <c r="G46" s="16" t="s">
        <v>18</v>
      </c>
      <c r="H46" s="15" t="s">
        <v>213</v>
      </c>
      <c r="I46" s="14" t="s">
        <v>194</v>
      </c>
      <c r="J46" s="14" t="s">
        <v>18</v>
      </c>
      <c r="K46" s="14" t="s">
        <v>213</v>
      </c>
      <c r="L46" s="14" t="s">
        <v>194</v>
      </c>
      <c r="M46" s="14" t="s">
        <v>18</v>
      </c>
      <c r="N46" s="14" t="s">
        <v>213</v>
      </c>
      <c r="O46" s="15" t="s">
        <v>214</v>
      </c>
    </row>
    <row r="47" ht="45.15" customHeight="1" spans="1:15">
      <c r="A47" s="14" t="s">
        <v>1075</v>
      </c>
      <c r="B47" s="15" t="s">
        <v>1075</v>
      </c>
      <c r="C47" s="15" t="s">
        <v>1071</v>
      </c>
      <c r="D47" s="15" t="s">
        <v>1076</v>
      </c>
      <c r="E47" s="15" t="s">
        <v>184</v>
      </c>
      <c r="F47" s="14" t="s">
        <v>194</v>
      </c>
      <c r="G47" s="16" t="s">
        <v>18</v>
      </c>
      <c r="H47" s="15" t="s">
        <v>213</v>
      </c>
      <c r="I47" s="14" t="s">
        <v>194</v>
      </c>
      <c r="J47" s="14" t="s">
        <v>18</v>
      </c>
      <c r="K47" s="14" t="s">
        <v>213</v>
      </c>
      <c r="L47" s="14" t="s">
        <v>194</v>
      </c>
      <c r="M47" s="14" t="s">
        <v>18</v>
      </c>
      <c r="N47" s="14" t="s">
        <v>213</v>
      </c>
      <c r="O47" s="15" t="s">
        <v>214</v>
      </c>
    </row>
    <row r="48" ht="45.15" customHeight="1" spans="1:15">
      <c r="A48" s="14" t="s">
        <v>1077</v>
      </c>
      <c r="B48" s="15" t="s">
        <v>1077</v>
      </c>
      <c r="C48" s="15" t="s">
        <v>1071</v>
      </c>
      <c r="D48" s="15" t="s">
        <v>1078</v>
      </c>
      <c r="E48" s="15" t="s">
        <v>184</v>
      </c>
      <c r="F48" s="14" t="s">
        <v>194</v>
      </c>
      <c r="G48" s="16" t="s">
        <v>18</v>
      </c>
      <c r="H48" s="15" t="s">
        <v>213</v>
      </c>
      <c r="I48" s="14" t="s">
        <v>194</v>
      </c>
      <c r="J48" s="14" t="s">
        <v>18</v>
      </c>
      <c r="K48" s="14" t="s">
        <v>213</v>
      </c>
      <c r="L48" s="14" t="s">
        <v>194</v>
      </c>
      <c r="M48" s="14" t="s">
        <v>18</v>
      </c>
      <c r="N48" s="14" t="s">
        <v>213</v>
      </c>
      <c r="O48" s="15" t="s">
        <v>214</v>
      </c>
    </row>
    <row r="49" ht="45.15" customHeight="1" spans="1:15">
      <c r="A49" s="14" t="s">
        <v>1079</v>
      </c>
      <c r="B49" s="15" t="s">
        <v>1079</v>
      </c>
      <c r="C49" s="15" t="s">
        <v>1071</v>
      </c>
      <c r="D49" s="15" t="s">
        <v>1080</v>
      </c>
      <c r="E49" s="15" t="s">
        <v>184</v>
      </c>
      <c r="F49" s="14" t="s">
        <v>194</v>
      </c>
      <c r="G49" s="16" t="s">
        <v>18</v>
      </c>
      <c r="H49" s="15" t="s">
        <v>213</v>
      </c>
      <c r="I49" s="14" t="s">
        <v>194</v>
      </c>
      <c r="J49" s="14" t="s">
        <v>18</v>
      </c>
      <c r="K49" s="14" t="s">
        <v>213</v>
      </c>
      <c r="L49" s="14" t="s">
        <v>194</v>
      </c>
      <c r="M49" s="14" t="s">
        <v>18</v>
      </c>
      <c r="N49" s="14" t="s">
        <v>213</v>
      </c>
      <c r="O49" s="15" t="s">
        <v>214</v>
      </c>
    </row>
    <row r="50" ht="45.15" customHeight="1" spans="1:15">
      <c r="A50" s="14" t="s">
        <v>1081</v>
      </c>
      <c r="B50" s="15" t="s">
        <v>1081</v>
      </c>
      <c r="C50" s="15" t="s">
        <v>1071</v>
      </c>
      <c r="D50" s="15" t="s">
        <v>1082</v>
      </c>
      <c r="E50" s="15" t="s">
        <v>184</v>
      </c>
      <c r="F50" s="14" t="s">
        <v>194</v>
      </c>
      <c r="G50" s="16" t="s">
        <v>18</v>
      </c>
      <c r="H50" s="15" t="s">
        <v>213</v>
      </c>
      <c r="I50" s="14" t="s">
        <v>194</v>
      </c>
      <c r="J50" s="14" t="s">
        <v>18</v>
      </c>
      <c r="K50" s="14" t="s">
        <v>213</v>
      </c>
      <c r="L50" s="14" t="s">
        <v>194</v>
      </c>
      <c r="M50" s="14" t="s">
        <v>18</v>
      </c>
      <c r="N50" s="14" t="s">
        <v>213</v>
      </c>
      <c r="O50" s="15" t="s">
        <v>214</v>
      </c>
    </row>
    <row r="51" ht="45.15" customHeight="1" spans="1:15">
      <c r="A51" s="14" t="s">
        <v>1083</v>
      </c>
      <c r="B51" s="15" t="s">
        <v>1083</v>
      </c>
      <c r="C51" s="15" t="s">
        <v>1071</v>
      </c>
      <c r="D51" s="15" t="s">
        <v>1084</v>
      </c>
      <c r="E51" s="15" t="s">
        <v>184</v>
      </c>
      <c r="F51" s="14" t="s">
        <v>194</v>
      </c>
      <c r="G51" s="16" t="s">
        <v>18</v>
      </c>
      <c r="H51" s="15" t="s">
        <v>213</v>
      </c>
      <c r="I51" s="14" t="s">
        <v>194</v>
      </c>
      <c r="J51" s="14" t="s">
        <v>18</v>
      </c>
      <c r="K51" s="14" t="s">
        <v>213</v>
      </c>
      <c r="L51" s="14" t="s">
        <v>194</v>
      </c>
      <c r="M51" s="14" t="s">
        <v>18</v>
      </c>
      <c r="N51" s="14" t="s">
        <v>213</v>
      </c>
      <c r="O51" s="15" t="s">
        <v>214</v>
      </c>
    </row>
    <row r="52" ht="45.15" customHeight="1" spans="1:15">
      <c r="A52" s="14" t="s">
        <v>1085</v>
      </c>
      <c r="B52" s="15" t="s">
        <v>1085</v>
      </c>
      <c r="C52" s="15" t="s">
        <v>1071</v>
      </c>
      <c r="D52" s="15" t="s">
        <v>1086</v>
      </c>
      <c r="E52" s="15" t="s">
        <v>184</v>
      </c>
      <c r="F52" s="14" t="s">
        <v>194</v>
      </c>
      <c r="G52" s="16" t="s">
        <v>18</v>
      </c>
      <c r="H52" s="15" t="s">
        <v>213</v>
      </c>
      <c r="I52" s="14" t="s">
        <v>194</v>
      </c>
      <c r="J52" s="14" t="s">
        <v>18</v>
      </c>
      <c r="K52" s="14" t="s">
        <v>213</v>
      </c>
      <c r="L52" s="14" t="s">
        <v>194</v>
      </c>
      <c r="M52" s="14" t="s">
        <v>18</v>
      </c>
      <c r="N52" s="14" t="s">
        <v>213</v>
      </c>
      <c r="O52" s="15" t="s">
        <v>214</v>
      </c>
    </row>
    <row r="53" ht="60.2" customHeight="1" spans="1:15">
      <c r="A53" s="14" t="s">
        <v>1087</v>
      </c>
      <c r="B53" s="15" t="s">
        <v>1087</v>
      </c>
      <c r="C53" s="15" t="s">
        <v>1088</v>
      </c>
      <c r="D53" s="15" t="s">
        <v>1089</v>
      </c>
      <c r="E53" s="15" t="s">
        <v>184</v>
      </c>
      <c r="F53" s="14" t="s">
        <v>194</v>
      </c>
      <c r="G53" s="16" t="s">
        <v>18</v>
      </c>
      <c r="H53" s="15" t="s">
        <v>213</v>
      </c>
      <c r="I53" s="14" t="s">
        <v>194</v>
      </c>
      <c r="J53" s="14" t="s">
        <v>18</v>
      </c>
      <c r="K53" s="14" t="s">
        <v>213</v>
      </c>
      <c r="L53" s="14" t="s">
        <v>194</v>
      </c>
      <c r="M53" s="14" t="s">
        <v>18</v>
      </c>
      <c r="N53" s="14" t="s">
        <v>213</v>
      </c>
      <c r="O53" s="15" t="s">
        <v>214</v>
      </c>
    </row>
    <row r="54" ht="60.2" customHeight="1" spans="1:15">
      <c r="A54" s="14" t="s">
        <v>1090</v>
      </c>
      <c r="B54" s="15" t="s">
        <v>1090</v>
      </c>
      <c r="C54" s="15" t="s">
        <v>1091</v>
      </c>
      <c r="D54" s="15" t="s">
        <v>1092</v>
      </c>
      <c r="E54" s="15" t="s">
        <v>184</v>
      </c>
      <c r="F54" s="14" t="s">
        <v>194</v>
      </c>
      <c r="G54" s="16" t="s">
        <v>18</v>
      </c>
      <c r="H54" s="15" t="s">
        <v>213</v>
      </c>
      <c r="I54" s="14" t="s">
        <v>194</v>
      </c>
      <c r="J54" s="14" t="s">
        <v>18</v>
      </c>
      <c r="K54" s="14" t="s">
        <v>213</v>
      </c>
      <c r="L54" s="14" t="s">
        <v>194</v>
      </c>
      <c r="M54" s="14" t="s">
        <v>18</v>
      </c>
      <c r="N54" s="14" t="s">
        <v>213</v>
      </c>
      <c r="O54" s="15" t="s">
        <v>214</v>
      </c>
    </row>
    <row r="55" ht="45.15" customHeight="1" spans="1:15">
      <c r="A55" s="14" t="s">
        <v>1093</v>
      </c>
      <c r="B55" s="15" t="s">
        <v>1093</v>
      </c>
      <c r="C55" s="15" t="s">
        <v>1094</v>
      </c>
      <c r="D55" s="15" t="s">
        <v>1095</v>
      </c>
      <c r="E55" s="15" t="s">
        <v>184</v>
      </c>
      <c r="F55" s="14" t="s">
        <v>194</v>
      </c>
      <c r="G55" s="16" t="s">
        <v>18</v>
      </c>
      <c r="H55" s="15" t="s">
        <v>213</v>
      </c>
      <c r="I55" s="14" t="s">
        <v>194</v>
      </c>
      <c r="J55" s="14" t="s">
        <v>18</v>
      </c>
      <c r="K55" s="14" t="s">
        <v>213</v>
      </c>
      <c r="L55" s="14" t="s">
        <v>194</v>
      </c>
      <c r="M55" s="14" t="s">
        <v>18</v>
      </c>
      <c r="N55" s="14" t="s">
        <v>213</v>
      </c>
      <c r="O55" s="15" t="s">
        <v>214</v>
      </c>
    </row>
    <row r="56" ht="60.2" customHeight="1" spans="1:15">
      <c r="A56" s="14" t="s">
        <v>1096</v>
      </c>
      <c r="B56" s="15" t="s">
        <v>1096</v>
      </c>
      <c r="C56" s="15" t="s">
        <v>1097</v>
      </c>
      <c r="D56" s="15" t="s">
        <v>1098</v>
      </c>
      <c r="E56" s="15" t="s">
        <v>184</v>
      </c>
      <c r="F56" s="14" t="s">
        <v>194</v>
      </c>
      <c r="G56" s="16" t="s">
        <v>18</v>
      </c>
      <c r="H56" s="15" t="s">
        <v>213</v>
      </c>
      <c r="I56" s="14" t="s">
        <v>194</v>
      </c>
      <c r="J56" s="14" t="s">
        <v>18</v>
      </c>
      <c r="K56" s="14" t="s">
        <v>213</v>
      </c>
      <c r="L56" s="14" t="s">
        <v>194</v>
      </c>
      <c r="M56" s="14" t="s">
        <v>18</v>
      </c>
      <c r="N56" s="14" t="s">
        <v>213</v>
      </c>
      <c r="O56" s="15" t="s">
        <v>214</v>
      </c>
    </row>
    <row r="57" ht="60.2" customHeight="1" spans="1:15">
      <c r="A57" s="14" t="s">
        <v>1099</v>
      </c>
      <c r="B57" s="15" t="s">
        <v>1099</v>
      </c>
      <c r="C57" s="15" t="s">
        <v>1100</v>
      </c>
      <c r="D57" s="15" t="s">
        <v>1101</v>
      </c>
      <c r="E57" s="15" t="s">
        <v>184</v>
      </c>
      <c r="F57" s="14" t="s">
        <v>194</v>
      </c>
      <c r="G57" s="16" t="s">
        <v>18</v>
      </c>
      <c r="H57" s="15" t="s">
        <v>213</v>
      </c>
      <c r="I57" s="14" t="s">
        <v>194</v>
      </c>
      <c r="J57" s="14" t="s">
        <v>18</v>
      </c>
      <c r="K57" s="14" t="s">
        <v>213</v>
      </c>
      <c r="L57" s="14" t="s">
        <v>194</v>
      </c>
      <c r="M57" s="14" t="s">
        <v>18</v>
      </c>
      <c r="N57" s="14" t="s">
        <v>213</v>
      </c>
      <c r="O57" s="15" t="s">
        <v>214</v>
      </c>
    </row>
    <row r="58" ht="45.15" customHeight="1" spans="1:15">
      <c r="A58" s="14" t="s">
        <v>1102</v>
      </c>
      <c r="B58" s="15" t="s">
        <v>1103</v>
      </c>
      <c r="C58" s="15" t="s">
        <v>1104</v>
      </c>
      <c r="D58" s="15" t="s">
        <v>1105</v>
      </c>
      <c r="E58" s="15" t="s">
        <v>184</v>
      </c>
      <c r="F58" s="14" t="s">
        <v>194</v>
      </c>
      <c r="G58" s="16" t="s">
        <v>18</v>
      </c>
      <c r="H58" s="15" t="s">
        <v>213</v>
      </c>
      <c r="I58" s="14" t="s">
        <v>194</v>
      </c>
      <c r="J58" s="14" t="s">
        <v>18</v>
      </c>
      <c r="K58" s="14" t="s">
        <v>213</v>
      </c>
      <c r="L58" s="14" t="s">
        <v>194</v>
      </c>
      <c r="M58" s="14" t="s">
        <v>18</v>
      </c>
      <c r="N58" s="14" t="s">
        <v>213</v>
      </c>
      <c r="O58" s="15" t="s">
        <v>214</v>
      </c>
    </row>
    <row r="59" ht="75.25" customHeight="1" spans="1:15">
      <c r="A59" s="14" t="s">
        <v>1106</v>
      </c>
      <c r="B59" s="15" t="s">
        <v>1106</v>
      </c>
      <c r="C59" s="15" t="s">
        <v>1107</v>
      </c>
      <c r="D59" s="15" t="s">
        <v>1108</v>
      </c>
      <c r="E59" s="15" t="s">
        <v>184</v>
      </c>
      <c r="F59" s="14" t="s">
        <v>194</v>
      </c>
      <c r="G59" s="16" t="s">
        <v>18</v>
      </c>
      <c r="H59" s="15" t="s">
        <v>213</v>
      </c>
      <c r="I59" s="14" t="s">
        <v>194</v>
      </c>
      <c r="J59" s="14" t="s">
        <v>18</v>
      </c>
      <c r="K59" s="14" t="s">
        <v>213</v>
      </c>
      <c r="L59" s="14" t="s">
        <v>194</v>
      </c>
      <c r="M59" s="14" t="s">
        <v>18</v>
      </c>
      <c r="N59" s="14" t="s">
        <v>213</v>
      </c>
      <c r="O59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185</v>
      </c>
      <c r="C1" s="8"/>
      <c r="D1" s="8"/>
    </row>
    <row r="2" spans="1:15">
      <c r="A2" s="9" t="s">
        <v>191</v>
      </c>
      <c r="B2" s="10" t="s">
        <v>186</v>
      </c>
      <c r="C2" s="10"/>
      <c r="D2" s="10"/>
    </row>
    <row r="3" spans="1:15">
      <c r="A3" s="9" t="s">
        <v>192</v>
      </c>
      <c r="B3" s="11">
        <f>SUM(B5:D5)</f>
        <v>31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31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31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31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1109</v>
      </c>
      <c r="B11" s="15" t="s">
        <v>1109</v>
      </c>
      <c r="C11" s="15" t="s">
        <v>1110</v>
      </c>
      <c r="D11" s="15" t="s">
        <v>1111</v>
      </c>
      <c r="E11" s="15" t="s">
        <v>187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75.25" customHeight="1" spans="1:15">
      <c r="A12" s="14" t="s">
        <v>1112</v>
      </c>
      <c r="B12" s="15" t="s">
        <v>1112</v>
      </c>
      <c r="C12" s="15" t="s">
        <v>1113</v>
      </c>
      <c r="D12" s="15" t="s">
        <v>1114</v>
      </c>
      <c r="E12" s="15" t="s">
        <v>187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1115</v>
      </c>
      <c r="B13" s="15" t="s">
        <v>1115</v>
      </c>
      <c r="C13" s="15" t="s">
        <v>1116</v>
      </c>
      <c r="D13" s="15" t="s">
        <v>1117</v>
      </c>
      <c r="E13" s="15" t="s">
        <v>187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60.2" customHeight="1" spans="1:15">
      <c r="A14" s="14" t="s">
        <v>1118</v>
      </c>
      <c r="B14" s="15" t="s">
        <v>1118</v>
      </c>
      <c r="C14" s="15" t="s">
        <v>1119</v>
      </c>
      <c r="D14" s="15" t="s">
        <v>1120</v>
      </c>
      <c r="E14" s="15" t="s">
        <v>187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60.2" customHeight="1" spans="1:15">
      <c r="A15" s="14" t="s">
        <v>1121</v>
      </c>
      <c r="B15" s="15" t="s">
        <v>1121</v>
      </c>
      <c r="C15" s="15" t="s">
        <v>1122</v>
      </c>
      <c r="D15" s="15" t="s">
        <v>1123</v>
      </c>
      <c r="E15" s="15" t="s">
        <v>187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60.2" customHeight="1" spans="1:15">
      <c r="A16" s="14" t="s">
        <v>1124</v>
      </c>
      <c r="B16" s="15" t="s">
        <v>1124</v>
      </c>
      <c r="C16" s="15" t="s">
        <v>1122</v>
      </c>
      <c r="D16" s="15" t="s">
        <v>1125</v>
      </c>
      <c r="E16" s="15" t="s">
        <v>187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60.2" customHeight="1" spans="1:15">
      <c r="A17" s="14" t="s">
        <v>1126</v>
      </c>
      <c r="B17" s="15" t="s">
        <v>1126</v>
      </c>
      <c r="C17" s="15" t="s">
        <v>1122</v>
      </c>
      <c r="D17" s="15" t="s">
        <v>1127</v>
      </c>
      <c r="E17" s="15" t="s">
        <v>187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60.2" customHeight="1" spans="1:15">
      <c r="A18" s="14" t="s">
        <v>1128</v>
      </c>
      <c r="B18" s="15" t="s">
        <v>1128</v>
      </c>
      <c r="C18" s="15" t="s">
        <v>1122</v>
      </c>
      <c r="D18" s="15" t="s">
        <v>1129</v>
      </c>
      <c r="E18" s="15" t="s">
        <v>187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60.2" customHeight="1" spans="1:15">
      <c r="A19" s="14" t="s">
        <v>1130</v>
      </c>
      <c r="B19" s="15" t="s">
        <v>1130</v>
      </c>
      <c r="C19" s="15" t="s">
        <v>1122</v>
      </c>
      <c r="D19" s="15" t="s">
        <v>1131</v>
      </c>
      <c r="E19" s="15" t="s">
        <v>187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  <row r="20" ht="60.2" customHeight="1" spans="1:15">
      <c r="A20" s="14" t="s">
        <v>1132</v>
      </c>
      <c r="B20" s="15" t="s">
        <v>1132</v>
      </c>
      <c r="C20" s="15" t="s">
        <v>1133</v>
      </c>
      <c r="D20" s="15" t="s">
        <v>1134</v>
      </c>
      <c r="E20" s="15" t="s">
        <v>187</v>
      </c>
      <c r="F20" s="14" t="s">
        <v>194</v>
      </c>
      <c r="G20" s="16" t="s">
        <v>18</v>
      </c>
      <c r="H20" s="15" t="s">
        <v>213</v>
      </c>
      <c r="I20" s="14" t="s">
        <v>194</v>
      </c>
      <c r="J20" s="14" t="s">
        <v>18</v>
      </c>
      <c r="K20" s="14" t="s">
        <v>213</v>
      </c>
      <c r="L20" s="14" t="s">
        <v>194</v>
      </c>
      <c r="M20" s="14" t="s">
        <v>18</v>
      </c>
      <c r="N20" s="14" t="s">
        <v>213</v>
      </c>
      <c r="O20" s="15" t="s">
        <v>214</v>
      </c>
    </row>
    <row r="21" ht="60.2" customHeight="1" spans="1:15">
      <c r="A21" s="14" t="s">
        <v>1135</v>
      </c>
      <c r="B21" s="15" t="s">
        <v>1135</v>
      </c>
      <c r="C21" s="15" t="s">
        <v>1136</v>
      </c>
      <c r="D21" s="15" t="s">
        <v>1137</v>
      </c>
      <c r="E21" s="15" t="s">
        <v>187</v>
      </c>
      <c r="F21" s="14" t="s">
        <v>194</v>
      </c>
      <c r="G21" s="16" t="s">
        <v>18</v>
      </c>
      <c r="H21" s="15" t="s">
        <v>213</v>
      </c>
      <c r="I21" s="14" t="s">
        <v>194</v>
      </c>
      <c r="J21" s="14" t="s">
        <v>18</v>
      </c>
      <c r="K21" s="14" t="s">
        <v>213</v>
      </c>
      <c r="L21" s="14" t="s">
        <v>194</v>
      </c>
      <c r="M21" s="14" t="s">
        <v>18</v>
      </c>
      <c r="N21" s="14" t="s">
        <v>213</v>
      </c>
      <c r="O21" s="15" t="s">
        <v>214</v>
      </c>
    </row>
    <row r="22" ht="60.2" customHeight="1" spans="1:15">
      <c r="A22" s="14" t="s">
        <v>1138</v>
      </c>
      <c r="B22" s="15" t="s">
        <v>1138</v>
      </c>
      <c r="C22" s="15" t="s">
        <v>1139</v>
      </c>
      <c r="D22" s="15" t="s">
        <v>1140</v>
      </c>
      <c r="E22" s="15" t="s">
        <v>187</v>
      </c>
      <c r="F22" s="14" t="s">
        <v>194</v>
      </c>
      <c r="G22" s="16" t="s">
        <v>18</v>
      </c>
      <c r="H22" s="15" t="s">
        <v>213</v>
      </c>
      <c r="I22" s="14" t="s">
        <v>194</v>
      </c>
      <c r="J22" s="14" t="s">
        <v>18</v>
      </c>
      <c r="K22" s="14" t="s">
        <v>213</v>
      </c>
      <c r="L22" s="14" t="s">
        <v>194</v>
      </c>
      <c r="M22" s="14" t="s">
        <v>18</v>
      </c>
      <c r="N22" s="14" t="s">
        <v>213</v>
      </c>
      <c r="O22" s="15" t="s">
        <v>214</v>
      </c>
    </row>
    <row r="23" ht="60.2" customHeight="1" spans="1:15">
      <c r="A23" s="14" t="s">
        <v>1141</v>
      </c>
      <c r="B23" s="15" t="s">
        <v>1141</v>
      </c>
      <c r="C23" s="15" t="s">
        <v>1139</v>
      </c>
      <c r="D23" s="15" t="s">
        <v>1142</v>
      </c>
      <c r="E23" s="15" t="s">
        <v>187</v>
      </c>
      <c r="F23" s="14" t="s">
        <v>194</v>
      </c>
      <c r="G23" s="16" t="s">
        <v>18</v>
      </c>
      <c r="H23" s="15" t="s">
        <v>213</v>
      </c>
      <c r="I23" s="14" t="s">
        <v>194</v>
      </c>
      <c r="J23" s="14" t="s">
        <v>18</v>
      </c>
      <c r="K23" s="14" t="s">
        <v>213</v>
      </c>
      <c r="L23" s="14" t="s">
        <v>194</v>
      </c>
      <c r="M23" s="14" t="s">
        <v>18</v>
      </c>
      <c r="N23" s="14" t="s">
        <v>213</v>
      </c>
      <c r="O23" s="15" t="s">
        <v>214</v>
      </c>
    </row>
    <row r="24" ht="60.2" customHeight="1" spans="1:15">
      <c r="A24" s="14" t="s">
        <v>1143</v>
      </c>
      <c r="B24" s="15" t="s">
        <v>1143</v>
      </c>
      <c r="C24" s="15" t="s">
        <v>1139</v>
      </c>
      <c r="D24" s="15" t="s">
        <v>1144</v>
      </c>
      <c r="E24" s="15" t="s">
        <v>187</v>
      </c>
      <c r="F24" s="14" t="s">
        <v>194</v>
      </c>
      <c r="G24" s="16" t="s">
        <v>18</v>
      </c>
      <c r="H24" s="15" t="s">
        <v>213</v>
      </c>
      <c r="I24" s="14" t="s">
        <v>194</v>
      </c>
      <c r="J24" s="14" t="s">
        <v>18</v>
      </c>
      <c r="K24" s="14" t="s">
        <v>213</v>
      </c>
      <c r="L24" s="14" t="s">
        <v>194</v>
      </c>
      <c r="M24" s="14" t="s">
        <v>18</v>
      </c>
      <c r="N24" s="14" t="s">
        <v>213</v>
      </c>
      <c r="O24" s="15" t="s">
        <v>214</v>
      </c>
    </row>
    <row r="25" ht="60.2" customHeight="1" spans="1:15">
      <c r="A25" s="14" t="s">
        <v>1145</v>
      </c>
      <c r="B25" s="15" t="s">
        <v>1145</v>
      </c>
      <c r="C25" s="15" t="s">
        <v>1146</v>
      </c>
      <c r="D25" s="15" t="s">
        <v>1147</v>
      </c>
      <c r="E25" s="15" t="s">
        <v>187</v>
      </c>
      <c r="F25" s="14" t="s">
        <v>194</v>
      </c>
      <c r="G25" s="16" t="s">
        <v>18</v>
      </c>
      <c r="H25" s="15" t="s">
        <v>213</v>
      </c>
      <c r="I25" s="14" t="s">
        <v>194</v>
      </c>
      <c r="J25" s="14" t="s">
        <v>18</v>
      </c>
      <c r="K25" s="14" t="s">
        <v>213</v>
      </c>
      <c r="L25" s="14" t="s">
        <v>194</v>
      </c>
      <c r="M25" s="14" t="s">
        <v>18</v>
      </c>
      <c r="N25" s="14" t="s">
        <v>213</v>
      </c>
      <c r="O25" s="15" t="s">
        <v>214</v>
      </c>
    </row>
    <row r="26" ht="60.2" customHeight="1" spans="1:15">
      <c r="A26" s="14" t="s">
        <v>1148</v>
      </c>
      <c r="B26" s="15" t="s">
        <v>1148</v>
      </c>
      <c r="C26" s="15" t="s">
        <v>1149</v>
      </c>
      <c r="D26" s="15" t="s">
        <v>1150</v>
      </c>
      <c r="E26" s="15" t="s">
        <v>187</v>
      </c>
      <c r="F26" s="14" t="s">
        <v>194</v>
      </c>
      <c r="G26" s="16" t="s">
        <v>18</v>
      </c>
      <c r="H26" s="15" t="s">
        <v>213</v>
      </c>
      <c r="I26" s="14" t="s">
        <v>194</v>
      </c>
      <c r="J26" s="14" t="s">
        <v>18</v>
      </c>
      <c r="K26" s="14" t="s">
        <v>213</v>
      </c>
      <c r="L26" s="14" t="s">
        <v>194</v>
      </c>
      <c r="M26" s="14" t="s">
        <v>18</v>
      </c>
      <c r="N26" s="14" t="s">
        <v>213</v>
      </c>
      <c r="O26" s="15" t="s">
        <v>214</v>
      </c>
    </row>
    <row r="27" ht="60.2" customHeight="1" spans="1:15">
      <c r="A27" s="14" t="s">
        <v>1151</v>
      </c>
      <c r="B27" s="15" t="s">
        <v>1151</v>
      </c>
      <c r="C27" s="15" t="s">
        <v>1152</v>
      </c>
      <c r="D27" s="15" t="s">
        <v>1153</v>
      </c>
      <c r="E27" s="15" t="s">
        <v>187</v>
      </c>
      <c r="F27" s="14" t="s">
        <v>194</v>
      </c>
      <c r="G27" s="16" t="s">
        <v>18</v>
      </c>
      <c r="H27" s="15" t="s">
        <v>213</v>
      </c>
      <c r="I27" s="14" t="s">
        <v>194</v>
      </c>
      <c r="J27" s="14" t="s">
        <v>18</v>
      </c>
      <c r="K27" s="14" t="s">
        <v>213</v>
      </c>
      <c r="L27" s="14" t="s">
        <v>194</v>
      </c>
      <c r="M27" s="14" t="s">
        <v>18</v>
      </c>
      <c r="N27" s="14" t="s">
        <v>213</v>
      </c>
      <c r="O27" s="15" t="s">
        <v>214</v>
      </c>
    </row>
    <row r="28" ht="60.2" customHeight="1" spans="1:15">
      <c r="A28" s="14" t="s">
        <v>1154</v>
      </c>
      <c r="B28" s="15" t="s">
        <v>1154</v>
      </c>
      <c r="C28" s="15" t="s">
        <v>1155</v>
      </c>
      <c r="D28" s="15" t="s">
        <v>1156</v>
      </c>
      <c r="E28" s="15" t="s">
        <v>187</v>
      </c>
      <c r="F28" s="14" t="s">
        <v>194</v>
      </c>
      <c r="G28" s="16" t="s">
        <v>18</v>
      </c>
      <c r="H28" s="15" t="s">
        <v>213</v>
      </c>
      <c r="I28" s="14" t="s">
        <v>194</v>
      </c>
      <c r="J28" s="14" t="s">
        <v>18</v>
      </c>
      <c r="K28" s="14" t="s">
        <v>213</v>
      </c>
      <c r="L28" s="14" t="s">
        <v>194</v>
      </c>
      <c r="M28" s="14" t="s">
        <v>18</v>
      </c>
      <c r="N28" s="14" t="s">
        <v>213</v>
      </c>
      <c r="O28" s="15" t="s">
        <v>214</v>
      </c>
    </row>
    <row r="29" ht="60.2" customHeight="1" spans="1:15">
      <c r="A29" s="14" t="s">
        <v>1157</v>
      </c>
      <c r="B29" s="15" t="s">
        <v>1157</v>
      </c>
      <c r="C29" s="15" t="s">
        <v>1155</v>
      </c>
      <c r="D29" s="15" t="s">
        <v>1158</v>
      </c>
      <c r="E29" s="15" t="s">
        <v>187</v>
      </c>
      <c r="F29" s="14" t="s">
        <v>194</v>
      </c>
      <c r="G29" s="16" t="s">
        <v>18</v>
      </c>
      <c r="H29" s="15" t="s">
        <v>213</v>
      </c>
      <c r="I29" s="14" t="s">
        <v>194</v>
      </c>
      <c r="J29" s="14" t="s">
        <v>18</v>
      </c>
      <c r="K29" s="14" t="s">
        <v>213</v>
      </c>
      <c r="L29" s="14" t="s">
        <v>194</v>
      </c>
      <c r="M29" s="14" t="s">
        <v>18</v>
      </c>
      <c r="N29" s="14" t="s">
        <v>213</v>
      </c>
      <c r="O29" s="15" t="s">
        <v>214</v>
      </c>
    </row>
    <row r="30" ht="60.2" customHeight="1" spans="1:15">
      <c r="A30" s="14" t="s">
        <v>1159</v>
      </c>
      <c r="B30" s="15" t="s">
        <v>1159</v>
      </c>
      <c r="C30" s="15" t="s">
        <v>1155</v>
      </c>
      <c r="D30" s="15" t="s">
        <v>1160</v>
      </c>
      <c r="E30" s="15" t="s">
        <v>187</v>
      </c>
      <c r="F30" s="14" t="s">
        <v>194</v>
      </c>
      <c r="G30" s="16" t="s">
        <v>18</v>
      </c>
      <c r="H30" s="15" t="s">
        <v>213</v>
      </c>
      <c r="I30" s="14" t="s">
        <v>194</v>
      </c>
      <c r="J30" s="14" t="s">
        <v>18</v>
      </c>
      <c r="K30" s="14" t="s">
        <v>213</v>
      </c>
      <c r="L30" s="14" t="s">
        <v>194</v>
      </c>
      <c r="M30" s="14" t="s">
        <v>18</v>
      </c>
      <c r="N30" s="14" t="s">
        <v>213</v>
      </c>
      <c r="O30" s="15" t="s">
        <v>214</v>
      </c>
    </row>
    <row r="31" ht="60.2" customHeight="1" spans="1:15">
      <c r="A31" s="14" t="s">
        <v>1161</v>
      </c>
      <c r="B31" s="15" t="s">
        <v>1161</v>
      </c>
      <c r="C31" s="15" t="s">
        <v>1155</v>
      </c>
      <c r="D31" s="15" t="s">
        <v>1162</v>
      </c>
      <c r="E31" s="15" t="s">
        <v>187</v>
      </c>
      <c r="F31" s="14" t="s">
        <v>194</v>
      </c>
      <c r="G31" s="16" t="s">
        <v>18</v>
      </c>
      <c r="H31" s="15" t="s">
        <v>213</v>
      </c>
      <c r="I31" s="14" t="s">
        <v>194</v>
      </c>
      <c r="J31" s="14" t="s">
        <v>18</v>
      </c>
      <c r="K31" s="14" t="s">
        <v>213</v>
      </c>
      <c r="L31" s="14" t="s">
        <v>194</v>
      </c>
      <c r="M31" s="14" t="s">
        <v>18</v>
      </c>
      <c r="N31" s="14" t="s">
        <v>213</v>
      </c>
      <c r="O31" s="15" t="s">
        <v>214</v>
      </c>
    </row>
    <row r="32" ht="60.2" customHeight="1" spans="1:15">
      <c r="A32" s="14" t="s">
        <v>1163</v>
      </c>
      <c r="B32" s="15" t="s">
        <v>1163</v>
      </c>
      <c r="C32" s="15" t="s">
        <v>1155</v>
      </c>
      <c r="D32" s="15" t="s">
        <v>1164</v>
      </c>
      <c r="E32" s="15" t="s">
        <v>187</v>
      </c>
      <c r="F32" s="14" t="s">
        <v>194</v>
      </c>
      <c r="G32" s="16" t="s">
        <v>18</v>
      </c>
      <c r="H32" s="15" t="s">
        <v>213</v>
      </c>
      <c r="I32" s="14" t="s">
        <v>194</v>
      </c>
      <c r="J32" s="14" t="s">
        <v>18</v>
      </c>
      <c r="K32" s="14" t="s">
        <v>213</v>
      </c>
      <c r="L32" s="14" t="s">
        <v>194</v>
      </c>
      <c r="M32" s="14" t="s">
        <v>18</v>
      </c>
      <c r="N32" s="14" t="s">
        <v>213</v>
      </c>
      <c r="O32" s="15" t="s">
        <v>214</v>
      </c>
    </row>
    <row r="33" ht="60.2" customHeight="1" spans="1:15">
      <c r="A33" s="14" t="s">
        <v>1165</v>
      </c>
      <c r="B33" s="15" t="s">
        <v>1165</v>
      </c>
      <c r="C33" s="15" t="s">
        <v>1155</v>
      </c>
      <c r="D33" s="15" t="s">
        <v>1166</v>
      </c>
      <c r="E33" s="15" t="s">
        <v>187</v>
      </c>
      <c r="F33" s="14" t="s">
        <v>194</v>
      </c>
      <c r="G33" s="16" t="s">
        <v>18</v>
      </c>
      <c r="H33" s="15" t="s">
        <v>213</v>
      </c>
      <c r="I33" s="14" t="s">
        <v>194</v>
      </c>
      <c r="J33" s="14" t="s">
        <v>18</v>
      </c>
      <c r="K33" s="14" t="s">
        <v>213</v>
      </c>
      <c r="L33" s="14" t="s">
        <v>194</v>
      </c>
      <c r="M33" s="14" t="s">
        <v>18</v>
      </c>
      <c r="N33" s="14" t="s">
        <v>213</v>
      </c>
      <c r="O33" s="15" t="s">
        <v>214</v>
      </c>
    </row>
    <row r="34" ht="60.2" customHeight="1" spans="1:15">
      <c r="A34" s="14" t="s">
        <v>1167</v>
      </c>
      <c r="B34" s="15" t="s">
        <v>1167</v>
      </c>
      <c r="C34" s="15" t="s">
        <v>1155</v>
      </c>
      <c r="D34" s="15" t="s">
        <v>1168</v>
      </c>
      <c r="E34" s="15" t="s">
        <v>187</v>
      </c>
      <c r="F34" s="14" t="s">
        <v>194</v>
      </c>
      <c r="G34" s="16" t="s">
        <v>18</v>
      </c>
      <c r="H34" s="15" t="s">
        <v>213</v>
      </c>
      <c r="I34" s="14" t="s">
        <v>194</v>
      </c>
      <c r="J34" s="14" t="s">
        <v>18</v>
      </c>
      <c r="K34" s="14" t="s">
        <v>213</v>
      </c>
      <c r="L34" s="14" t="s">
        <v>194</v>
      </c>
      <c r="M34" s="14" t="s">
        <v>18</v>
      </c>
      <c r="N34" s="14" t="s">
        <v>213</v>
      </c>
      <c r="O34" s="15" t="s">
        <v>214</v>
      </c>
    </row>
    <row r="35" ht="60.2" customHeight="1" spans="1:15">
      <c r="A35" s="14" t="s">
        <v>1169</v>
      </c>
      <c r="B35" s="15" t="s">
        <v>1169</v>
      </c>
      <c r="C35" s="15" t="s">
        <v>1155</v>
      </c>
      <c r="D35" s="15" t="s">
        <v>1170</v>
      </c>
      <c r="E35" s="15" t="s">
        <v>187</v>
      </c>
      <c r="F35" s="14" t="s">
        <v>194</v>
      </c>
      <c r="G35" s="16" t="s">
        <v>18</v>
      </c>
      <c r="H35" s="15" t="s">
        <v>213</v>
      </c>
      <c r="I35" s="14" t="s">
        <v>194</v>
      </c>
      <c r="J35" s="14" t="s">
        <v>18</v>
      </c>
      <c r="K35" s="14" t="s">
        <v>213</v>
      </c>
      <c r="L35" s="14" t="s">
        <v>194</v>
      </c>
      <c r="M35" s="14" t="s">
        <v>18</v>
      </c>
      <c r="N35" s="14" t="s">
        <v>213</v>
      </c>
      <c r="O35" s="15" t="s">
        <v>214</v>
      </c>
    </row>
    <row r="36" ht="75.25" customHeight="1" spans="1:15">
      <c r="A36" s="14" t="s">
        <v>1171</v>
      </c>
      <c r="B36" s="15" t="s">
        <v>1171</v>
      </c>
      <c r="C36" s="15" t="s">
        <v>1172</v>
      </c>
      <c r="D36" s="15" t="s">
        <v>1173</v>
      </c>
      <c r="E36" s="15" t="s">
        <v>187</v>
      </c>
      <c r="F36" s="14" t="s">
        <v>194</v>
      </c>
      <c r="G36" s="16" t="s">
        <v>18</v>
      </c>
      <c r="H36" s="15" t="s">
        <v>213</v>
      </c>
      <c r="I36" s="14" t="s">
        <v>194</v>
      </c>
      <c r="J36" s="14" t="s">
        <v>18</v>
      </c>
      <c r="K36" s="14" t="s">
        <v>213</v>
      </c>
      <c r="L36" s="14" t="s">
        <v>194</v>
      </c>
      <c r="M36" s="14" t="s">
        <v>18</v>
      </c>
      <c r="N36" s="14" t="s">
        <v>213</v>
      </c>
      <c r="O36" s="15" t="s">
        <v>214</v>
      </c>
    </row>
    <row r="37" ht="60.2" customHeight="1" spans="1:15">
      <c r="A37" s="14" t="s">
        <v>1174</v>
      </c>
      <c r="B37" s="15" t="s">
        <v>1174</v>
      </c>
      <c r="C37" s="15" t="s">
        <v>1175</v>
      </c>
      <c r="D37" s="15" t="s">
        <v>1176</v>
      </c>
      <c r="E37" s="15" t="s">
        <v>187</v>
      </c>
      <c r="F37" s="14" t="s">
        <v>194</v>
      </c>
      <c r="G37" s="16" t="s">
        <v>18</v>
      </c>
      <c r="H37" s="15" t="s">
        <v>213</v>
      </c>
      <c r="I37" s="14" t="s">
        <v>194</v>
      </c>
      <c r="J37" s="14" t="s">
        <v>18</v>
      </c>
      <c r="K37" s="14" t="s">
        <v>213</v>
      </c>
      <c r="L37" s="14" t="s">
        <v>194</v>
      </c>
      <c r="M37" s="14" t="s">
        <v>18</v>
      </c>
      <c r="N37" s="14" t="s">
        <v>213</v>
      </c>
      <c r="O37" s="15" t="s">
        <v>214</v>
      </c>
    </row>
    <row r="38" ht="60.2" customHeight="1" spans="1:15">
      <c r="A38" s="14" t="s">
        <v>1177</v>
      </c>
      <c r="B38" s="15" t="s">
        <v>1177</v>
      </c>
      <c r="C38" s="15" t="s">
        <v>1178</v>
      </c>
      <c r="D38" s="15" t="s">
        <v>1179</v>
      </c>
      <c r="E38" s="15" t="s">
        <v>187</v>
      </c>
      <c r="F38" s="14" t="s">
        <v>194</v>
      </c>
      <c r="G38" s="16" t="s">
        <v>18</v>
      </c>
      <c r="H38" s="15" t="s">
        <v>213</v>
      </c>
      <c r="I38" s="14" t="s">
        <v>194</v>
      </c>
      <c r="J38" s="14" t="s">
        <v>18</v>
      </c>
      <c r="K38" s="14" t="s">
        <v>213</v>
      </c>
      <c r="L38" s="14" t="s">
        <v>194</v>
      </c>
      <c r="M38" s="14" t="s">
        <v>18</v>
      </c>
      <c r="N38" s="14" t="s">
        <v>213</v>
      </c>
      <c r="O38" s="15" t="s">
        <v>214</v>
      </c>
    </row>
    <row r="39" ht="60.2" customHeight="1" spans="1:15">
      <c r="A39" s="14" t="s">
        <v>1180</v>
      </c>
      <c r="B39" s="15" t="s">
        <v>1180</v>
      </c>
      <c r="C39" s="15" t="s">
        <v>1181</v>
      </c>
      <c r="D39" s="15" t="s">
        <v>1182</v>
      </c>
      <c r="E39" s="15" t="s">
        <v>187</v>
      </c>
      <c r="F39" s="14" t="s">
        <v>194</v>
      </c>
      <c r="G39" s="16" t="s">
        <v>18</v>
      </c>
      <c r="H39" s="15" t="s">
        <v>213</v>
      </c>
      <c r="I39" s="14" t="s">
        <v>194</v>
      </c>
      <c r="J39" s="14" t="s">
        <v>18</v>
      </c>
      <c r="K39" s="14" t="s">
        <v>213</v>
      </c>
      <c r="L39" s="14" t="s">
        <v>194</v>
      </c>
      <c r="M39" s="14" t="s">
        <v>18</v>
      </c>
      <c r="N39" s="14" t="s">
        <v>213</v>
      </c>
      <c r="O39" s="15" t="s">
        <v>214</v>
      </c>
    </row>
    <row r="40" ht="75.25" customHeight="1" spans="1:15">
      <c r="A40" s="14" t="s">
        <v>1183</v>
      </c>
      <c r="B40" s="15" t="s">
        <v>1183</v>
      </c>
      <c r="C40" s="15" t="s">
        <v>1184</v>
      </c>
      <c r="D40" s="15" t="s">
        <v>1185</v>
      </c>
      <c r="E40" s="15" t="s">
        <v>187</v>
      </c>
      <c r="F40" s="14" t="s">
        <v>194</v>
      </c>
      <c r="G40" s="16" t="s">
        <v>18</v>
      </c>
      <c r="H40" s="15" t="s">
        <v>213</v>
      </c>
      <c r="I40" s="14" t="s">
        <v>194</v>
      </c>
      <c r="J40" s="14" t="s">
        <v>18</v>
      </c>
      <c r="K40" s="14" t="s">
        <v>213</v>
      </c>
      <c r="L40" s="14" t="s">
        <v>194</v>
      </c>
      <c r="M40" s="14" t="s">
        <v>18</v>
      </c>
      <c r="N40" s="14" t="s">
        <v>213</v>
      </c>
      <c r="O40" s="15" t="s">
        <v>214</v>
      </c>
    </row>
    <row r="41" ht="75.25" customHeight="1" spans="1:15">
      <c r="A41" s="14" t="s">
        <v>1186</v>
      </c>
      <c r="B41" s="15" t="s">
        <v>1186</v>
      </c>
      <c r="C41" s="15" t="s">
        <v>1187</v>
      </c>
      <c r="D41" s="15" t="s">
        <v>1188</v>
      </c>
      <c r="E41" s="15" t="s">
        <v>187</v>
      </c>
      <c r="F41" s="14" t="s">
        <v>194</v>
      </c>
      <c r="G41" s="16" t="s">
        <v>18</v>
      </c>
      <c r="H41" s="15" t="s">
        <v>213</v>
      </c>
      <c r="I41" s="14" t="s">
        <v>194</v>
      </c>
      <c r="J41" s="14" t="s">
        <v>18</v>
      </c>
      <c r="K41" s="14" t="s">
        <v>213</v>
      </c>
      <c r="L41" s="14" t="s">
        <v>194</v>
      </c>
      <c r="M41" s="14" t="s">
        <v>18</v>
      </c>
      <c r="N41" s="14" t="s">
        <v>213</v>
      </c>
      <c r="O41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7" t="s">
        <v>90</v>
      </c>
      <c r="B1" s="8" t="s">
        <v>188</v>
      </c>
      <c r="C1" s="8"/>
      <c r="D1" s="8"/>
    </row>
    <row r="2" spans="1:15">
      <c r="A2" s="9" t="s">
        <v>191</v>
      </c>
      <c r="B2" s="10" t="s">
        <v>189</v>
      </c>
      <c r="C2" s="10"/>
      <c r="D2" s="10"/>
    </row>
    <row r="3" spans="1:15">
      <c r="A3" s="9" t="s">
        <v>192</v>
      </c>
      <c r="B3" s="11">
        <f>SUM(B5:D5)</f>
        <v>28</v>
      </c>
      <c r="C3" s="11"/>
      <c r="D3" s="11"/>
    </row>
    <row r="4" spans="1:15">
      <c r="A4" s="9" t="s">
        <v>193</v>
      </c>
      <c r="B4" s="12" t="s">
        <v>194</v>
      </c>
      <c r="C4" s="12" t="s">
        <v>195</v>
      </c>
      <c r="D4" s="12" t="s">
        <v>196</v>
      </c>
    </row>
    <row r="5" spans="1:15">
      <c r="A5" s="9" t="s">
        <v>197</v>
      </c>
      <c r="B5" s="11">
        <f>COUNTIF(F1:F1000,"Passed")</f>
        <v>28</v>
      </c>
      <c r="C5" s="11">
        <f>COUNTIF(F1:F1000,"Failed")</f>
        <v>0</v>
      </c>
      <c r="D5" s="11">
        <f>COUNTIF(F1:F1000,"Pending")</f>
        <v>0</v>
      </c>
    </row>
    <row r="6" spans="1:15">
      <c r="A6" s="9" t="s">
        <v>198</v>
      </c>
      <c r="B6" s="11">
        <f>COUNTIF(I1:I1000,"Passed")</f>
        <v>28</v>
      </c>
      <c r="C6" s="11">
        <f>COUNTIF(I1:I1000,"Failed")</f>
        <v>0</v>
      </c>
      <c r="D6" s="11">
        <f>COUNTIF(I1:I1000,"Pending")</f>
        <v>0</v>
      </c>
    </row>
    <row r="7" spans="1:15">
      <c r="A7" s="9" t="s">
        <v>199</v>
      </c>
      <c r="B7" s="11">
        <f>COUNTIF(L1:L1000,"Passed")</f>
        <v>28</v>
      </c>
      <c r="C7" s="11">
        <f>COUNTIF(L1:L1000,"Failed")</f>
        <v>0</v>
      </c>
      <c r="D7" s="11">
        <f>COUNTIF(L1:L1000,"Pending")</f>
        <v>0</v>
      </c>
    </row>
    <row r="9" spans="1:1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>
      <c r="A10" s="13" t="s">
        <v>208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>
      <c r="A11" s="14" t="s">
        <v>1189</v>
      </c>
      <c r="B11" s="15" t="s">
        <v>1189</v>
      </c>
      <c r="C11" s="15" t="s">
        <v>1190</v>
      </c>
      <c r="D11" s="15" t="s">
        <v>1191</v>
      </c>
      <c r="E11" s="15" t="s">
        <v>190</v>
      </c>
      <c r="F11" s="14" t="s">
        <v>194</v>
      </c>
      <c r="G11" s="16" t="s">
        <v>18</v>
      </c>
      <c r="H11" s="15" t="s">
        <v>213</v>
      </c>
      <c r="I11" s="14" t="s">
        <v>194</v>
      </c>
      <c r="J11" s="14" t="s">
        <v>18</v>
      </c>
      <c r="K11" s="14" t="s">
        <v>213</v>
      </c>
      <c r="L11" s="14" t="s">
        <v>194</v>
      </c>
      <c r="M11" s="14" t="s">
        <v>18</v>
      </c>
      <c r="N11" s="14" t="s">
        <v>213</v>
      </c>
      <c r="O11" s="15" t="s">
        <v>214</v>
      </c>
    </row>
    <row r="12" ht="45.15" customHeight="1" spans="1:15">
      <c r="A12" s="14" t="s">
        <v>1192</v>
      </c>
      <c r="B12" s="15" t="s">
        <v>1192</v>
      </c>
      <c r="C12" s="15" t="s">
        <v>1193</v>
      </c>
      <c r="D12" s="15" t="s">
        <v>1194</v>
      </c>
      <c r="E12" s="15" t="s">
        <v>190</v>
      </c>
      <c r="F12" s="14" t="s">
        <v>194</v>
      </c>
      <c r="G12" s="16" t="s">
        <v>18</v>
      </c>
      <c r="H12" s="15" t="s">
        <v>213</v>
      </c>
      <c r="I12" s="14" t="s">
        <v>194</v>
      </c>
      <c r="J12" s="14" t="s">
        <v>18</v>
      </c>
      <c r="K12" s="14" t="s">
        <v>213</v>
      </c>
      <c r="L12" s="14" t="s">
        <v>194</v>
      </c>
      <c r="M12" s="14" t="s">
        <v>18</v>
      </c>
      <c r="N12" s="14" t="s">
        <v>213</v>
      </c>
      <c r="O12" s="15" t="s">
        <v>214</v>
      </c>
    </row>
    <row r="13" ht="60.2" customHeight="1" spans="1:15">
      <c r="A13" s="14" t="s">
        <v>1195</v>
      </c>
      <c r="B13" s="15" t="s">
        <v>1195</v>
      </c>
      <c r="C13" s="15" t="s">
        <v>1196</v>
      </c>
      <c r="D13" s="15" t="s">
        <v>1197</v>
      </c>
      <c r="E13" s="15" t="s">
        <v>190</v>
      </c>
      <c r="F13" s="14" t="s">
        <v>194</v>
      </c>
      <c r="G13" s="16" t="s">
        <v>18</v>
      </c>
      <c r="H13" s="15" t="s">
        <v>213</v>
      </c>
      <c r="I13" s="14" t="s">
        <v>194</v>
      </c>
      <c r="J13" s="14" t="s">
        <v>18</v>
      </c>
      <c r="K13" s="14" t="s">
        <v>213</v>
      </c>
      <c r="L13" s="14" t="s">
        <v>194</v>
      </c>
      <c r="M13" s="14" t="s">
        <v>18</v>
      </c>
      <c r="N13" s="14" t="s">
        <v>213</v>
      </c>
      <c r="O13" s="15" t="s">
        <v>214</v>
      </c>
    </row>
    <row r="14" ht="90.35" customHeight="1" spans="1:15">
      <c r="A14" s="14" t="s">
        <v>1198</v>
      </c>
      <c r="B14" s="15" t="s">
        <v>1198</v>
      </c>
      <c r="C14" s="15" t="s">
        <v>1199</v>
      </c>
      <c r="D14" s="15" t="s">
        <v>1200</v>
      </c>
      <c r="E14" s="15" t="s">
        <v>190</v>
      </c>
      <c r="F14" s="14" t="s">
        <v>194</v>
      </c>
      <c r="G14" s="16" t="s">
        <v>18</v>
      </c>
      <c r="H14" s="15" t="s">
        <v>213</v>
      </c>
      <c r="I14" s="14" t="s">
        <v>194</v>
      </c>
      <c r="J14" s="14" t="s">
        <v>18</v>
      </c>
      <c r="K14" s="14" t="s">
        <v>213</v>
      </c>
      <c r="L14" s="14" t="s">
        <v>194</v>
      </c>
      <c r="M14" s="14" t="s">
        <v>18</v>
      </c>
      <c r="N14" s="14" t="s">
        <v>213</v>
      </c>
      <c r="O14" s="15" t="s">
        <v>214</v>
      </c>
    </row>
    <row r="15" ht="75.25" customHeight="1" spans="1:15">
      <c r="A15" s="14" t="s">
        <v>1201</v>
      </c>
      <c r="B15" s="15" t="s">
        <v>1201</v>
      </c>
      <c r="C15" s="15" t="s">
        <v>1199</v>
      </c>
      <c r="D15" s="15" t="s">
        <v>1202</v>
      </c>
      <c r="E15" s="15" t="s">
        <v>190</v>
      </c>
      <c r="F15" s="14" t="s">
        <v>194</v>
      </c>
      <c r="G15" s="16" t="s">
        <v>18</v>
      </c>
      <c r="H15" s="15" t="s">
        <v>213</v>
      </c>
      <c r="I15" s="14" t="s">
        <v>194</v>
      </c>
      <c r="J15" s="14" t="s">
        <v>18</v>
      </c>
      <c r="K15" s="14" t="s">
        <v>213</v>
      </c>
      <c r="L15" s="14" t="s">
        <v>194</v>
      </c>
      <c r="M15" s="14" t="s">
        <v>18</v>
      </c>
      <c r="N15" s="14" t="s">
        <v>213</v>
      </c>
      <c r="O15" s="15" t="s">
        <v>214</v>
      </c>
    </row>
    <row r="16" ht="60.2" customHeight="1" spans="1:15">
      <c r="A16" s="14" t="s">
        <v>1203</v>
      </c>
      <c r="B16" s="15" t="s">
        <v>1203</v>
      </c>
      <c r="C16" s="15" t="s">
        <v>1199</v>
      </c>
      <c r="D16" s="15" t="s">
        <v>1204</v>
      </c>
      <c r="E16" s="15" t="s">
        <v>190</v>
      </c>
      <c r="F16" s="14" t="s">
        <v>194</v>
      </c>
      <c r="G16" s="16" t="s">
        <v>18</v>
      </c>
      <c r="H16" s="15" t="s">
        <v>213</v>
      </c>
      <c r="I16" s="14" t="s">
        <v>194</v>
      </c>
      <c r="J16" s="14" t="s">
        <v>18</v>
      </c>
      <c r="K16" s="14" t="s">
        <v>213</v>
      </c>
      <c r="L16" s="14" t="s">
        <v>194</v>
      </c>
      <c r="M16" s="14" t="s">
        <v>18</v>
      </c>
      <c r="N16" s="14" t="s">
        <v>213</v>
      </c>
      <c r="O16" s="15" t="s">
        <v>214</v>
      </c>
    </row>
    <row r="17" ht="75.25" customHeight="1" spans="1:15">
      <c r="A17" s="14" t="s">
        <v>1205</v>
      </c>
      <c r="B17" s="15" t="s">
        <v>1205</v>
      </c>
      <c r="C17" s="15" t="s">
        <v>1199</v>
      </c>
      <c r="D17" s="15" t="s">
        <v>1206</v>
      </c>
      <c r="E17" s="15" t="s">
        <v>190</v>
      </c>
      <c r="F17" s="14" t="s">
        <v>194</v>
      </c>
      <c r="G17" s="16" t="s">
        <v>18</v>
      </c>
      <c r="H17" s="15" t="s">
        <v>213</v>
      </c>
      <c r="I17" s="14" t="s">
        <v>194</v>
      </c>
      <c r="J17" s="14" t="s">
        <v>18</v>
      </c>
      <c r="K17" s="14" t="s">
        <v>213</v>
      </c>
      <c r="L17" s="14" t="s">
        <v>194</v>
      </c>
      <c r="M17" s="14" t="s">
        <v>18</v>
      </c>
      <c r="N17" s="14" t="s">
        <v>213</v>
      </c>
      <c r="O17" s="15" t="s">
        <v>214</v>
      </c>
    </row>
    <row r="18" ht="60.2" customHeight="1" spans="1:15">
      <c r="A18" s="14" t="s">
        <v>1207</v>
      </c>
      <c r="B18" s="15" t="s">
        <v>1207</v>
      </c>
      <c r="C18" s="15" t="s">
        <v>1199</v>
      </c>
      <c r="D18" s="15" t="s">
        <v>1208</v>
      </c>
      <c r="E18" s="15" t="s">
        <v>190</v>
      </c>
      <c r="F18" s="14" t="s">
        <v>194</v>
      </c>
      <c r="G18" s="16" t="s">
        <v>18</v>
      </c>
      <c r="H18" s="15" t="s">
        <v>213</v>
      </c>
      <c r="I18" s="14" t="s">
        <v>194</v>
      </c>
      <c r="J18" s="14" t="s">
        <v>18</v>
      </c>
      <c r="K18" s="14" t="s">
        <v>213</v>
      </c>
      <c r="L18" s="14" t="s">
        <v>194</v>
      </c>
      <c r="M18" s="14" t="s">
        <v>18</v>
      </c>
      <c r="N18" s="14" t="s">
        <v>213</v>
      </c>
      <c r="O18" s="15" t="s">
        <v>214</v>
      </c>
    </row>
    <row r="19" ht="105.4" customHeight="1" spans="1:15">
      <c r="A19" s="14" t="s">
        <v>1209</v>
      </c>
      <c r="B19" s="15" t="s">
        <v>1209</v>
      </c>
      <c r="C19" s="15" t="s">
        <v>1199</v>
      </c>
      <c r="D19" s="15" t="s">
        <v>1210</v>
      </c>
      <c r="E19" s="15" t="s">
        <v>190</v>
      </c>
      <c r="F19" s="14" t="s">
        <v>194</v>
      </c>
      <c r="G19" s="16" t="s">
        <v>18</v>
      </c>
      <c r="H19" s="15" t="s">
        <v>213</v>
      </c>
      <c r="I19" s="14" t="s">
        <v>194</v>
      </c>
      <c r="J19" s="14" t="s">
        <v>18</v>
      </c>
      <c r="K19" s="14" t="s">
        <v>213</v>
      </c>
      <c r="L19" s="14" t="s">
        <v>194</v>
      </c>
      <c r="M19" s="14" t="s">
        <v>18</v>
      </c>
      <c r="N19" s="14" t="s">
        <v>213</v>
      </c>
      <c r="O19" s="15" t="s">
        <v>214</v>
      </c>
    </row>
    <row r="20" ht="60.2" customHeight="1" spans="1:15">
      <c r="A20" s="14" t="s">
        <v>1211</v>
      </c>
      <c r="B20" s="15" t="s">
        <v>1211</v>
      </c>
      <c r="C20" s="15" t="s">
        <v>1212</v>
      </c>
      <c r="D20" s="15" t="s">
        <v>1213</v>
      </c>
      <c r="E20" s="15" t="s">
        <v>190</v>
      </c>
      <c r="F20" s="14" t="s">
        <v>194</v>
      </c>
      <c r="G20" s="16" t="s">
        <v>18</v>
      </c>
      <c r="H20" s="15" t="s">
        <v>213</v>
      </c>
      <c r="I20" s="14" t="s">
        <v>194</v>
      </c>
      <c r="J20" s="14" t="s">
        <v>18</v>
      </c>
      <c r="K20" s="14" t="s">
        <v>213</v>
      </c>
      <c r="L20" s="14" t="s">
        <v>194</v>
      </c>
      <c r="M20" s="14" t="s">
        <v>18</v>
      </c>
      <c r="N20" s="14" t="s">
        <v>213</v>
      </c>
      <c r="O20" s="15" t="s">
        <v>214</v>
      </c>
    </row>
    <row r="21" ht="60.2" customHeight="1" spans="1:15">
      <c r="A21" s="14" t="s">
        <v>1214</v>
      </c>
      <c r="B21" s="15" t="s">
        <v>1214</v>
      </c>
      <c r="C21" s="15" t="s">
        <v>1215</v>
      </c>
      <c r="D21" s="15" t="s">
        <v>1216</v>
      </c>
      <c r="E21" s="15" t="s">
        <v>190</v>
      </c>
      <c r="F21" s="14" t="s">
        <v>194</v>
      </c>
      <c r="G21" s="16" t="s">
        <v>18</v>
      </c>
      <c r="H21" s="15" t="s">
        <v>213</v>
      </c>
      <c r="I21" s="14" t="s">
        <v>194</v>
      </c>
      <c r="J21" s="14" t="s">
        <v>18</v>
      </c>
      <c r="K21" s="14" t="s">
        <v>213</v>
      </c>
      <c r="L21" s="14" t="s">
        <v>194</v>
      </c>
      <c r="M21" s="14" t="s">
        <v>18</v>
      </c>
      <c r="N21" s="14" t="s">
        <v>213</v>
      </c>
      <c r="O21" s="15" t="s">
        <v>214</v>
      </c>
    </row>
    <row r="22" ht="60.2" customHeight="1" spans="1:15">
      <c r="A22" s="14" t="s">
        <v>1217</v>
      </c>
      <c r="B22" s="15" t="s">
        <v>1217</v>
      </c>
      <c r="C22" s="15" t="s">
        <v>1218</v>
      </c>
      <c r="D22" s="15" t="s">
        <v>1219</v>
      </c>
      <c r="E22" s="15" t="s">
        <v>190</v>
      </c>
      <c r="F22" s="14" t="s">
        <v>194</v>
      </c>
      <c r="G22" s="16" t="s">
        <v>18</v>
      </c>
      <c r="H22" s="15" t="s">
        <v>213</v>
      </c>
      <c r="I22" s="14" t="s">
        <v>194</v>
      </c>
      <c r="J22" s="14" t="s">
        <v>18</v>
      </c>
      <c r="K22" s="14" t="s">
        <v>213</v>
      </c>
      <c r="L22" s="14" t="s">
        <v>194</v>
      </c>
      <c r="M22" s="14" t="s">
        <v>18</v>
      </c>
      <c r="N22" s="14" t="s">
        <v>213</v>
      </c>
      <c r="O22" s="15" t="s">
        <v>214</v>
      </c>
    </row>
    <row r="23" ht="75.25" customHeight="1" spans="1:15">
      <c r="A23" s="14" t="s">
        <v>1220</v>
      </c>
      <c r="B23" s="15" t="s">
        <v>1220</v>
      </c>
      <c r="C23" s="15" t="s">
        <v>1221</v>
      </c>
      <c r="D23" s="15" t="s">
        <v>1222</v>
      </c>
      <c r="E23" s="15" t="s">
        <v>190</v>
      </c>
      <c r="F23" s="14" t="s">
        <v>194</v>
      </c>
      <c r="G23" s="16" t="s">
        <v>18</v>
      </c>
      <c r="H23" s="15" t="s">
        <v>213</v>
      </c>
      <c r="I23" s="14" t="s">
        <v>194</v>
      </c>
      <c r="J23" s="14" t="s">
        <v>18</v>
      </c>
      <c r="K23" s="14" t="s">
        <v>213</v>
      </c>
      <c r="L23" s="14" t="s">
        <v>194</v>
      </c>
      <c r="M23" s="14" t="s">
        <v>18</v>
      </c>
      <c r="N23" s="14" t="s">
        <v>213</v>
      </c>
      <c r="O23" s="15" t="s">
        <v>214</v>
      </c>
    </row>
    <row r="24" ht="45.15" customHeight="1" spans="1:15">
      <c r="A24" s="14" t="s">
        <v>1223</v>
      </c>
      <c r="B24" s="15" t="s">
        <v>1223</v>
      </c>
      <c r="C24" s="15" t="s">
        <v>1224</v>
      </c>
      <c r="D24" s="15" t="s">
        <v>1225</v>
      </c>
      <c r="E24" s="15" t="s">
        <v>190</v>
      </c>
      <c r="F24" s="14" t="s">
        <v>194</v>
      </c>
      <c r="G24" s="16" t="s">
        <v>18</v>
      </c>
      <c r="H24" s="15" t="s">
        <v>213</v>
      </c>
      <c r="I24" s="14" t="s">
        <v>194</v>
      </c>
      <c r="J24" s="14" t="s">
        <v>18</v>
      </c>
      <c r="K24" s="14" t="s">
        <v>213</v>
      </c>
      <c r="L24" s="14" t="s">
        <v>194</v>
      </c>
      <c r="M24" s="14" t="s">
        <v>18</v>
      </c>
      <c r="N24" s="14" t="s">
        <v>213</v>
      </c>
      <c r="O24" s="15" t="s">
        <v>214</v>
      </c>
    </row>
    <row r="25" ht="45.15" customHeight="1" spans="1:15">
      <c r="A25" s="14" t="s">
        <v>1226</v>
      </c>
      <c r="B25" s="15" t="s">
        <v>1227</v>
      </c>
      <c r="C25" s="15" t="s">
        <v>1228</v>
      </c>
      <c r="D25" s="15" t="s">
        <v>1229</v>
      </c>
      <c r="E25" s="15" t="s">
        <v>190</v>
      </c>
      <c r="F25" s="14" t="s">
        <v>194</v>
      </c>
      <c r="G25" s="16" t="s">
        <v>18</v>
      </c>
      <c r="H25" s="15" t="s">
        <v>213</v>
      </c>
      <c r="I25" s="14" t="s">
        <v>194</v>
      </c>
      <c r="J25" s="14" t="s">
        <v>18</v>
      </c>
      <c r="K25" s="14" t="s">
        <v>213</v>
      </c>
      <c r="L25" s="14" t="s">
        <v>194</v>
      </c>
      <c r="M25" s="14" t="s">
        <v>18</v>
      </c>
      <c r="N25" s="14" t="s">
        <v>213</v>
      </c>
      <c r="O25" s="15" t="s">
        <v>214</v>
      </c>
    </row>
    <row r="26" ht="45.15" customHeight="1" spans="1:15">
      <c r="A26" s="14" t="s">
        <v>1230</v>
      </c>
      <c r="B26" s="15" t="s">
        <v>1230</v>
      </c>
      <c r="C26" s="15" t="s">
        <v>1231</v>
      </c>
      <c r="D26" s="15" t="s">
        <v>1232</v>
      </c>
      <c r="E26" s="15" t="s">
        <v>190</v>
      </c>
      <c r="F26" s="14" t="s">
        <v>194</v>
      </c>
      <c r="G26" s="16" t="s">
        <v>18</v>
      </c>
      <c r="H26" s="15" t="s">
        <v>213</v>
      </c>
      <c r="I26" s="14" t="s">
        <v>194</v>
      </c>
      <c r="J26" s="14" t="s">
        <v>18</v>
      </c>
      <c r="K26" s="14" t="s">
        <v>213</v>
      </c>
      <c r="L26" s="14" t="s">
        <v>194</v>
      </c>
      <c r="M26" s="14" t="s">
        <v>18</v>
      </c>
      <c r="N26" s="14" t="s">
        <v>213</v>
      </c>
      <c r="O26" s="15" t="s">
        <v>214</v>
      </c>
    </row>
    <row r="27" ht="60.2" customHeight="1" spans="1:15">
      <c r="A27" s="14" t="s">
        <v>1233</v>
      </c>
      <c r="B27" s="15" t="s">
        <v>1233</v>
      </c>
      <c r="C27" s="15" t="s">
        <v>1234</v>
      </c>
      <c r="D27" s="15" t="s">
        <v>1235</v>
      </c>
      <c r="E27" s="15" t="s">
        <v>190</v>
      </c>
      <c r="F27" s="14" t="s">
        <v>194</v>
      </c>
      <c r="G27" s="16" t="s">
        <v>18</v>
      </c>
      <c r="H27" s="15" t="s">
        <v>213</v>
      </c>
      <c r="I27" s="14" t="s">
        <v>194</v>
      </c>
      <c r="J27" s="14" t="s">
        <v>18</v>
      </c>
      <c r="K27" s="14" t="s">
        <v>213</v>
      </c>
      <c r="L27" s="14" t="s">
        <v>194</v>
      </c>
      <c r="M27" s="14" t="s">
        <v>18</v>
      </c>
      <c r="N27" s="14" t="s">
        <v>213</v>
      </c>
      <c r="O27" s="15" t="s">
        <v>214</v>
      </c>
    </row>
    <row r="28" ht="45.15" customHeight="1" spans="1:15">
      <c r="A28" s="14" t="s">
        <v>1236</v>
      </c>
      <c r="B28" s="15" t="s">
        <v>1236</v>
      </c>
      <c r="C28" s="15" t="s">
        <v>1237</v>
      </c>
      <c r="D28" s="15" t="s">
        <v>1238</v>
      </c>
      <c r="E28" s="15" t="s">
        <v>190</v>
      </c>
      <c r="F28" s="14" t="s">
        <v>194</v>
      </c>
      <c r="G28" s="16" t="s">
        <v>18</v>
      </c>
      <c r="H28" s="15" t="s">
        <v>213</v>
      </c>
      <c r="I28" s="14" t="s">
        <v>194</v>
      </c>
      <c r="J28" s="14" t="s">
        <v>18</v>
      </c>
      <c r="K28" s="14" t="s">
        <v>213</v>
      </c>
      <c r="L28" s="14" t="s">
        <v>194</v>
      </c>
      <c r="M28" s="14" t="s">
        <v>18</v>
      </c>
      <c r="N28" s="14" t="s">
        <v>213</v>
      </c>
      <c r="O28" s="15" t="s">
        <v>214</v>
      </c>
    </row>
    <row r="29" ht="45.15" customHeight="1" spans="1:15">
      <c r="A29" s="14" t="s">
        <v>1239</v>
      </c>
      <c r="B29" s="15" t="s">
        <v>1239</v>
      </c>
      <c r="C29" s="15" t="s">
        <v>1240</v>
      </c>
      <c r="D29" s="15" t="s">
        <v>1241</v>
      </c>
      <c r="E29" s="15" t="s">
        <v>190</v>
      </c>
      <c r="F29" s="14" t="s">
        <v>194</v>
      </c>
      <c r="G29" s="16" t="s">
        <v>18</v>
      </c>
      <c r="H29" s="15" t="s">
        <v>213</v>
      </c>
      <c r="I29" s="14" t="s">
        <v>194</v>
      </c>
      <c r="J29" s="14" t="s">
        <v>18</v>
      </c>
      <c r="K29" s="14" t="s">
        <v>213</v>
      </c>
      <c r="L29" s="14" t="s">
        <v>194</v>
      </c>
      <c r="M29" s="14" t="s">
        <v>18</v>
      </c>
      <c r="N29" s="14" t="s">
        <v>213</v>
      </c>
      <c r="O29" s="15" t="s">
        <v>214</v>
      </c>
    </row>
    <row r="30" ht="60.2" customHeight="1" spans="1:15">
      <c r="A30" s="14" t="s">
        <v>1242</v>
      </c>
      <c r="B30" s="15" t="s">
        <v>1242</v>
      </c>
      <c r="C30" s="15" t="s">
        <v>1243</v>
      </c>
      <c r="D30" s="15" t="s">
        <v>1244</v>
      </c>
      <c r="E30" s="15" t="s">
        <v>190</v>
      </c>
      <c r="F30" s="14" t="s">
        <v>194</v>
      </c>
      <c r="G30" s="16" t="s">
        <v>18</v>
      </c>
      <c r="H30" s="15" t="s">
        <v>213</v>
      </c>
      <c r="I30" s="14" t="s">
        <v>194</v>
      </c>
      <c r="J30" s="14" t="s">
        <v>18</v>
      </c>
      <c r="K30" s="14" t="s">
        <v>213</v>
      </c>
      <c r="L30" s="14" t="s">
        <v>194</v>
      </c>
      <c r="M30" s="14" t="s">
        <v>18</v>
      </c>
      <c r="N30" s="14" t="s">
        <v>213</v>
      </c>
      <c r="O30" s="15" t="s">
        <v>214</v>
      </c>
    </row>
    <row r="31" ht="45.15" customHeight="1" spans="1:15">
      <c r="A31" s="14" t="s">
        <v>1245</v>
      </c>
      <c r="B31" s="15" t="s">
        <v>1245</v>
      </c>
      <c r="C31" s="15" t="s">
        <v>1246</v>
      </c>
      <c r="D31" s="15" t="s">
        <v>1247</v>
      </c>
      <c r="E31" s="15" t="s">
        <v>190</v>
      </c>
      <c r="F31" s="14" t="s">
        <v>194</v>
      </c>
      <c r="G31" s="16" t="s">
        <v>18</v>
      </c>
      <c r="H31" s="15" t="s">
        <v>213</v>
      </c>
      <c r="I31" s="14" t="s">
        <v>194</v>
      </c>
      <c r="J31" s="14" t="s">
        <v>18</v>
      </c>
      <c r="K31" s="14" t="s">
        <v>213</v>
      </c>
      <c r="L31" s="14" t="s">
        <v>194</v>
      </c>
      <c r="M31" s="14" t="s">
        <v>18</v>
      </c>
      <c r="N31" s="14" t="s">
        <v>213</v>
      </c>
      <c r="O31" s="15" t="s">
        <v>214</v>
      </c>
    </row>
    <row r="32" ht="45.15" customHeight="1" spans="1:15">
      <c r="A32" s="14" t="s">
        <v>1248</v>
      </c>
      <c r="B32" s="15" t="s">
        <v>1248</v>
      </c>
      <c r="C32" s="15" t="s">
        <v>1249</v>
      </c>
      <c r="D32" s="15" t="s">
        <v>1250</v>
      </c>
      <c r="E32" s="15" t="s">
        <v>190</v>
      </c>
      <c r="F32" s="14" t="s">
        <v>194</v>
      </c>
      <c r="G32" s="16" t="s">
        <v>18</v>
      </c>
      <c r="H32" s="15" t="s">
        <v>213</v>
      </c>
      <c r="I32" s="14" t="s">
        <v>194</v>
      </c>
      <c r="J32" s="14" t="s">
        <v>18</v>
      </c>
      <c r="K32" s="14" t="s">
        <v>213</v>
      </c>
      <c r="L32" s="14" t="s">
        <v>194</v>
      </c>
      <c r="M32" s="14" t="s">
        <v>18</v>
      </c>
      <c r="N32" s="14" t="s">
        <v>213</v>
      </c>
      <c r="O32" s="15" t="s">
        <v>214</v>
      </c>
    </row>
    <row r="33" ht="60.2" customHeight="1" spans="1:15">
      <c r="A33" s="14" t="s">
        <v>1251</v>
      </c>
      <c r="B33" s="15" t="s">
        <v>1251</v>
      </c>
      <c r="C33" s="15" t="s">
        <v>1252</v>
      </c>
      <c r="D33" s="15" t="s">
        <v>1253</v>
      </c>
      <c r="E33" s="15" t="s">
        <v>190</v>
      </c>
      <c r="F33" s="14" t="s">
        <v>194</v>
      </c>
      <c r="G33" s="16" t="s">
        <v>18</v>
      </c>
      <c r="H33" s="15" t="s">
        <v>213</v>
      </c>
      <c r="I33" s="14" t="s">
        <v>194</v>
      </c>
      <c r="J33" s="14" t="s">
        <v>18</v>
      </c>
      <c r="K33" s="14" t="s">
        <v>213</v>
      </c>
      <c r="L33" s="14" t="s">
        <v>194</v>
      </c>
      <c r="M33" s="14" t="s">
        <v>18</v>
      </c>
      <c r="N33" s="14" t="s">
        <v>213</v>
      </c>
      <c r="O33" s="15" t="s">
        <v>214</v>
      </c>
    </row>
    <row r="34" ht="60.2" customHeight="1" spans="1:15">
      <c r="A34" s="14" t="s">
        <v>1254</v>
      </c>
      <c r="B34" s="15" t="s">
        <v>1254</v>
      </c>
      <c r="C34" s="15" t="s">
        <v>1255</v>
      </c>
      <c r="D34" s="15" t="s">
        <v>1256</v>
      </c>
      <c r="E34" s="15" t="s">
        <v>190</v>
      </c>
      <c r="F34" s="14" t="s">
        <v>194</v>
      </c>
      <c r="G34" s="16" t="s">
        <v>18</v>
      </c>
      <c r="H34" s="15" t="s">
        <v>213</v>
      </c>
      <c r="I34" s="14" t="s">
        <v>194</v>
      </c>
      <c r="J34" s="14" t="s">
        <v>18</v>
      </c>
      <c r="K34" s="14" t="s">
        <v>213</v>
      </c>
      <c r="L34" s="14" t="s">
        <v>194</v>
      </c>
      <c r="M34" s="14" t="s">
        <v>18</v>
      </c>
      <c r="N34" s="14" t="s">
        <v>213</v>
      </c>
      <c r="O34" s="15" t="s">
        <v>214</v>
      </c>
    </row>
    <row r="35" ht="45.15" customHeight="1" spans="1:15">
      <c r="A35" s="14" t="s">
        <v>1257</v>
      </c>
      <c r="B35" s="15" t="s">
        <v>1257</v>
      </c>
      <c r="C35" s="15" t="s">
        <v>1258</v>
      </c>
      <c r="D35" s="15" t="s">
        <v>1259</v>
      </c>
      <c r="E35" s="15" t="s">
        <v>190</v>
      </c>
      <c r="F35" s="14" t="s">
        <v>194</v>
      </c>
      <c r="G35" s="16" t="s">
        <v>18</v>
      </c>
      <c r="H35" s="15" t="s">
        <v>213</v>
      </c>
      <c r="I35" s="14" t="s">
        <v>194</v>
      </c>
      <c r="J35" s="14" t="s">
        <v>18</v>
      </c>
      <c r="K35" s="14" t="s">
        <v>213</v>
      </c>
      <c r="L35" s="14" t="s">
        <v>194</v>
      </c>
      <c r="M35" s="14" t="s">
        <v>18</v>
      </c>
      <c r="N35" s="14" t="s">
        <v>213</v>
      </c>
      <c r="O35" s="15" t="s">
        <v>214</v>
      </c>
    </row>
    <row r="36" ht="60.2" customHeight="1" spans="1:15">
      <c r="A36" s="14" t="s">
        <v>1260</v>
      </c>
      <c r="B36" s="15" t="s">
        <v>1260</v>
      </c>
      <c r="C36" s="15" t="s">
        <v>1261</v>
      </c>
      <c r="D36" s="15" t="s">
        <v>1262</v>
      </c>
      <c r="E36" s="15" t="s">
        <v>190</v>
      </c>
      <c r="F36" s="14" t="s">
        <v>194</v>
      </c>
      <c r="G36" s="16" t="s">
        <v>18</v>
      </c>
      <c r="H36" s="15" t="s">
        <v>213</v>
      </c>
      <c r="I36" s="14" t="s">
        <v>194</v>
      </c>
      <c r="J36" s="14" t="s">
        <v>18</v>
      </c>
      <c r="K36" s="14" t="s">
        <v>213</v>
      </c>
      <c r="L36" s="14" t="s">
        <v>194</v>
      </c>
      <c r="M36" s="14" t="s">
        <v>18</v>
      </c>
      <c r="N36" s="14" t="s">
        <v>213</v>
      </c>
      <c r="O36" s="15" t="s">
        <v>214</v>
      </c>
    </row>
    <row r="37" ht="90.35" customHeight="1" spans="1:15">
      <c r="A37" s="14" t="s">
        <v>1263</v>
      </c>
      <c r="B37" s="15" t="s">
        <v>1263</v>
      </c>
      <c r="C37" s="15" t="s">
        <v>1264</v>
      </c>
      <c r="D37" s="15" t="s">
        <v>1265</v>
      </c>
      <c r="E37" s="15" t="s">
        <v>190</v>
      </c>
      <c r="F37" s="14" t="s">
        <v>194</v>
      </c>
      <c r="G37" s="16" t="s">
        <v>18</v>
      </c>
      <c r="H37" s="15" t="s">
        <v>213</v>
      </c>
      <c r="I37" s="14" t="s">
        <v>194</v>
      </c>
      <c r="J37" s="14" t="s">
        <v>18</v>
      </c>
      <c r="K37" s="14" t="s">
        <v>213</v>
      </c>
      <c r="L37" s="14" t="s">
        <v>194</v>
      </c>
      <c r="M37" s="14" t="s">
        <v>18</v>
      </c>
      <c r="N37" s="14" t="s">
        <v>213</v>
      </c>
      <c r="O37" s="15" t="s">
        <v>214</v>
      </c>
    </row>
    <row r="38" ht="75.25" customHeight="1" spans="1:15">
      <c r="A38" s="14" t="s">
        <v>1266</v>
      </c>
      <c r="B38" s="15" t="s">
        <v>1266</v>
      </c>
      <c r="C38" s="15" t="s">
        <v>1267</v>
      </c>
      <c r="D38" s="15" t="s">
        <v>1268</v>
      </c>
      <c r="E38" s="15" t="s">
        <v>190</v>
      </c>
      <c r="F38" s="14" t="s">
        <v>194</v>
      </c>
      <c r="G38" s="16" t="s">
        <v>18</v>
      </c>
      <c r="H38" s="15" t="s">
        <v>213</v>
      </c>
      <c r="I38" s="14" t="s">
        <v>194</v>
      </c>
      <c r="J38" s="14" t="s">
        <v>18</v>
      </c>
      <c r="K38" s="14" t="s">
        <v>213</v>
      </c>
      <c r="L38" s="14" t="s">
        <v>194</v>
      </c>
      <c r="M38" s="14" t="s">
        <v>18</v>
      </c>
      <c r="N38" s="14" t="s">
        <v>213</v>
      </c>
      <c r="O38" s="15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4"/>
  <sheetViews>
    <sheetView topLeftCell="A10" workbookViewId="0">
      <selection activeCell="J48" sqref="J48"/>
    </sheetView>
  </sheetViews>
  <sheetFormatPr defaultColWidth="9" defaultRowHeight="15.05" customHeight="1" outlineLevelCol="6"/>
  <cols>
    <col min="1" max="1" width="20.7457627118644" customWidth="1"/>
    <col min="2" max="2" width="26" customWidth="1"/>
    <col min="3" max="5" width="10" customWidth="1"/>
    <col min="6" max="6" width="8" customWidth="1"/>
    <col min="7" max="7" width="12" customWidth="1"/>
  </cols>
  <sheetData>
    <row r="1" ht="17" customHeight="1" spans="1:7">
      <c r="A1" s="1" t="s">
        <v>1269</v>
      </c>
    </row>
    <row r="3" spans="1:7">
      <c r="A3" s="2" t="s">
        <v>1</v>
      </c>
      <c r="B3" s="3" t="s">
        <v>2</v>
      </c>
      <c r="C3" s="2" t="s">
        <v>3</v>
      </c>
      <c r="D3" s="3" t="s">
        <v>4</v>
      </c>
    </row>
    <row r="4" spans="1:7">
      <c r="A4" s="2" t="s">
        <v>5</v>
      </c>
      <c r="B4" s="3" t="s">
        <v>6</v>
      </c>
    </row>
    <row r="5" spans="1:7">
      <c r="A5" s="2" t="s">
        <v>9</v>
      </c>
      <c r="B5" s="3" t="s">
        <v>1270</v>
      </c>
      <c r="C5" s="2" t="s">
        <v>7</v>
      </c>
      <c r="D5" s="3" t="s">
        <v>8</v>
      </c>
    </row>
    <row r="10" ht="24.85" customHeight="1" spans="1:7">
      <c r="A10" s="4" t="s">
        <v>89</v>
      </c>
      <c r="B10" s="4" t="s">
        <v>91</v>
      </c>
      <c r="C10" s="4" t="s">
        <v>194</v>
      </c>
      <c r="D10" s="4" t="s">
        <v>195</v>
      </c>
      <c r="E10" s="4" t="s">
        <v>196</v>
      </c>
      <c r="F10" s="4" t="s">
        <v>1271</v>
      </c>
      <c r="G10" s="4" t="s">
        <v>1272</v>
      </c>
    </row>
    <row r="11" spans="1:7">
      <c r="A11" s="5">
        <v>1</v>
      </c>
      <c r="B11" s="6" t="s">
        <v>19</v>
      </c>
      <c r="C11" s="5">
        <f ca="1" t="shared" ref="C11:C43" si="0">INDIRECT("'"&amp;B11&amp;"'!B5")</f>
        <v>8</v>
      </c>
      <c r="D11" s="5">
        <f ca="1" t="shared" ref="D11:D43" si="1">INDIRECT("'"&amp;B11&amp;"'!C5")</f>
        <v>0</v>
      </c>
      <c r="E11" s="5">
        <f ca="1" t="shared" ref="E11:E43" si="2">INDIRECT("'"&amp;B11&amp;"'!D5")</f>
        <v>0</v>
      </c>
      <c r="F11" s="5">
        <v>0</v>
      </c>
      <c r="G11" s="5">
        <f ca="1" t="shared" ref="G11:G43" si="3">INDIRECT("'"&amp;B11&amp;"'!B3")</f>
        <v>8</v>
      </c>
    </row>
    <row r="12" spans="1:7">
      <c r="A12" s="5">
        <v>2</v>
      </c>
      <c r="B12" s="6" t="s">
        <v>22</v>
      </c>
      <c r="C12" s="5">
        <f ca="1" t="shared" si="0"/>
        <v>8</v>
      </c>
      <c r="D12" s="5">
        <f ca="1" t="shared" si="1"/>
        <v>0</v>
      </c>
      <c r="E12" s="5">
        <f ca="1" t="shared" si="2"/>
        <v>0</v>
      </c>
      <c r="F12" s="5">
        <v>0</v>
      </c>
      <c r="G12" s="5">
        <f ca="1" t="shared" si="3"/>
        <v>8</v>
      </c>
    </row>
    <row r="13" spans="1:7">
      <c r="A13" s="5">
        <v>3</v>
      </c>
      <c r="B13" s="6" t="s">
        <v>24</v>
      </c>
      <c r="C13" s="5">
        <f ca="1" t="shared" si="0"/>
        <v>5</v>
      </c>
      <c r="D13" s="5">
        <f ca="1" t="shared" si="1"/>
        <v>0</v>
      </c>
      <c r="E13" s="5">
        <f ca="1" t="shared" si="2"/>
        <v>0</v>
      </c>
      <c r="F13" s="5">
        <v>0</v>
      </c>
      <c r="G13" s="5">
        <f ca="1" t="shared" si="3"/>
        <v>5</v>
      </c>
    </row>
    <row r="14" spans="1:7">
      <c r="A14" s="5">
        <v>4</v>
      </c>
      <c r="B14" s="6" t="s">
        <v>26</v>
      </c>
      <c r="C14" s="5">
        <f ca="1" t="shared" si="0"/>
        <v>9</v>
      </c>
      <c r="D14" s="5">
        <f ca="1" t="shared" si="1"/>
        <v>0</v>
      </c>
      <c r="E14" s="5">
        <f ca="1" t="shared" si="2"/>
        <v>0</v>
      </c>
      <c r="F14" s="5">
        <v>0</v>
      </c>
      <c r="G14" s="5">
        <f ca="1" t="shared" si="3"/>
        <v>9</v>
      </c>
    </row>
    <row r="15" spans="1:7">
      <c r="A15" s="5">
        <v>5</v>
      </c>
      <c r="B15" s="6" t="s">
        <v>28</v>
      </c>
      <c r="C15" s="5">
        <f ca="1" t="shared" si="0"/>
        <v>9</v>
      </c>
      <c r="D15" s="5">
        <f ca="1" t="shared" si="1"/>
        <v>0</v>
      </c>
      <c r="E15" s="5">
        <f ca="1" t="shared" si="2"/>
        <v>0</v>
      </c>
      <c r="F15" s="5">
        <v>0</v>
      </c>
      <c r="G15" s="5">
        <f ca="1" t="shared" si="3"/>
        <v>9</v>
      </c>
    </row>
    <row r="16" spans="1:7">
      <c r="A16" s="5">
        <v>6</v>
      </c>
      <c r="B16" s="6" t="s">
        <v>30</v>
      </c>
      <c r="C16" s="5">
        <f ca="1" t="shared" si="0"/>
        <v>4</v>
      </c>
      <c r="D16" s="5">
        <f ca="1" t="shared" si="1"/>
        <v>0</v>
      </c>
      <c r="E16" s="5">
        <f ca="1" t="shared" si="2"/>
        <v>0</v>
      </c>
      <c r="F16" s="5">
        <v>0</v>
      </c>
      <c r="G16" s="5">
        <f ca="1" t="shared" si="3"/>
        <v>4</v>
      </c>
    </row>
    <row r="17" spans="1:7">
      <c r="A17" s="5">
        <v>7</v>
      </c>
      <c r="B17" s="6" t="s">
        <v>32</v>
      </c>
      <c r="C17" s="5">
        <f ca="1" t="shared" si="0"/>
        <v>8</v>
      </c>
      <c r="D17" s="5">
        <f ca="1" t="shared" si="1"/>
        <v>0</v>
      </c>
      <c r="E17" s="5">
        <f ca="1" t="shared" si="2"/>
        <v>0</v>
      </c>
      <c r="F17" s="5">
        <v>0</v>
      </c>
      <c r="G17" s="5">
        <f ca="1" t="shared" si="3"/>
        <v>8</v>
      </c>
    </row>
    <row r="18" spans="1:7">
      <c r="A18" s="5">
        <v>8</v>
      </c>
      <c r="B18" s="6" t="s">
        <v>34</v>
      </c>
      <c r="C18" s="5">
        <f ca="1" t="shared" si="0"/>
        <v>2</v>
      </c>
      <c r="D18" s="5">
        <f ca="1" t="shared" si="1"/>
        <v>0</v>
      </c>
      <c r="E18" s="5">
        <f ca="1" t="shared" si="2"/>
        <v>0</v>
      </c>
      <c r="F18" s="5">
        <v>0</v>
      </c>
      <c r="G18" s="5">
        <f ca="1" t="shared" si="3"/>
        <v>2</v>
      </c>
    </row>
    <row r="19" spans="1:7">
      <c r="A19" s="5">
        <v>9</v>
      </c>
      <c r="B19" s="6" t="s">
        <v>36</v>
      </c>
      <c r="C19" s="5">
        <f ca="1" t="shared" si="0"/>
        <v>8</v>
      </c>
      <c r="D19" s="5">
        <f ca="1" t="shared" si="1"/>
        <v>0</v>
      </c>
      <c r="E19" s="5">
        <f ca="1" t="shared" si="2"/>
        <v>0</v>
      </c>
      <c r="F19" s="5">
        <v>0</v>
      </c>
      <c r="G19" s="5">
        <f ca="1" t="shared" si="3"/>
        <v>8</v>
      </c>
    </row>
    <row r="20" spans="1:7">
      <c r="A20" s="5">
        <v>10</v>
      </c>
      <c r="B20" s="6" t="s">
        <v>38</v>
      </c>
      <c r="C20" s="5">
        <f ca="1" t="shared" si="0"/>
        <v>11</v>
      </c>
      <c r="D20" s="5">
        <f ca="1" t="shared" si="1"/>
        <v>0</v>
      </c>
      <c r="E20" s="5">
        <f ca="1" t="shared" si="2"/>
        <v>0</v>
      </c>
      <c r="F20" s="5">
        <v>0</v>
      </c>
      <c r="G20" s="5">
        <f ca="1" t="shared" si="3"/>
        <v>11</v>
      </c>
    </row>
    <row r="21" spans="1:7">
      <c r="A21" s="5">
        <v>11</v>
      </c>
      <c r="B21" s="6" t="s">
        <v>40</v>
      </c>
      <c r="C21" s="5">
        <f ca="1" t="shared" si="0"/>
        <v>4</v>
      </c>
      <c r="D21" s="5">
        <f ca="1" t="shared" si="1"/>
        <v>0</v>
      </c>
      <c r="E21" s="5">
        <f ca="1" t="shared" si="2"/>
        <v>0</v>
      </c>
      <c r="F21" s="5">
        <v>0</v>
      </c>
      <c r="G21" s="5">
        <f ca="1" t="shared" si="3"/>
        <v>4</v>
      </c>
    </row>
    <row r="22" spans="1:7">
      <c r="A22" s="5">
        <v>12</v>
      </c>
      <c r="B22" s="6" t="s">
        <v>42</v>
      </c>
      <c r="C22" s="5">
        <f ca="1" t="shared" si="0"/>
        <v>6</v>
      </c>
      <c r="D22" s="5">
        <f ca="1" t="shared" si="1"/>
        <v>0</v>
      </c>
      <c r="E22" s="5">
        <f ca="1" t="shared" si="2"/>
        <v>0</v>
      </c>
      <c r="F22" s="5">
        <v>0</v>
      </c>
      <c r="G22" s="5">
        <f ca="1" t="shared" si="3"/>
        <v>6</v>
      </c>
    </row>
    <row r="23" spans="1:7">
      <c r="A23" s="5">
        <v>13</v>
      </c>
      <c r="B23" s="6" t="s">
        <v>44</v>
      </c>
      <c r="C23" s="5">
        <f ca="1" t="shared" si="0"/>
        <v>5</v>
      </c>
      <c r="D23" s="5">
        <f ca="1" t="shared" si="1"/>
        <v>0</v>
      </c>
      <c r="E23" s="5">
        <f ca="1" t="shared" si="2"/>
        <v>0</v>
      </c>
      <c r="F23" s="5">
        <v>0</v>
      </c>
      <c r="G23" s="5">
        <f ca="1" t="shared" si="3"/>
        <v>5</v>
      </c>
    </row>
    <row r="24" spans="1:7">
      <c r="A24" s="5">
        <v>14</v>
      </c>
      <c r="B24" s="6" t="s">
        <v>46</v>
      </c>
      <c r="C24" s="5">
        <f ca="1" t="shared" si="0"/>
        <v>14</v>
      </c>
      <c r="D24" s="5">
        <f ca="1" t="shared" si="1"/>
        <v>0</v>
      </c>
      <c r="E24" s="5">
        <f ca="1" t="shared" si="2"/>
        <v>0</v>
      </c>
      <c r="F24" s="5">
        <v>0</v>
      </c>
      <c r="G24" s="5">
        <f ca="1" t="shared" si="3"/>
        <v>14</v>
      </c>
    </row>
    <row r="25" spans="1:7">
      <c r="A25" s="5">
        <v>15</v>
      </c>
      <c r="B25" s="6" t="s">
        <v>48</v>
      </c>
      <c r="C25" s="5">
        <f ca="1" t="shared" si="0"/>
        <v>2</v>
      </c>
      <c r="D25" s="5">
        <f ca="1" t="shared" si="1"/>
        <v>0</v>
      </c>
      <c r="E25" s="5">
        <f ca="1" t="shared" si="2"/>
        <v>0</v>
      </c>
      <c r="F25" s="5">
        <v>0</v>
      </c>
      <c r="G25" s="5">
        <f ca="1" t="shared" si="3"/>
        <v>2</v>
      </c>
    </row>
    <row r="26" spans="1:7">
      <c r="A26" s="5">
        <v>16</v>
      </c>
      <c r="B26" s="6" t="s">
        <v>50</v>
      </c>
      <c r="C26" s="5">
        <f ca="1" t="shared" si="0"/>
        <v>3</v>
      </c>
      <c r="D26" s="5">
        <f ca="1" t="shared" si="1"/>
        <v>0</v>
      </c>
      <c r="E26" s="5">
        <f ca="1" t="shared" si="2"/>
        <v>0</v>
      </c>
      <c r="F26" s="5">
        <v>0</v>
      </c>
      <c r="G26" s="5">
        <f ca="1" t="shared" si="3"/>
        <v>3</v>
      </c>
    </row>
    <row r="27" spans="1:7">
      <c r="A27" s="5">
        <v>17</v>
      </c>
      <c r="B27" s="6" t="s">
        <v>52</v>
      </c>
      <c r="C27" s="5">
        <f ca="1" t="shared" si="0"/>
        <v>5</v>
      </c>
      <c r="D27" s="5">
        <f ca="1" t="shared" si="1"/>
        <v>0</v>
      </c>
      <c r="E27" s="5">
        <f ca="1" t="shared" si="2"/>
        <v>0</v>
      </c>
      <c r="F27" s="5">
        <v>0</v>
      </c>
      <c r="G27" s="5">
        <f ca="1" t="shared" si="3"/>
        <v>5</v>
      </c>
    </row>
    <row r="28" spans="1:7">
      <c r="A28" s="5">
        <v>18</v>
      </c>
      <c r="B28" s="6" t="s">
        <v>54</v>
      </c>
      <c r="C28" s="5">
        <f ca="1" t="shared" si="0"/>
        <v>8</v>
      </c>
      <c r="D28" s="5">
        <f ca="1" t="shared" si="1"/>
        <v>0</v>
      </c>
      <c r="E28" s="5">
        <f ca="1" t="shared" si="2"/>
        <v>0</v>
      </c>
      <c r="F28" s="5">
        <v>0</v>
      </c>
      <c r="G28" s="5">
        <f ca="1" t="shared" si="3"/>
        <v>8</v>
      </c>
    </row>
    <row r="29" spans="1:7">
      <c r="A29" s="5">
        <v>19</v>
      </c>
      <c r="B29" s="6" t="s">
        <v>56</v>
      </c>
      <c r="C29" s="5">
        <f ca="1" t="shared" si="0"/>
        <v>2</v>
      </c>
      <c r="D29" s="5">
        <f ca="1" t="shared" si="1"/>
        <v>0</v>
      </c>
      <c r="E29" s="5">
        <f ca="1" t="shared" si="2"/>
        <v>0</v>
      </c>
      <c r="F29" s="5">
        <v>0</v>
      </c>
      <c r="G29" s="5">
        <f ca="1" t="shared" si="3"/>
        <v>2</v>
      </c>
    </row>
    <row r="30" spans="1:7">
      <c r="A30" s="5">
        <v>20</v>
      </c>
      <c r="B30" s="6" t="s">
        <v>58</v>
      </c>
      <c r="C30" s="5">
        <f ca="1" t="shared" si="0"/>
        <v>11</v>
      </c>
      <c r="D30" s="5">
        <f ca="1" t="shared" si="1"/>
        <v>0</v>
      </c>
      <c r="E30" s="5">
        <f ca="1" t="shared" si="2"/>
        <v>0</v>
      </c>
      <c r="F30" s="5">
        <v>0</v>
      </c>
      <c r="G30" s="5">
        <f ca="1" t="shared" si="3"/>
        <v>11</v>
      </c>
    </row>
    <row r="31" spans="1:7">
      <c r="A31" s="5">
        <v>21</v>
      </c>
      <c r="B31" s="6" t="s">
        <v>60</v>
      </c>
      <c r="C31" s="5">
        <f ca="1" t="shared" si="0"/>
        <v>3</v>
      </c>
      <c r="D31" s="5">
        <f ca="1" t="shared" si="1"/>
        <v>0</v>
      </c>
      <c r="E31" s="5">
        <f ca="1" t="shared" si="2"/>
        <v>0</v>
      </c>
      <c r="F31" s="5">
        <v>0</v>
      </c>
      <c r="G31" s="5">
        <f ca="1" t="shared" si="3"/>
        <v>3</v>
      </c>
    </row>
    <row r="32" spans="1:7">
      <c r="A32" s="5">
        <v>22</v>
      </c>
      <c r="B32" s="6" t="s">
        <v>62</v>
      </c>
      <c r="C32" s="5">
        <f ca="1" t="shared" si="0"/>
        <v>2</v>
      </c>
      <c r="D32" s="5">
        <f ca="1" t="shared" si="1"/>
        <v>0</v>
      </c>
      <c r="E32" s="5">
        <f ca="1" t="shared" si="2"/>
        <v>0</v>
      </c>
      <c r="F32" s="5">
        <v>0</v>
      </c>
      <c r="G32" s="5">
        <f ca="1" t="shared" si="3"/>
        <v>2</v>
      </c>
    </row>
    <row r="33" spans="1:7">
      <c r="A33" s="5">
        <v>23</v>
      </c>
      <c r="B33" s="6" t="s">
        <v>64</v>
      </c>
      <c r="C33" s="5">
        <f ca="1" t="shared" si="0"/>
        <v>1</v>
      </c>
      <c r="D33" s="5">
        <f ca="1" t="shared" si="1"/>
        <v>0</v>
      </c>
      <c r="E33" s="5">
        <f ca="1" t="shared" si="2"/>
        <v>0</v>
      </c>
      <c r="F33" s="5">
        <v>0</v>
      </c>
      <c r="G33" s="5">
        <f ca="1" t="shared" si="3"/>
        <v>1</v>
      </c>
    </row>
    <row r="34" spans="1:7">
      <c r="A34" s="5">
        <v>24</v>
      </c>
      <c r="B34" s="6" t="s">
        <v>66</v>
      </c>
      <c r="C34" s="5">
        <f ca="1" t="shared" si="0"/>
        <v>1</v>
      </c>
      <c r="D34" s="5">
        <f ca="1" t="shared" si="1"/>
        <v>0</v>
      </c>
      <c r="E34" s="5">
        <f ca="1" t="shared" si="2"/>
        <v>0</v>
      </c>
      <c r="F34" s="5">
        <v>0</v>
      </c>
      <c r="G34" s="5">
        <f ca="1" t="shared" si="3"/>
        <v>1</v>
      </c>
    </row>
    <row r="35" spans="1:7">
      <c r="A35" s="5">
        <v>25</v>
      </c>
      <c r="B35" s="6" t="s">
        <v>68</v>
      </c>
      <c r="C35" s="5">
        <f ca="1" t="shared" si="0"/>
        <v>4</v>
      </c>
      <c r="D35" s="5">
        <f ca="1" t="shared" si="1"/>
        <v>0</v>
      </c>
      <c r="E35" s="5">
        <f ca="1" t="shared" si="2"/>
        <v>0</v>
      </c>
      <c r="F35" s="5">
        <v>0</v>
      </c>
      <c r="G35" s="5">
        <f ca="1" t="shared" si="3"/>
        <v>4</v>
      </c>
    </row>
    <row r="36" spans="1:7">
      <c r="A36" s="5">
        <v>26</v>
      </c>
      <c r="B36" s="6" t="s">
        <v>70</v>
      </c>
      <c r="C36" s="5">
        <f ca="1" t="shared" si="0"/>
        <v>2</v>
      </c>
      <c r="D36" s="5">
        <f ca="1" t="shared" si="1"/>
        <v>0</v>
      </c>
      <c r="E36" s="5">
        <f ca="1" t="shared" si="2"/>
        <v>0</v>
      </c>
      <c r="F36" s="5">
        <v>0</v>
      </c>
      <c r="G36" s="5">
        <f ca="1" t="shared" si="3"/>
        <v>2</v>
      </c>
    </row>
    <row r="37" spans="1:7">
      <c r="A37" s="5">
        <v>27</v>
      </c>
      <c r="B37" s="6" t="s">
        <v>72</v>
      </c>
      <c r="C37" s="5">
        <f ca="1" t="shared" si="0"/>
        <v>1</v>
      </c>
      <c r="D37" s="5">
        <f ca="1" t="shared" si="1"/>
        <v>0</v>
      </c>
      <c r="E37" s="5">
        <f ca="1" t="shared" si="2"/>
        <v>0</v>
      </c>
      <c r="F37" s="5">
        <v>0</v>
      </c>
      <c r="G37" s="5">
        <f ca="1" t="shared" si="3"/>
        <v>1</v>
      </c>
    </row>
    <row r="38" spans="1:7">
      <c r="A38" s="5">
        <v>28</v>
      </c>
      <c r="B38" s="6" t="s">
        <v>74</v>
      </c>
      <c r="C38" s="5">
        <f ca="1" t="shared" si="0"/>
        <v>2</v>
      </c>
      <c r="D38" s="5">
        <f ca="1" t="shared" si="1"/>
        <v>0</v>
      </c>
      <c r="E38" s="5">
        <f ca="1" t="shared" si="2"/>
        <v>0</v>
      </c>
      <c r="F38" s="5">
        <v>0</v>
      </c>
      <c r="G38" s="5">
        <f ca="1" t="shared" si="3"/>
        <v>2</v>
      </c>
    </row>
    <row r="39" spans="1:7">
      <c r="A39" s="5">
        <v>29</v>
      </c>
      <c r="B39" s="6" t="s">
        <v>76</v>
      </c>
      <c r="C39" s="5">
        <f ca="1" t="shared" si="0"/>
        <v>44</v>
      </c>
      <c r="D39" s="5">
        <f ca="1" t="shared" si="1"/>
        <v>0</v>
      </c>
      <c r="E39" s="5">
        <f ca="1" t="shared" si="2"/>
        <v>0</v>
      </c>
      <c r="F39" s="5">
        <v>0</v>
      </c>
      <c r="G39" s="5">
        <f ca="1" t="shared" si="3"/>
        <v>44</v>
      </c>
    </row>
    <row r="40" spans="1:7">
      <c r="A40" s="5">
        <v>30</v>
      </c>
      <c r="B40" s="6" t="s">
        <v>78</v>
      </c>
      <c r="C40" s="5">
        <f ca="1" t="shared" si="0"/>
        <v>40</v>
      </c>
      <c r="D40" s="5">
        <f ca="1" t="shared" si="1"/>
        <v>0</v>
      </c>
      <c r="E40" s="5">
        <f ca="1" t="shared" si="2"/>
        <v>0</v>
      </c>
      <c r="F40" s="5">
        <v>0</v>
      </c>
      <c r="G40" s="5">
        <f ca="1" t="shared" si="3"/>
        <v>40</v>
      </c>
    </row>
    <row r="41" spans="1:7">
      <c r="A41" s="5">
        <v>31</v>
      </c>
      <c r="B41" s="6" t="s">
        <v>80</v>
      </c>
      <c r="C41" s="5">
        <f ca="1" t="shared" si="0"/>
        <v>49</v>
      </c>
      <c r="D41" s="5">
        <f ca="1" t="shared" si="1"/>
        <v>0</v>
      </c>
      <c r="E41" s="5">
        <f ca="1" t="shared" si="2"/>
        <v>0</v>
      </c>
      <c r="F41" s="5">
        <v>0</v>
      </c>
      <c r="G41" s="5">
        <f ca="1" t="shared" si="3"/>
        <v>49</v>
      </c>
    </row>
    <row r="42" spans="1:7">
      <c r="A42" s="5">
        <v>32</v>
      </c>
      <c r="B42" s="6" t="s">
        <v>82</v>
      </c>
      <c r="C42" s="5">
        <f ca="1" t="shared" si="0"/>
        <v>31</v>
      </c>
      <c r="D42" s="5">
        <f ca="1" t="shared" si="1"/>
        <v>0</v>
      </c>
      <c r="E42" s="5">
        <f ca="1" t="shared" si="2"/>
        <v>0</v>
      </c>
      <c r="F42" s="5">
        <v>0</v>
      </c>
      <c r="G42" s="5">
        <f ca="1" t="shared" si="3"/>
        <v>31</v>
      </c>
    </row>
    <row r="43" spans="1:7">
      <c r="A43" s="5">
        <v>33</v>
      </c>
      <c r="B43" s="6" t="s">
        <v>84</v>
      </c>
      <c r="C43" s="5">
        <f ca="1" t="shared" si="0"/>
        <v>28</v>
      </c>
      <c r="D43" s="5">
        <f ca="1" t="shared" si="1"/>
        <v>0</v>
      </c>
      <c r="E43" s="5">
        <f ca="1" t="shared" si="2"/>
        <v>0</v>
      </c>
      <c r="F43" s="5">
        <v>0</v>
      </c>
      <c r="G43" s="5">
        <f ca="1" t="shared" si="3"/>
        <v>28</v>
      </c>
    </row>
    <row r="44" spans="1:7">
      <c r="A44" s="2" t="s">
        <v>1273</v>
      </c>
      <c r="C44" s="2">
        <f ca="1">SUM(C11:C43)</f>
        <v>340</v>
      </c>
      <c r="D44" s="2">
        <f ca="1">SUM(D11:D43)</f>
        <v>0</v>
      </c>
      <c r="E44" s="2">
        <f ca="1">SUM(E11:E43)</f>
        <v>0</v>
      </c>
      <c r="G44" s="2">
        <f ca="1">SUM(G11:G43)</f>
        <v>340</v>
      </c>
    </row>
  </sheetData>
  <pageMargins left="0.7" right="0.7" top="0.75" bottom="0.75" header="0.3" footer="0.3"/>
  <pageSetup paperSize="1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36</vt:i4>
      </vt:variant>
    </vt:vector>
  </HeadingPairs>
  <TitlesOfParts>
    <vt:vector size="36" baseType="lpstr">
      <vt:lpstr>Cover</vt:lpstr>
      <vt:lpstr>Test Cases</vt:lpstr>
      <vt:lpstr>Login</vt:lpstr>
      <vt:lpstr>ForgotResetPassword</vt:lpstr>
      <vt:lpstr>VerifyEmail</vt:lpstr>
      <vt:lpstr>RegisterHR</vt:lpstr>
      <vt:lpstr>RegisterJobseeker</vt:lpstr>
      <vt:lpstr>AdminAccessControl</vt:lpstr>
      <vt:lpstr>AdminManageUsers</vt:lpstr>
      <vt:lpstr>CandidateForbidden</vt:lpstr>
      <vt:lpstr>HrProfile</vt:lpstr>
      <vt:lpstr>AuthInterceptor</vt:lpstr>
      <vt:lpstr>ErrorInterceptor</vt:lpstr>
      <vt:lpstr>StudioQuota</vt:lpstr>
      <vt:lpstr>StudioCtaStates</vt:lpstr>
      <vt:lpstr>StudioFlow</vt:lpstr>
      <vt:lpstr>StudioChatRefine</vt:lpstr>
      <vt:lpstr>StudioKbLibrary</vt:lpstr>
      <vt:lpstr>StudioSampleJd</vt:lpstr>
      <vt:lpstr>StudioSourcesPanel</vt:lpstr>
      <vt:lpstr>HistoryPublishedSet</vt:lpstr>
      <vt:lpstr>QuestionBuilder</vt:lpstr>
      <vt:lpstr>UiStudioInteractions</vt:lpstr>
      <vt:lpstr>UiToastStacking</vt:lpstr>
      <vt:lpstr>InfoTooltip</vt:lpstr>
      <vt:lpstr>HrNoRoleGate</vt:lpstr>
      <vt:lpstr>UiUpgradeModal</vt:lpstr>
      <vt:lpstr>UiSidebarDrawerAndLogo</vt:lpstr>
      <vt:lpstr>UiDarkModeToggle</vt:lpstr>
      <vt:lpstr>UiResponsiveOverflowShell</vt:lpstr>
      <vt:lpstr>SharedUtils</vt:lpstr>
      <vt:lpstr>CandidateAndAdminUtils</vt:lpstr>
      <vt:lpstr>GamificationAndHistoryUtils</vt:lpstr>
      <vt:lpstr>PermissionsAndCitations</vt:lpstr>
      <vt:lpstr>QuestionTemplateInfer</vt:lpstr>
      <vt:lpstr>Test Statistics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2026-08-10T07:35:00Z</dcterms:created>
  <dcterms:modified xsi:type="dcterms:W3CDTF">2026-08-10T11:52:48Z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BDEB48B827D045CA9B2CDABD42909B82_12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