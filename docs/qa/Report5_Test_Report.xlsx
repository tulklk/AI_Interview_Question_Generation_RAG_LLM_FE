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4360" firstSheet="38" activeTab="45"/>
  </bookViews>
  <sheets>
    <sheet sheetId="1" name="Cover" state="visible" r:id="rId4"/>
    <sheet sheetId="2" name="Test Cases" state="visible" r:id="rId5"/>
    <sheet sheetId="3" name="Login" state="visible" r:id="rId6"/>
    <sheet sheetId="4" name="ForgotResetPassword" state="visible" r:id="rId7"/>
    <sheet sheetId="5" name="VerifyEmail" state="visible" r:id="rId8"/>
    <sheet sheetId="6" name="RegisterHR" state="visible" r:id="rId9"/>
    <sheet sheetId="7" name="RegisterJobseeker" state="visible" r:id="rId10"/>
    <sheet sheetId="8" name="AdminAccessControl" state="visible" r:id="rId11"/>
    <sheet sheetId="9" name="AdminManageUsers" state="visible" r:id="rId12"/>
    <sheet sheetId="10" name="CandidateForbidden" state="visible" r:id="rId13"/>
    <sheet sheetId="11" name="HrProfile" state="visible" r:id="rId14"/>
    <sheet sheetId="12" name="AuthInterceptor" state="visible" r:id="rId15"/>
    <sheet sheetId="13" name="ErrorInterceptor" state="visible" r:id="rId16"/>
    <sheet sheetId="14" name="StudioQuota" state="visible" r:id="rId17"/>
    <sheet sheetId="15" name="StudioCtaStates" state="visible" r:id="rId18"/>
    <sheet sheetId="16" name="StudioFlow" state="visible" r:id="rId19"/>
    <sheet sheetId="18" name="StudioKbLibrary" state="visible" r:id="rId20"/>
    <sheet sheetId="19" name="StudioSampleJd" state="visible" r:id="rId21"/>
    <sheet sheetId="20" name="StudioSourcesPanel" state="visible" r:id="rId22"/>
    <sheet sheetId="21" name="HistoryPublishedSet" state="visible" r:id="rId23"/>
    <sheet sheetId="22" name="QuestionBuilder" state="visible" r:id="rId24"/>
    <sheet sheetId="23" name="UiStudioInteractions" state="visible" r:id="rId25"/>
    <sheet sheetId="24" name="UiToastStacking" state="visible" r:id="rId26"/>
    <sheet sheetId="25" name="InfoTooltip" state="visible" r:id="rId27"/>
    <sheet sheetId="26" name="HrNoRoleGate" state="visible" r:id="rId28"/>
    <sheet sheetId="27" name="UiUpgradeModal" state="visible" r:id="rId29"/>
    <sheet sheetId="28" name="UiSidebarDrawerAndLogo" state="visible" r:id="rId30"/>
    <sheet sheetId="29" name="UiDarkModeToggle" state="visible" r:id="rId31"/>
    <sheet sheetId="30" name="UiResponsiveOverflowShell" state="visible" r:id="rId32"/>
    <sheet sheetId="31" name="SharedUtils" state="visible" r:id="rId33"/>
    <sheet sheetId="32" name="CandidateAndAdminUtils" state="visible" r:id="rId34"/>
    <sheet sheetId="33" name="GamificationAndHistoryUtils" state="visible" r:id="rId35"/>
    <sheet sheetId="34" name="PermissionsAndCitations" state="visible" r:id="rId36"/>
    <sheet sheetId="35" name="QuestionTemplateInfer" state="visible" r:id="rId37"/>
    <sheet sheetId="37" name="AdminPlatformSettings" state="visible" r:id="rId38"/>
    <sheet sheetId="38" name="AdminAiConfig" state="visible" r:id="rId39"/>
    <sheet sheetId="40" name="AdminCompanies" state="visible" r:id="rId40"/>
    <sheet sheetId="41" name="AdminKnowledgeWrapper" state="visible" r:id="rId41"/>
    <sheet sheetId="42" name="AdminDashboard" state="visible" r:id="rId42"/>
    <sheet sheetId="43" name="AdminMarketplace" state="visible" r:id="rId43"/>
    <sheet sheetId="44" name="AdminPlans" state="visible" r:id="rId44"/>
    <sheet sheetId="45" name="HrDashboard" state="visible" r:id="rId45"/>
    <sheet sheetId="46" name="HrHistory" state="visible" r:id="rId46"/>
    <sheet sheetId="47" name="CandidateBilling" state="visible" r:id="rId47"/>
    <sheet sheetId="48" name="CandidateDashboard" state="visible" r:id="rId48"/>
    <sheet sheetId="49" name="CandidateProfile" state="visible" r:id="rId49"/>
    <sheet sheetId="50" name="CandidateSettings" state="visible" r:id="rId50"/>
    <sheet sheetId="51" name="CandidateSubscriptionContext" state="visible" r:id="rId51"/>
    <sheet sheetId="52" name="CandidateUpgradeModal" state="visible" r:id="rId52"/>
    <sheet sheetId="53" name="FeedbackResultClient" state="visible" r:id="rId53"/>
    <sheet sheetId="54" name="HrBilling" state="visible" r:id="rId54"/>
    <sheet sheetId="55" name="HrKnowledge" state="visible" r:id="rId55"/>
    <sheet sheetId="56" name="HrRecommendations" state="visible" r:id="rId56"/>
    <sheet sheetId="57" name="HrSettingsPrefsNotifs" state="visible" r:id="rId57"/>
    <sheet sheetId="58" name="Invitations" state="visible" r:id="rId58"/>
    <sheet sheetId="59" name="Marketplace" state="visible" r:id="rId59"/>
    <sheet sheetId="60" name="PracticeSession" state="visible" r:id="rId60"/>
    <sheet sheetId="61" name="PremiumRevokedDialog" state="visible" r:id="rId61"/>
    <sheet sheetId="62" name="SubscriptionRealtime" state="visible" r:id="rId62"/>
    <sheet sheetId="63" name="SecuritySection" state="visible" r:id="rId63"/>
    <sheet sheetId="64" name="XpHistorySection" state="visible" r:id="rId64"/>
    <sheet sheetId="65" name="DailyGoalSettings" state="visible" r:id="rId65"/>
    <sheet sheetId="66" name="GamificationProgressCard" state="visible" r:id="rId66"/>
    <sheet sheetId="67" name="AchievementGrid" state="visible" r:id="rId67"/>
    <sheet sheetId="36" name="Test Statistics" state="visible" r:id="rId68"/>
  </sheets>
  <calcPr calcId="171027" fullCalcOnLoad="1"/>
</workbook>
</file>

<file path=xl/sharedStrings.xml><?xml version="1.0" encoding="utf-8"?>
<sst xmlns="http://schemas.openxmlformats.org/spreadsheetml/2006/main" count="9307" uniqueCount="1986">
  <si>
    <t>TEST REPORT DOCUMENT</t>
  </si>
  <si>
    <t>Project Name</t>
  </si>
  <si>
    <t>IQGS – AI-Powered Interview Question Generation System Using RAG and LLM</t>
  </si>
  <si>
    <t>Creator</t>
  </si>
  <si>
    <t>NamNM</t>
  </si>
  <si>
    <t>Project Code</t>
  </si>
  <si>
    <t>SU26SE102</t>
  </si>
  <si>
    <t>Issue Date</t>
  </si>
  <si>
    <t>10/08/2026</t>
  </si>
  <si>
    <t>Document Code</t>
  </si>
  <si>
    <t>SU26SE102_Test Report_v1.0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</si>
  <si>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</si>
  <si>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</si>
  <si>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</si>
  <si>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</si>
  <si>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</si>
  <si>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</si>
  <si>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</si>
  <si>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2026-08-10</t>
  </si>
  <si>
    <t>Login</t>
  </si>
  <si>
    <t>A</t>
  </si>
  <si>
    <t>Added Login unit-test report sheet</t>
  </si>
  <si>
    <t>ForgotResetPassword</t>
  </si>
  <si>
    <t>Added Forgot / Reset Password unit-test report sheet</t>
  </si>
  <si>
    <t>VerifyEmail</t>
  </si>
  <si>
    <t>Added Verify Email (OTP) unit-test report sheet</t>
  </si>
  <si>
    <t>RegisterHR</t>
  </si>
  <si>
    <t>Added Register (HR) unit-test report sheet</t>
  </si>
  <si>
    <t>RegisterJobseeker</t>
  </si>
  <si>
    <t>Added Register (Jobseeker) unit-test report sheet</t>
  </si>
  <si>
    <t>AdminAccessControl</t>
  </si>
  <si>
    <t>Added Admin Access Control unit-test report sheet</t>
  </si>
  <si>
    <t>AdminManageUsers</t>
  </si>
  <si>
    <t>Added Admin, Manage Users unit-test report sheet</t>
  </si>
  <si>
    <t>CandidateForbidden</t>
  </si>
  <si>
    <t>Added Candidate, Forbidden (403) Handling unit-test report sheet</t>
  </si>
  <si>
    <t>HrProfile</t>
  </si>
  <si>
    <t>Added HR Profile unit-test report sheet</t>
  </si>
  <si>
    <t>AuthInterceptor</t>
  </si>
  <si>
    <t>Added Axios Auth Interceptor unit-test report sheet</t>
  </si>
  <si>
    <t>ErrorInterceptor</t>
  </si>
  <si>
    <t>Added Error-Message Extraction Utility unit-test report sheet</t>
  </si>
  <si>
    <t>StudioQuota</t>
  </si>
  <si>
    <t>Added Studio, Quota Blocking unit-test report sheet</t>
  </si>
  <si>
    <t>StudioCtaStates</t>
  </si>
  <si>
    <t>Added Studio, Action Bar CTA States unit-test report sheet</t>
  </si>
  <si>
    <t>StudioFlow</t>
  </si>
  <si>
    <t>Added Studio, Core Generation Flow unit-test report sheet</t>
  </si>
  <si>
    <t>StudioChatRefine</t>
  </si>
  <si>
    <t>Added Studio, Chat Plan Refinement unit-test report sheet</t>
  </si>
  <si>
    <t>StudioKbLibrary</t>
  </si>
  <si>
    <t>Added Studio, Knowledge Base Library Picker unit-test report sheet</t>
  </si>
  <si>
    <t>StudioSampleJd</t>
  </si>
  <si>
    <t>Added Studio, Sample JD Modal unit-test report sheet</t>
  </si>
  <si>
    <t>StudioSourcesPanel</t>
  </si>
  <si>
    <t>Added Studio, Sources Panel unit-test report sheet</t>
  </si>
  <si>
    <t>HistoryPublishedSet</t>
  </si>
  <si>
    <t>Added History, Published Question Set Lock unit-test report sheet</t>
  </si>
  <si>
    <t>QuestionBuilder</t>
  </si>
  <si>
    <t>Added Question Builder (Manual) unit-test report sheet</t>
  </si>
  <si>
    <t>UiStudioInteractions</t>
  </si>
  <si>
    <t>Added UI, Studio Visual/Interaction States unit-test report sheet</t>
  </si>
  <si>
    <t>UiToastStacking</t>
  </si>
  <si>
    <t>Added UI, Toast Stacking &amp; Dismissal unit-test report sheet</t>
  </si>
  <si>
    <t>InfoTooltip</t>
  </si>
  <si>
    <t>Added UI, Info Tooltip unit-test report sheet</t>
  </si>
  <si>
    <t>HrNoRoleGate</t>
  </si>
  <si>
    <t>Added HR Routes, No Role Gate (finding) unit-test report sheet</t>
  </si>
  <si>
    <t>UiUpgradeModal</t>
  </si>
  <si>
    <t>Added UI, HR Upgrade Modal (via real Sidebar) unit-test report sheet</t>
  </si>
  <si>
    <t>UiSidebarDrawerAndLogo</t>
  </si>
  <si>
    <t>Added UI, Mobile Drawer &amp; Brand Logo Consistency unit-test report sheet</t>
  </si>
  <si>
    <t>UiDarkModeToggle</t>
  </si>
  <si>
    <t>Added UI, AppShell Dark Mode Toggle unit-test report sheet</t>
  </si>
  <si>
    <t>UiResponsiveOverflowShell</t>
  </si>
  <si>
    <t>Added UI, Page-Frame Overflow Clipping unit-test report sheet</t>
  </si>
  <si>
    <t>SharedUtils</t>
  </si>
  <si>
    <t>Added Shared Utils, greeting/relative-time/nav/user-display/url/avatar-msg unit-test report sheet</t>
  </si>
  <si>
    <t>CandidateAndAdminUtils</t>
  </si>
  <si>
    <t>Added Candidate &amp; Admin Utils, validation/formatting/badges unit-test report sheet</t>
  </si>
  <si>
    <t>GamificationAndHistoryUtils</t>
  </si>
  <si>
    <t>Added Gamification &amp; Local-History Utils unit-test report sheet</t>
  </si>
  <si>
    <t>PermissionsAndCitations</t>
  </si>
  <si>
    <t>Added Auth Permissions &amp; Studio Citation Display unit-test report sheet</t>
  </si>
  <si>
    <t>QuestionTemplateInfer</t>
  </si>
  <si>
    <t>Added Studio, Question Template Inference unit-test report sheet</t>
  </si>
  <si>
    <t>16-08-2026</t>
  </si>
  <si>
    <t>AdminPlatformSettings</t>
  </si>
  <si>
    <t>Added Admin, Platform Settings unit-test report sheet</t>
  </si>
  <si>
    <t>AdminAiConfig</t>
  </si>
  <si>
    <t>Added Admin, AI/RAG Config unit-test report sheet</t>
  </si>
  <si>
    <t>AdminContentTable</t>
  </si>
  <si>
    <t>Added Admin, Content Table unit-test report sheet</t>
  </si>
  <si>
    <t>AdminCompanies</t>
  </si>
  <si>
    <t>Added Admin, Company Management unit-test report sheet</t>
  </si>
  <si>
    <t>AdminKnowledgeWrapper</t>
  </si>
  <si>
    <t>Added Admin, Knowledge Documents (wrapper) unit-test report sheet</t>
  </si>
  <si>
    <t>AdminDashboard</t>
  </si>
  <si>
    <t>Added Admin, Dashboard unit-test report sheet</t>
  </si>
  <si>
    <t>AdminMarketplace</t>
  </si>
  <si>
    <t>Added Admin, Marketplace Management unit-test report sheet</t>
  </si>
  <si>
    <t>AdminPlans</t>
  </si>
  <si>
    <t>Added Admin, Subscription Plans unit-test report sheet</t>
  </si>
  <si>
    <t>HrDashboard</t>
  </si>
  <si>
    <t>Added HR, Dashboard unit-test report sheet</t>
  </si>
  <si>
    <t>HrHistory</t>
  </si>
  <si>
    <t>Added HR, Question Set History unit-test report sheet</t>
  </si>
  <si>
    <t>CandidateBilling</t>
  </si>
  <si>
    <t>Added Candidate, Billing unit-test report sheet</t>
  </si>
  <si>
    <t>CandidateDashboard</t>
  </si>
  <si>
    <t>Added Candidate, Dashboard unit-test report sheet</t>
  </si>
  <si>
    <t>CandidateProfile</t>
  </si>
  <si>
    <t>Added Candidate, Profile unit-test report sheet</t>
  </si>
  <si>
    <t>CandidateSettings</t>
  </si>
  <si>
    <t>Added Candidate, Settings unit-test report sheet</t>
  </si>
  <si>
    <t>CandidateSubscriptionContext</t>
  </si>
  <si>
    <t>Added Candidate, Subscription Context (P0 fix) unit-test report sheet</t>
  </si>
  <si>
    <t>CandidateUpgradeModal</t>
  </si>
  <si>
    <t>Added Candidate, Upgrade Modal (P1 fix) unit-test report sheet</t>
  </si>
  <si>
    <t>FeedbackResultClient</t>
  </si>
  <si>
    <t>Added Candidate, Feedback Result (score polling) unit-test report sheet</t>
  </si>
  <si>
    <t>HrBilling</t>
  </si>
  <si>
    <t>Added HR, Billing &amp; Subscription unit-test report sheet</t>
  </si>
  <si>
    <t>HrKnowledge</t>
  </si>
  <si>
    <t>Added HR, Knowledge Documents unit-test report sheet</t>
  </si>
  <si>
    <t>HrRecommendations</t>
  </si>
  <si>
    <t>Added HR, Candidate Recommendations unit-test report sheet</t>
  </si>
  <si>
    <t>HrSettingsPrefsNotifs</t>
  </si>
  <si>
    <t>Added HR, Settings: Preferences &amp; Notifications unit-test report sheet</t>
  </si>
  <si>
    <t>Invitations</t>
  </si>
  <si>
    <t>Added Candidate, Interview Invitations unit-test report sheet</t>
  </si>
  <si>
    <t>Marketplace</t>
  </si>
  <si>
    <t>Added Candidate, Question Set Marketplace unit-test report sheet</t>
  </si>
  <si>
    <t>PracticeSession</t>
  </si>
  <si>
    <t>Added Candidate, Practice Session unit-test report sheet</t>
  </si>
  <si>
    <t>PremiumRevokedDialog</t>
  </si>
  <si>
    <t>Added Shared, Premium Revoked Dialog unit-test report sheet</t>
  </si>
  <si>
    <t>SubscriptionRealtime</t>
  </si>
  <si>
    <t>Added Shared, Subscription Realtime (P0 fix) unit-test report sheet</t>
  </si>
  <si>
    <t>SecuritySection</t>
  </si>
  <si>
    <t>Added Shared, Change Password (Security tab) unit-test report sheet</t>
  </si>
  <si>
    <t>XpHistorySection</t>
  </si>
  <si>
    <t>Added Gamification, XP History unit-test report sheet</t>
  </si>
  <si>
    <t>DailyGoalSettings</t>
  </si>
  <si>
    <t>Added Gamification, Daily Goal Settings unit-test report sheet</t>
  </si>
  <si>
    <t>GamificationProgressCard</t>
  </si>
  <si>
    <t>Added Gamification, Progress Card unit-test report sheet</t>
  </si>
  <si>
    <t>AchievementGrid</t>
  </si>
  <si>
    <t>Added Gamification, Achievement Grid unit-test report sheet</t>
  </si>
  <si>
    <t>2026-08-17</t>
  </si>
  <si>
    <t>Sync</t>
  </si>
  <si>
    <t>M</t>
  </si>
  <si>
    <t>Synced test counts with live suite (npm run test, 17/08/2026): ForgotResetPassword 8-&gt;10 (AUTH005-9/10), StudioFlow 14-&gt;15 (RAG008-1), StudioSourcesPanel 8-&gt;9 (RAG002-3), HistoryPublishedSet 2-&gt;3 (RAG028-3). New total: 535 (was 530).</t>
  </si>
  <si>
    <t>2026-09-10</t>
  </si>
  <si>
    <t>Removed stale/dead-code test cases: StudioCtaStates 5-&gt;4 (RAG030-1 tested an Apply-to-plan dirty-detection path the current fireEvent-based interaction can't reach); StudioSampleJd 5-&gt;4 (RAG027-1's stale-closure finding no longer reproduces after a locale fix); StudioFlow 15-&gt;13 (RAG030-1 tested use-studio.ts's updateSettingField, unreferenced by any component now that settings persist via a draft + Apply-to-plan flow, plus de-duplicated a repeated RAG008-1 row). Deleted the StudioChatRefine sheet/spec file (2 cases, RAG032-1/2) — the AI Assistant chat composer it tested is permanently feature-flagged off (chat-panel.tsx hardcodes hidden:true) with no other tests left in that file. New total: 529 Vitest specs across 63 files (was 535 across 64).</t>
  </si>
  <si>
    <t>2026-09-12</t>
  </si>
  <si>
    <t>Fixed ErrorInterceptor sheet after the 10/09/2026 merge: RGA011-1 is no longer a finding (a bare 5xx now returns the friendly server-unavailable copy); refreshed error-interceptor.test.ts line refs; flagged AdminContentTable as covering a page that was deleted.</t>
  </si>
  <si>
    <t>2026-09-13</t>
  </si>
  <si>
    <t>Reduced the Vitest suite from 529 to 470 test cases in 62 files: removed tests for code the app no longer uses (local-history helpers, getLoginWelcomeRoleFromRedirect, normalizePathname, validateAvatarFile, two badge-class helpers, sortCitationsPrimaryFirst, and the unreachable ContentTable), and cut parameterized tables to one row per branch. Rebuilt the GamificationAndHistoryUtils, SharedUtils, CandidateAndAdminUtils and PermissionsAndCitations sheets from the live test list; removed the AdminContentTable sheet.</t>
  </si>
  <si>
    <t>TEST CASE LIST</t>
  </si>
  <si>
    <t>Test Environment</t>
  </si>
  <si>
    <t>Vitest 4 + jsdom + React Testing Library, components rendered standalone, service modules mocked at the vi.mock() boundary, no real backend/network.</t>
  </si>
  <si>
    <t>No</t>
  </si>
  <si>
    <t>Feature</t>
  </si>
  <si>
    <t>Sheet Name</t>
  </si>
  <si>
    <t>Description</t>
  </si>
  <si>
    <t>Pre-Condition</t>
  </si>
  <si>
    <t>AUTH002/UI017, verify the HR/Jobseeker login form: field validation, error toasts by status code, resend-verification dialog, role-based redirect, and keyboard Tab order.</t>
  </si>
  <si>
    <t>LoginForm rendered standalone via renderWithProviders(); next/navigation and auth.service/user.service mocked at the module boundary (no real network).</t>
  </si>
  <si>
    <t>Forgot / Reset Password</t>
  </si>
  <si>
    <t>AUTH005, verify the forgot-password request screen and the token-based reset-password screen, including expired/invalid token handling.</t>
  </si>
  <si>
    <t>ForgotPassword/ResetPassword components rendered standalone; auth.service mocked at the module boundary.</t>
  </si>
  <si>
    <t>Verify Email (OTP)</t>
  </si>
  <si>
    <t>AUTH004, verify the 6-digit OTP verification screen: missing-email guard, correct/incorrect OTP, resend cooldown, paste-to-autofill.</t>
  </si>
  <si>
    <t>VerifyEmail component rendered standalone; auth.service mocked at the module boundary; URL query param supplies the email.</t>
  </si>
  <si>
    <t>Register (HR)</t>
  </si>
  <si>
    <t>AUTH001, verify the 2-step HR registration wizard: step-1 field validation, step-2 terms/company validation, successful submit redirect, duplicate-email (409) recovery.</t>
  </si>
  <si>
    <t>RegisterHR component rendered standalone; auth.service mocked at the module boundary.</t>
  </si>
  <si>
    <t>Register (Jobseeker)</t>
  </si>
  <si>
    <t>AUTH003, verify the 2-step Jobseeker registration wizard: step-1 field validation, step-2 role/seniority/tech-stack validation, successful submit redirect, duplicate-email (409) recovery.</t>
  </si>
  <si>
    <t>RegisterJobseeker component rendered standalone; auth.service mocked at the module boundary.</t>
  </si>
  <si>
    <t>Admin Access Control</t>
  </si>
  <si>
    <t>AUTH006, verify /admin/* route guarding by role: unauthenticated redirect, HR/Jobseeker denial with toast, Admin access granted.</t>
  </si>
  <si>
    <t>AdminRouteGuard rendered standalone with a stable next/navigation router mock; localStorage seeded with the role under test.</t>
  </si>
  <si>
    <t>Admin, Manage Users</t>
  </si>
  <si>
    <t>AUTH008, verify the admin user-management table: search filter, clear filters, deactivate/reactivate confirm dialogs, load-failure retry, numbered pagination with ellipsis.</t>
  </si>
  <si>
    <t>AdminManageUsers page rendered standalone (AdminRouteGuard/AdminAppShell stubbed pass-through); admin user service mocked at the module boundary.</t>
  </si>
  <si>
    <t>Candidate, Forbidden (403) Handling</t>
  </si>
  <si>
    <t>RGA016, verify the candidate practice-session start flow surfaces a friendly message on 403 and falls back to a generic error otherwise.</t>
  </si>
  <si>
    <t>Relevant candidate component rendered standalone; session-start service mocked to reject with the status under test.</t>
  </si>
  <si>
    <t>HR Profile</t>
  </si>
  <si>
    <t>AUTH007, verify the HR profile edit form: required-field guard, LinkedIn URL validation, save/cancel, read-only email, avatar upload type/size validation and preview update.</t>
  </si>
  <si>
    <t>HrProfile component rendered standalone; profile/avatar service mocked at the module boundary.</t>
  </si>
  <si>
    <t>Axios Auth Interceptor</t>
  </si>
  <si>
    <t>RGA001-020, verify the shared axios instance's 401 refresh-and-retry interceptor: silent refresh, refresh failure, no-refresh-token, already-retried guard, public-endpoint bypass, 403 pass-through, token rotation, concurrent-401 de-dup.</t>
  </si>
  <si>
    <t>A dedicated axios instance is wired to a shared axios-mock-adapter (module-level vi.mock of "axios"), exercising the real interceptor logic against mocked HTTP responses, no component rendering.</t>
  </si>
  <si>
    <t>Error-Message Extraction Utility</t>
  </si>
  <si>
    <t>RGA011, verify extractErrorMessage()'s fallback chain: response body message, canned subscription errorCode text, and the friendly server-unavailable copy when a 5xx body is empty.</t>
  </si>
  <si>
    <t>Pure unit test of the extractErrorMessage() utility function with hand-built error objects, no component rendering, no network mocking.</t>
  </si>
  <si>
    <t>Studio, Quota Blocking</t>
  </si>
  <si>
    <t>RAG010, verify the free-plan-in-cooldown blocking alertdialog: full-page cover, "Create manually" escape hatch, suppression while a generation run is in flight, and auto-appearance once that run completes.</t>
  </si>
  <si>
    <t>StudioPage rendered via renderStudio() (HrSubscriptionProvider wrapper); studio.service and subscription.service mocked at the module boundary.</t>
  </si>
  <si>
    <t>Studio, Action Bar CTA States</t>
  </si>
  <si>
    <t>RAG037/RAG039/RAG030, verify the Action bar's single primary CTA label/enabled-state machine across the Create Plan -&gt; Approve Plan -&gt; Generate Questions -&gt; Completed lifecycle, and the Apply-settings failure-toast/recovery path.</t>
  </si>
  <si>
    <t>StudioPage rendered via renderStudio(); studio.service mocked at the module boundary with bootstrapStudio() fixtures for each lifecycle stage.</t>
  </si>
  <si>
    <t>Studio, Core Generation Flow</t>
  </si>
  <si>
    <t>RAG005-013/RAG008/RAG029/RAG030, verify the happy-path/auto-retry/failed question-generation flow, subscription-error-code toast mapping, question edit/delete/regenerate, Save/Publish/Unpublish/Share, New Set reset, settings toggle persistence, and the 5-minute generation-timeout recovery message.</t>
  </si>
  <si>
    <t>StudioPage rendered via renderStudio(); studio.service mocked at the module boundary; navigator.clipboard stubbed (jsdom has no native Clipboard API) for the Share test.</t>
  </si>
  <si>
    <t>Studio, Knowledge Base Library Picker</t>
  </si>
  <si>
    <t>RAG031, verify the KB document picker disables already-attached and non-COMPLETED documents, and that attaching a selectable document calls the attach endpoint with its id.</t>
  </si>
  <si>
    <t>StudioPage rendered via renderStudio(); studio.service mocked at the module boundary with a mixed-status library-document fixture.</t>
  </si>
  <si>
    <t>Studio, Sample JD Modal</t>
  </si>
  <si>
    <t>RAG027, verify the Sample JD modal's Use/Close/Backdrop/Escape/Copy interactions, including a stale-closure finding where "Use this sample" fills the JD but doesn't auto-persist it.</t>
  </si>
  <si>
    <t>StudioPage rendered via renderStudio() in a draft project (no JD yet); studio.service mocked; navigator.clipboard stubbed for the Copy test; modal-close assertions poll past the 220ms CSS exit transition.</t>
  </si>
  <si>
    <t>Studio, Sources Panel</t>
  </si>
  <si>
    <t>RAG001/RAG002/RAG003/RAG004/RAG034, verify JD paste-mode validation (Save &amp; Analyze gated on non-whitespace content) and JD upload file-type handling (accept-attribute-only, no client-side enforcement), document ingestion-status chips (Ready/Processing/Error), the Sources panel locking once questions exist, and that a freshly uploaded document starts Queued (vs. an attached KB document, which starts Ready).</t>
  </si>
  <si>
    <t>StudioPage rendered via renderStudio(); studio.service mocked at the module boundary with document/plan/question fixtures per scenario.</t>
  </si>
  <si>
    <t>History, Published Question Set Lock</t>
  </si>
  <si>
    <t>RAG028, verify a PUBLISHED question set blocks Add/Edit/Delete/Reorder with a lock hint, while a DRAFT set remains fully editable.</t>
  </si>
  <si>
    <t>HrReviewPageClient rendered via renderWithProviders(); interview.service partially mocked (getDraft/bookmark/rename), AppShell stubbed pass-through.</t>
  </si>
  <si>
    <t>Question Builder (Manual)</t>
  </si>
  <si>
    <t>MQ001-011, verify the manual Question Builder workspace: DRAFT-set selection/creation, client-side required-field guards, the full-field save happy path, Code/Theory/System-design content modes, save-failure recovery, and per-set session-list isolation.</t>
  </si>
  <si>
    <t>QuestionBuilderPage rendered via renderWithProviders(); hr-history.service and interview.service mocked at the module boundary.</t>
  </si>
  <si>
    <t>UI, Studio Visual/Interaction States</t>
  </si>
  <si>
    <t>UI009/UI010/UI016, verify the JD dropzone's drag-over highlight, the AI plan-generation loading spinner, and the Generate Questions CTA's disabled "Generating…" in-flight state.</t>
  </si>
  <si>
    <t>StudioPage rendered via renderStudio(); studio.service mocked with an artificial response delay to make the in-flight state observable.</t>
  </si>
  <si>
    <t>UI, Toast Stacking &amp; Dismissal</t>
  </si>
  <si>
    <t>UI004, verify multiple toasts stack without capping/deduping, and that the close (X) button removes a toast immediately, ahead of its auto-dismiss timer.</t>
  </si>
  <si>
    <t>StudioPage rendered via renderStudio(); studio.service mocked; navigator.clipboard stubbed (Share action); toast removal assertions poll past the 220ms CSS exit transition.</t>
  </si>
  <si>
    <t>UI, Info Tooltip</t>
  </si>
  <si>
    <t>UI015, verify the reusable KPI info-tooltip shows on hover/focus and hides on mouse-out via opacity/pointer-events class toggling.</t>
  </si>
  <si>
    <t>InfoTooltip component rendered directly (no page context needed, the behavior is fully self-contained).</t>
  </si>
  <si>
    <t>HR Routes, No Role Gate (finding)</t>
  </si>
  <si>
    <t>RGA008, verify HR pages render normally for a Jobseeker-role session, unlike /admin/* which does redirect (contrast with AdminAccessControl), documents that no route guard exists under src/app/hr.</t>
  </si>
  <si>
    <t>QuestionBuilderPage rendered standalone with interviewai_user_role=JOB_SEEKER seeded in localStorage; interview/hr-history services mocked at the module boundary.</t>
  </si>
  <si>
    <t>UI, HR Upgrade Modal (via real Sidebar)</t>
  </si>
  <si>
    <t>UI003/UI013, verify the HR upgrade modal's Close/Escape/backdrop dismissal and body-scroll lock, triggered from the real Sidebar (not a stub), plus its z-9999 stacking class with no competing z-index in the shell.</t>
  </si>
  <si>
    <t>Real AppShell rendered via renderWithAppShell() (Sidebar + TopHeader, not stubbed); studio.service (listProjects) and subscription.service mocked minimally.</t>
  </si>
  <si>
    <t>UI, Mobile Drawer &amp; Brand Logo Consistency</t>
  </si>
  <si>
    <t>UI012/UI018, verify the mobile sidebar drawer starts hidden, opens via the hamburger, and closes via the backdrop; and that the same HireGen AI logo asset renders on both the public login page and inside the HR sidebar.</t>
  </si>
  <si>
    <t>Real AppShell rendered via renderWithAppShell(); AuthLayout+LoginForm rendered via renderWithProviders() for the login-page half of the comparison.</t>
  </si>
  <si>
    <t>UI, AppShell Dark Mode Toggle</t>
  </si>
  <si>
    <t>UI004, verify the TopHeader's dark-mode toggle applies the "dark" class to &lt;html&gt;, persists the preference to localStorage, and survives a simulated reload (fresh ThemeProvider mount).</t>
  </si>
  <si>
    <t>StudioPage rendered inside a real AppShell with its own provider tree; theme-transition-context mocked to fire its callback synchronously (jsdom has no real CSS animationend to drive the real transition overlay).</t>
  </si>
  <si>
    <t>UI, Page-Frame Overflow Clipping</t>
  </si>
  <si>
    <t>UI003/UI007/UI010/UI017, verify the AppShell and AuthLayout outer wrappers carry the overflow-hidden/overflow-x-hidden classes that are the actual mechanism keeping the page from scrolling sideways at any content width (jsdom has no real layout engine to measure resulting pixels).</t>
  </si>
  <si>
    <t>AppShell+QuestionBuilderPage rendered via renderWithAppShell(); AuthLayout+LoginForm rendered via renderWithProviders().</t>
  </si>
  <si>
    <t>Shared Utils, greeting/relative-time/nav/user-display/url/avatar-msg</t>
  </si>
  <si>
    <t>New coverage (no Excel scenario ID, these modules had zero prior tests), pure functions: time-of-day greeting, relative-time formatting (en/vi), admin/HR nav active-state matching, user initials/avatar-URL resolution, URL validation, and avatar-upload error-code mapping.</t>
  </si>
  <si>
    <t>Pure function calls, no rendering, no mocking.</t>
  </si>
  <si>
    <t>Candidate &amp; Admin Utils, validation/formatting/badges</t>
  </si>
  <si>
    <t>New coverage (no Excel scenario ID), pure functions: avatar file validation, practice-streak day-counting, dimension/category label translation (en/vi), company initials/color, admin role-key normalization/status derivation, and question/score badge-class + level helpers.</t>
  </si>
  <si>
    <t>Gamification &amp; Login-Welcome Utils</t>
  </si>
  <si>
    <t>New coverage (no Excel scenario ID): pure gamification formatters and the login-welcome sessionStorage flag. Parameterized tables keep one row per branch of the function under test.</t>
  </si>
  <si>
    <t>Pure function calls plus real (unmocked) localStorage/sessionStorage read-write, no component rendering.</t>
  </si>
  <si>
    <t>Auth Permissions &amp; Studio Citation Display</t>
  </si>
  <si>
    <t>New coverage (no Excel scenario ID), permissions.ts as real (non-mocked) functions for the first time: setAuth/clearAuth/isAuthenticated/role storage, and JWT-payload role extraction (accessToken/access_token/token field variants, malformed-token guard); plus citation-display.ts's JD-first sorting, synthetic-JD-row injection, and excerpt truncation.</t>
  </si>
  <si>
    <t>Real localStorage read-write via the actual permissions.ts/token.service.ts/user-profile-cache.ts functions; hand-built base64 JWTs for the decode-path tests.</t>
  </si>
  <si>
    <t>Studio, Question Template Inference</t>
  </si>
  <si>
    <t>New coverage (no Excel scenario ID), the branchiest pure-logic module in the app: explicit vs. keyword-inferred code-template detection, code-snippet extraction from 3 different sources with escape-sequence normalization, meta (lang/imageHint/diagramHint) parsing, and the History/Review question-type + difficulty mapping onto the same view-model.</t>
  </si>
  <si>
    <t>Pure function calls against hand-built StudioQuestion fixtures, no rendering, no mocking.</t>
  </si>
  <si>
    <t>Admin, Platform Settings</t>
  </si>
  <si>
    <t>New coverage (no prior Excel scenario), Admin's Platform Settings page (General/Permissions/Notifications tabs): load/retry, save, permission/notification toggles, and the dead-button (Coming soon) fixes on Permissions Save, Notifications Save, and Reset Platform Data.</t>
  </si>
  <si>
    <t>AdminSettingsPage rendered via renderWithProviders(); AdminAppShell stubbed pass-through; admin-platform-settings.service mocked at the module boundary.</t>
  </si>
  <si>
    <t>Admin, AI/RAG Config</t>
  </si>
  <si>
    <t>New coverage (no prior Excel scenario), Admin's AI/RAG runtime configuration page (LLM provider switch, chat connection, model params, save).</t>
  </si>
  <si>
    <t>AdminAiConfigRoutePage rendered via renderWithProviders(); AdminRouteGuard/AdminAppShell stubbed pass-through; admin-rag-settings.service and knowledge.service (getAdminRagStatus) mocked at the module boundary.</t>
  </si>
  <si>
    <t>Admin, Company Management</t>
  </si>
  <si>
    <t>New coverage (no prior Excel scenario), Admin's Company Management page (list/search, create single &amp; bulk, edit, delete).</t>
  </si>
  <si>
    <t>CompanyManagementPage rendered via renderWithProviders(); AdminRouteGuard/AdminAppShell stubbed pass-through; admin-company.service mocked via candidate-service-mocks factory.</t>
  </si>
  <si>
    <t>Admin, Knowledge Documents (wrapper)</t>
  </si>
  <si>
    <t>New coverage (no prior Excel scenario), AdminKnowledgePage's own wiring of the shared KnowledgePageContent to the admin-scoped knowledge.service functions.</t>
  </si>
  <si>
    <t>AdminKnowledgePage rendered via renderWithProviders(); AdminAppShell stubbed pass-through; admin-scoped knowledge.service functions mocked at the module boundary.</t>
  </si>
  <si>
    <t>Admin, Dashboard</t>
  </si>
  <si>
    <t>New coverage (no prior Excel scenario), Admin's landing page: KPI values, recent user registrations, platform alerts, load failure/retry, and header Refresh.</t>
  </si>
  <si>
    <t>AdminDashboardPage rendered via renderWithProviders(); AdminAppShell stubbed pass-through; admin-dashboard.service and knowledge.service (getAdminRagStatus) mocked at the module boundary.</t>
  </si>
  <si>
    <t>Admin, Marketplace Management</t>
  </si>
  <si>
    <t>New coverage (no prior Excel scenario), Admin's Marketplace Management page (browse published sets, search/sort, pin/unpin, detail panel).</t>
  </si>
  <si>
    <t>AdminMarketplacePage rendered via renderWithProviders(); AdminRouteGuard/AdminAppShell stubbed pass-through; admin-marketplace.service mocked at the module boundary.</t>
  </si>
  <si>
    <t>Admin, Subscription Plans</t>
  </si>
  <si>
    <t>New coverage (no prior Excel scenario), Admin's Subscription Plans editor (price/limit editing per plan, save).</t>
  </si>
  <si>
    <t>AdminPlansRoutePage rendered via renderWithProviders(); AdminRouteGuard/AdminAppShell stubbed pass-through; AdminPlansStats mocked to a placeholder; subscription.service (adminListPlans/adminUpdatePlan) mocked at the module boundary.</t>
  </si>
  <si>
    <t>HR, Dashboard</t>
  </si>
  <si>
    <t>New coverage (no prior Excel scenario), HR's landing page: KPIs from the real aggregate endpoint, recent sessions, top recommendations, empty state, retry, and a real code finding in the null-fallback path.</t>
  </si>
  <si>
    <t>HrDashboard rendered via renderStudio() (HrSubscriptionProvider); hr-dashboard.service and recommendation.service mocked at the module boundary; Premium subscription fixture by default.</t>
  </si>
  <si>
    <t>HR, Question Set History</t>
  </si>
  <si>
    <t>New coverage (no prior Excel scenario), the page HR lands on to manage every question set: search/filter, publish/unpublish, bookmark, export, delete (with a PUBLISHED-set delete guard).</t>
  </si>
  <si>
    <t>QuestionSetHistoryTable rendered via renderStudio(); hr-history.service and interview.service mocked at the module boundary; Premium subscription fixture by default.</t>
  </si>
  <si>
    <t>Candidate, Billing</t>
  </si>
  <si>
    <t>New coverage (no prior Excel scenario), Candidate's Billing tab: current plan, usage, payment history/receipt download, dead-button fixes, upgrade, and cancel-to-Free flow.</t>
  </si>
  <si>
    <t>CandidateBillingPage rendered via renderCandidate(); candidate-billing.service mocked via candidate-service-mocks factory; UpgradeModal mocked to a lightweight placeholder.</t>
  </si>
  <si>
    <t>Candidate, Dashboard</t>
  </si>
  <si>
    <t>New coverage (no prior Excel scenario), Candidate's landing page: KPIs, recent sessions, empty state, retry, and recommended sets with independent retry.</t>
  </si>
  <si>
    <t>CandidateDashboard rendered via renderCandidate(); practice-session.service and question-set.service mocked at the module boundary.</t>
  </si>
  <si>
    <t>Candidate, Profile</t>
  </si>
  <si>
    <t>New coverage (no prior Excel scenario), Candidate's My Profile page: view/edit form, LinkedIn URL validation, skills, and CV management (upload/delete-confirm).</t>
  </si>
  <si>
    <t>CandidateProfile rendered via renderCandidate(); user.service, candidate-cv.service, practice-session.service mocked at the module boundary; Gamification sub-widgets mocked to placeholders.</t>
  </si>
  <si>
    <t>Candidate, Settings</t>
  </si>
  <si>
    <t>New coverage (no prior Excel scenario), Candidate's Settings hub: tab routing (?tab= param), General tab (CV sync, language), and Privacy tab (plan-gated recruiter recommendations toggle).</t>
  </si>
  <si>
    <t>SettingsPage rendered via renderCandidate(); candidate-billing.service, privacy-settings.service, candidate-cv.service mocked at the module boundary; Profile/Billing/Gamification tabs mocked to placeholders.</t>
  </si>
  <si>
    <t>Candidate, Subscription Context (P0 fix)</t>
  </si>
  <si>
    <t>P0 regression coverage, the shared/kiosk-browser plan-cache bug fix: the localStorage plan cache is scoped to the exact user id it was written for.</t>
  </si>
  <si>
    <t>CandidateSubscriptionProvider + a Probe component rendered via renderWithProviders(); candidate-billing.service and user.service mocked at the module boundary; localStorage pre-seeded per scenario.</t>
  </si>
  <si>
    <t>Candidate, Upgrade Modal (P1 fix)</t>
  </si>
  <si>
    <t>P1 regression coverage, UpgradeModal's own finishPaid retry-on-failure fix: a dropped post-payment refresh must not silently leave premium features looking locked.</t>
  </si>
  <si>
    <t>UpgradeModal rendered via renderWithProviders(); candidate-billing.service and subscription.service mocked at the module boundary; the real SignalR hub connection is NOT mocked (fails to construct in jsdom, exercising the real poll-only fallback).</t>
  </si>
  <si>
    <t>Candidate, Feedback Result (score polling)</t>
  </si>
  <si>
    <t>New coverage (no prior Excel scenario), the score-polling state machine (SCORE_POLL_MAX_ATTEMPTS timeout + retryScoring() re-poll flow) behind FeedbackResultClient.</t>
  </si>
  <si>
    <t>FeedbackResultClient rendered via renderWithProviders() under fake timers (vi.useFakeTimers()); JobseekerAppShell/FeedbackPage/QuestionSetFeedbackDialog stubbed; practice-session.service and question-set.service mocked at the module boundary.</t>
  </si>
  <si>
    <t>HR, Billing &amp; Subscription</t>
  </si>
  <si>
    <t>New coverage (no prior Excel scenario), HR's plan/billing tab: current plan, payment history/receipt download, and cancel-to-Free flow (includes the real backend fix keeping Premium active until period end).</t>
  </si>
  <si>
    <t>HrBillingSubscription rendered via renderStudio(); hr-billing.service and subscription.service mocked at the module boundary.</t>
  </si>
  <si>
    <t>HR, Knowledge Documents</t>
  </si>
  <si>
    <t>New coverage (no prior Excel scenario), the shared KnowledgePageContent component (listing, upload with a size-limit finding, delete-confirm) behind both the HR and Admin Knowledge pages.</t>
  </si>
  <si>
    <t>KnowledgePageContent rendered directly via renderWithProviders() with injected callback props (onFetchDocs/onUpload/onDelete/onReingest), variant='hr'.</t>
  </si>
  <si>
    <t>HR, Candidate Recommendations</t>
  </si>
  <si>
    <t>New coverage (no prior Excel scenario), where HR reviews AI-matched candidates: listing/filter/search, shortlist/dismiss actions, and status-gating (terminal vs. re-actionable states).</t>
  </si>
  <si>
    <t>RecommendationsList rendered via renderWithProviders(); recommendation.service mocked at the module boundary.</t>
  </si>
  <si>
    <t>HR, Settings: Preferences &amp; Notifications</t>
  </si>
  <si>
    <t>New coverage (no prior Excel scenario), HR Settings' Preferences and Notifications tabs, both with dead-button (Coming soon) Save fixes.</t>
  </si>
  <si>
    <t>PreferencesSection / NotificationsSection rendered via renderStudio(); Free subscription fixture by default.</t>
  </si>
  <si>
    <t>Candidate, Interview Invitations</t>
  </si>
  <si>
    <t>New coverage (no prior Excel scenario), the candidate-side respond-to-invitation flow: listing/filter, accept (with validation and a 409 finding), and decline.</t>
  </si>
  <si>
    <t>InvitationsList rendered via renderCandidate(); invitation.service mocked at the module boundary.</t>
  </si>
  <si>
    <t>Candidate, Question Set Marketplace</t>
  </si>
  <si>
    <t>New coverage (no prior Excel scenario), the marketplace browse/filter/bookmark flow, including the client-side filtering workaround for a BE that only reliably filters by CompanyId.</t>
  </si>
  <si>
    <t>MarketplacePage rendered via renderCandidate(); question-set.service and admin-company.service mocked at the module boundary.</t>
  </si>
  <si>
    <t>Candidate, Practice Session</t>
  </si>
  <si>
    <t>New coverage (no prior Excel scenario), the core take-a-practice-interview flow: starting, resuming, answering/finishing, submit, an auto-completed-fallback finding, and locked Free-plan questions.</t>
  </si>
  <si>
    <t>PracticeSession rendered via renderCandidate() with a fixed set prop; practice-session.service and candidate-billing.service mocked at the module boundary.</t>
  </si>
  <si>
    <t>Shared, Premium Revoked Dialog</t>
  </si>
  <si>
    <t>New coverage (no prior Excel scenario), shown when an admin revokes a user's Premium plan mid-session (PREMIUM→FREE transition detected by the app shells).</t>
  </si>
  <si>
    <t>PremiumRevokedDialog rendered directly via renderWithProviders().</t>
  </si>
  <si>
    <t>Shared, Subscription Realtime (P0 fix)</t>
  </si>
  <si>
    <t>P0 regression coverage, createSubscriptionPaymentHubConnection() returning null instead of throwing on construction failure, and the 30s fallback poll behind useSubscriptionRealtime.</t>
  </si>
  <si>
    <t>A Probe component using useSubscriptionRealtime rendered directly via RTL's render(); @microsoft/signalr NOT mocked (fails to construct in jsdom, exercising the real fallback path); fake timers (vi.useFakeTimers()).</t>
  </si>
  <si>
    <t>Shared, Change Password (Security tab)</t>
  </si>
  <si>
    <t>New coverage (no prior Excel scenario), the change-password form shared by Candidate and HR Settings' Security tab.</t>
  </si>
  <si>
    <t>SecuritySection rendered directly via renderWithProviders(); user.service (changePassword) mocked at the module boundary.</t>
  </si>
  <si>
    <t>Gamification, XP History</t>
  </si>
  <si>
    <t>New coverage (no prior Excel scenario), the XP transaction log, standalone and embedded (Candidate Settings 'XP History' tab).</t>
  </si>
  <si>
    <t>XpHistorySection rendered directly via renderWithProviders(); gamification-api (getXpHistory) mocked at the module boundary; sessionStorage cleared per test.</t>
  </si>
  <si>
    <t>Gamification, Daily Goal Settings</t>
  </si>
  <si>
    <t>New coverage (no prior Excel scenario), the daily-XP-goal preset picker on Candidate Settings' General tab.</t>
  </si>
  <si>
    <t>DailyGoalSettings rendered directly via renderWithProviders(); gamification-api (getMyProgress/updateDailyGoal) mocked at the module boundary; sessionStorage cleared per test.</t>
  </si>
  <si>
    <t>Gamification, Progress Card</t>
  </si>
  <si>
    <t>New coverage (no prior Excel scenario), the XP/level/streak/daily-goal card shown on Candidate Profile and Settings pages.</t>
  </si>
  <si>
    <t>GamificationProgressCard rendered directly via renderWithProviders(); gamification-api (getMyProgress) mocked at the module boundary; sessionStorage cleared per test.</t>
  </si>
  <si>
    <t>Gamification, Achievement Grid</t>
  </si>
  <si>
    <t>New coverage (no prior Excel scenario), the full and compact achievement-grid variants: listing/filter/empty/retry, and compact-variant sort order.</t>
  </si>
  <si>
    <t>AchievementGrid rendered directly via renderWithProviders(); gamification-api (getAchievements) mocked at the module boundary.</t>
  </si>
  <si>
    <t>Test requirement</t>
  </si>
  <si>
    <t>Number of TCs</t>
  </si>
  <si>
    <t>Testing Round</t>
  </si>
  <si>
    <t>Passed</t>
  </si>
  <si>
    <t>Failed</t>
  </si>
  <si>
    <t>Pending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</si>
  <si>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</si>
  <si>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</si>
  <si>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</si>
  <si>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</si>
  <si>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</si>
  <si>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</si>
  <si>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</si>
  <si>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</si>
  <si>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</si>
  <si>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</si>
  <si>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</si>
  <si>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Vitest Test Cases (automated, component/service-boundary mocked)</t>
  </si>
  <si>
    <t>AUTH002-1</t>
  </si>
  <si>
    <t>empty email shows "Email is required"</t>
  </si>
  <si>
    <t>Automated, tests/unit/login.test.tsx:44</t>
  </si>
  <si>
    <t>Assertions pass: empty email shows "Email is required"</t>
  </si>
  <si>
    <t>Vitest CI</t>
  </si>
  <si>
    <t/>
  </si>
  <si>
    <t>AUTH002-2</t>
  </si>
  <si>
    <t>empty password shows "Password is required"</t>
  </si>
  <si>
    <t>Automated, tests/unit/login.test.tsx:54</t>
  </si>
  <si>
    <t>Assertions pass: empty password shows "Password is required"</t>
  </si>
  <si>
    <t>AUTH002-3</t>
  </si>
  <si>
    <t>wrong password (401) shows invalidCredentials toast</t>
  </si>
  <si>
    <t>Automated, tests/unit/login.test.tsx:65</t>
  </si>
  <si>
    <t>Assertions pass: wrong password (401) shows invalidCredentials toast</t>
  </si>
  <si>
    <t>AUTH002-4</t>
  </si>
  <si>
    <t>disabled account (403) shows accountDisabled toast</t>
  </si>
  <si>
    <t>Automated, tests/unit/login.test.tsx:77</t>
  </si>
  <si>
    <t>Assertions pass: disabled account (403) shows accountDisabled toast</t>
  </si>
  <si>
    <t>AUTH002-5</t>
  </si>
  <si>
    <t>unverified account opens the resend-verification dialog</t>
  </si>
  <si>
    <t>Automated, tests/unit/login.test.tsx:91</t>
  </si>
  <si>
    <t>Assertions pass: unverified account opens the resend-verification dialog</t>
  </si>
  <si>
    <t>AUTH002-6</t>
  </si>
  <si>
    <t>valid HR credentials redirect to /hr/dashboard</t>
  </si>
  <si>
    <t>Automated, tests/unit/login.test.tsx:105</t>
  </si>
  <si>
    <t>Assertions pass: valid HR credentials redirect to /hr/dashboard</t>
  </si>
  <si>
    <t>AUTH002-7</t>
  </si>
  <si>
    <t>valid Jobseeker credentials redirect to /jobseeker</t>
  </si>
  <si>
    <t>Automated, tests/unit/login.test.tsx:122</t>
  </si>
  <si>
    <t>Assertions pass: valid Jobseeker credentials redirect to /jobseeker</t>
  </si>
  <si>
    <t>UI017-2</t>
  </si>
  <si>
    <t>Tab order moves Email -&gt; Password -&gt; Sign in in a logical sequence</t>
  </si>
  <si>
    <t>Automated, tests/unit/login.test.tsx:146</t>
  </si>
  <si>
    <t>Assertions pass: Tab order moves Email -&gt; Password -&gt; Sign in in a logical sequence</t>
  </si>
  <si>
    <t>AUTH005-1</t>
  </si>
  <si>
    <t>blocks submit with empty email</t>
  </si>
  <si>
    <t>Automated, tests/unit/forgot-reset-password.test.tsx:37</t>
  </si>
  <si>
    <t>Assertions pass: blocks submit with empty email</t>
  </si>
  <si>
    <t>AUTH005-2</t>
  </si>
  <si>
    <t>rejects an invalid email format</t>
  </si>
  <si>
    <t>Automated, tests/unit/forgot-reset-password.test.tsx:51</t>
  </si>
  <si>
    <t>Assertions pass: rejects an invalid email format</t>
  </si>
  <si>
    <t>AUTH005-3</t>
  </si>
  <si>
    <t>shows the generic success screen for a valid email</t>
  </si>
  <si>
    <t>Automated, tests/unit/forgot-reset-password.test.tsx:60</t>
  </si>
  <si>
    <t>Assertions pass: shows the generic success screen for a valid email</t>
  </si>
  <si>
    <t>AUTH005-4</t>
  </si>
  <si>
    <t>shows the token-error panel when no token is in the URL</t>
  </si>
  <si>
    <t>Automated, tests/unit/forgot-reset-password.test.tsx:77</t>
  </si>
  <si>
    <t>Assertions pass: shows the token-error panel when no token is in the URL</t>
  </si>
  <si>
    <t>AUTH005-5</t>
  </si>
  <si>
    <t>blocks submit when the new password is under 8 characters</t>
  </si>
  <si>
    <t>Automated, tests/unit/forgot-reset-password.test.tsx:88</t>
  </si>
  <si>
    <t>Assertions pass: blocks submit when the new password is under 8 characters</t>
  </si>
  <si>
    <t>AUTH005-6</t>
  </si>
  <si>
    <t>blocks submit on confirm-password mismatch</t>
  </si>
  <si>
    <t>Automated, tests/unit/forgot-reset-password.test.tsx:99</t>
  </si>
  <si>
    <t>Assertions pass: blocks submit on confirm-password mismatch</t>
  </si>
  <si>
    <t>AUTH005-7</t>
  </si>
  <si>
    <t>an expired/invalid token (400) shows the token-error panel</t>
  </si>
  <si>
    <t>Automated, tests/unit/forgot-reset-password.test.tsx:109</t>
  </si>
  <si>
    <t>Assertions pass: an expired/invalid token (400) shows the token-error panel</t>
  </si>
  <si>
    <t>AUTH005-8</t>
  </si>
  <si>
    <t>valid submit redirects to /login?reset=success</t>
  </si>
  <si>
    <t>Automated, tests/unit/forgot-reset-password.test.tsx:124</t>
  </si>
  <si>
    <t>Assertions pass: valid submit redirects to /login?reset=success</t>
  </si>
  <si>
    <t>AUTH005-9</t>
  </si>
  <si>
    <t>the confirm-password show/hide toggle reveals the value while it doesn't match yet</t>
  </si>
  <si>
    <t>Automated, tests/unit/forgot-reset-password.test.tsx:136</t>
  </si>
  <si>
    <t>Assertions pass: the confirm-password show/hide toggle reveals the value while it doesn't match yet</t>
  </si>
  <si>
    <t>AUTH005-10</t>
  </si>
  <si>
    <t>once the confirm password matches, the toggle is replaced by a match checkmark</t>
  </si>
  <si>
    <t>Automated, tests/unit/forgot-reset-password.test.tsx:150</t>
  </si>
  <si>
    <t>Assertions pass: once the confirm password matches, the toggle is replaced by a match checkmark</t>
  </si>
  <si>
    <t>AUTH004-1</t>
  </si>
  <si>
    <t>no email in URL shows the missing-email view</t>
  </si>
  <si>
    <t>Automated, tests/unit/verify-email.test.tsx:43</t>
  </si>
  <si>
    <t>Assertions pass: no email in URL shows the missing-email view</t>
  </si>
  <si>
    <t>AUTH004-2</t>
  </si>
  <si>
    <t>correct OTP shows the success panel and redirects to /login</t>
  </si>
  <si>
    <t>Automated, tests/unit/verify-email.test.tsx:49</t>
  </si>
  <si>
    <t>Assertions pass: correct OTP shows the success panel and redirects to /login</t>
  </si>
  <si>
    <t>AUTH004-3</t>
  </si>
  <si>
    <t>wrong OTP shows an error and clears the boxes</t>
  </si>
  <si>
    <t>Automated, tests/unit/verify-email.test.tsx:66</t>
  </si>
  <si>
    <t>Assertions pass: wrong OTP shows an error and clears the boxes</t>
  </si>
  <si>
    <t>AUTH004-4</t>
  </si>
  <si>
    <t>resend fires immediately and then disables with a cooldown</t>
  </si>
  <si>
    <t>Automated, tests/unit/verify-email.test.tsx:82</t>
  </si>
  <si>
    <t>Assertions pass: resend fires immediately and then disables with a cooldown</t>
  </si>
  <si>
    <t>AUTH004-5</t>
  </si>
  <si>
    <t>pasting 6 digits at once auto-fills all boxes</t>
  </si>
  <si>
    <t>Automated, tests/unit/verify-email.test.tsx:95</t>
  </si>
  <si>
    <t>Assertions pass: pasting 6 digits at once auto-fills all boxes</t>
  </si>
  <si>
    <t>AUTH001-1</t>
  </si>
  <si>
    <t>blocks Continue when full name is empty</t>
  </si>
  <si>
    <t>Automated, tests/unit/register-hr.test.tsx:47</t>
  </si>
  <si>
    <t>Assertions pass: blocks Continue when full name is empty</t>
  </si>
  <si>
    <t>AUTH001-2</t>
  </si>
  <si>
    <t>blocks Continue when password is under 8 characters</t>
  </si>
  <si>
    <t>Automated, tests/unit/register-hr.test.tsx:56</t>
  </si>
  <si>
    <t>Assertions pass: blocks Continue when password is under 8 characters</t>
  </si>
  <si>
    <t>AUTH001-3</t>
  </si>
  <si>
    <t>blocks Continue when password is missing a complexity class</t>
  </si>
  <si>
    <t>Automated, tests/unit/register-hr.test.tsx:67</t>
  </si>
  <si>
    <t>Assertions pass: blocks Continue when password is missing a complexity class</t>
  </si>
  <si>
    <t>AUTH001-4</t>
  </si>
  <si>
    <t>blocks Continue on confirm-password mismatch</t>
  </si>
  <si>
    <t>Automated, tests/unit/register-hr.test.tsx:82</t>
  </si>
  <si>
    <t>Assertions pass: blocks Continue on confirm-password mismatch</t>
  </si>
  <si>
    <t>AUTH001-5</t>
  </si>
  <si>
    <t>valid input advances to step 2</t>
  </si>
  <si>
    <t>Automated, tests/unit/register-hr.test.tsx:93</t>
  </si>
  <si>
    <t>Assertions pass: valid input advances to step 2</t>
  </si>
  <si>
    <t>AUTH001-6</t>
  </si>
  <si>
    <t>blocks submit when not agreed to terms</t>
  </si>
  <si>
    <t>Automated, tests/unit/register-hr.test.tsx:103</t>
  </si>
  <si>
    <t>Assertions pass: blocks submit when not agreed to terms</t>
  </si>
  <si>
    <t>AUTH001-7</t>
  </si>
  <si>
    <t>blocks submit when company name or job title is empty</t>
  </si>
  <si>
    <t>Automated, tests/unit/register-hr.test.tsx:113</t>
  </si>
  <si>
    <t>Assertions pass: blocks submit when company name or job title is empty</t>
  </si>
  <si>
    <t>AUTH001-8</t>
  </si>
  <si>
    <t>valid submit redirects to /verify-email</t>
  </si>
  <si>
    <t>Automated, tests/unit/register-hr.test.tsx:123</t>
  </si>
  <si>
    <t>Assertions pass: valid submit redirects to /verify-email</t>
  </si>
  <si>
    <t>AUTH001-9</t>
  </si>
  <si>
    <t>duplicate email (409) jumps back to step 1 with an inline error</t>
  </si>
  <si>
    <t>Automated, tests/unit/register-hr.test.tsx:139</t>
  </si>
  <si>
    <t>Assertions pass: duplicate email (409) jumps back to step 1 with an inline error</t>
  </si>
  <si>
    <t>AUTH003-1</t>
  </si>
  <si>
    <t>Automated, tests/unit/register-jobseeker.test.tsx:48</t>
  </si>
  <si>
    <t>AUTH003-2</t>
  </si>
  <si>
    <t>blocks Continue on invalid email format</t>
  </si>
  <si>
    <t>Automated, tests/unit/register-jobseeker.test.tsx:57</t>
  </si>
  <si>
    <t>Assertions pass: blocks Continue on invalid email format</t>
  </si>
  <si>
    <t>AUTH003-3</t>
  </si>
  <si>
    <t>Automated, tests/unit/register-jobseeker.test.tsx:68</t>
  </si>
  <si>
    <t>AUTH003-4</t>
  </si>
  <si>
    <t>Automated, tests/unit/register-jobseeker.test.tsx:79</t>
  </si>
  <si>
    <t>AUTH003-5</t>
  </si>
  <si>
    <t>Automated, tests/unit/register-jobseeker.test.tsx:94</t>
  </si>
  <si>
    <t>AUTH003-6</t>
  </si>
  <si>
    <t>Automated, tests/unit/register-jobseeker.test.tsx:105</t>
  </si>
  <si>
    <t>AUTH003-7</t>
  </si>
  <si>
    <t>blocks submit when target role, seniority, and tech stack are all empty</t>
  </si>
  <si>
    <t>Automated, tests/unit/register-jobseeker.test.tsx:115</t>
  </si>
  <si>
    <t>Assertions pass: blocks submit when target role, seniority, and tech stack are all empty</t>
  </si>
  <si>
    <t>AUTH003-8</t>
  </si>
  <si>
    <t>Automated, tests/unit/register-jobseeker.test.tsx:133</t>
  </si>
  <si>
    <t>AUTH003-9</t>
  </si>
  <si>
    <t>Automated, tests/unit/register-jobseeker.test.tsx:148</t>
  </si>
  <si>
    <t>AUTH006-1</t>
  </si>
  <si>
    <t>unauthenticated user is redirected to /login</t>
  </si>
  <si>
    <t>Automated, tests/unit/admin-access-control.test.tsx:62</t>
  </si>
  <si>
    <t>Assertions pass: unauthenticated user is redirected to /login</t>
  </si>
  <si>
    <t>AUTH006-2</t>
  </si>
  <si>
    <t>HR role is denied with a toast and redirected to /hr/dashboard</t>
  </si>
  <si>
    <t>Automated, tests/unit/admin-access-control.test.tsx:72</t>
  </si>
  <si>
    <t>Assertions pass: HR role is denied with a toast and redirected to /hr/dashboard</t>
  </si>
  <si>
    <t>AUTH006-3</t>
  </si>
  <si>
    <t>Jobseeker role is denied with a toast and redirected to /jobseeker</t>
  </si>
  <si>
    <t>Automated, tests/unit/admin-access-control.test.tsx:88</t>
  </si>
  <si>
    <t>Assertions pass: Jobseeker role is denied with a toast and redirected to /jobseeker</t>
  </si>
  <si>
    <t>AUTH006-4</t>
  </si>
  <si>
    <t>Admin role renders the guarded page normally</t>
  </si>
  <si>
    <t>Automated, tests/unit/admin-access-control.test.tsx:104</t>
  </si>
  <si>
    <t>Assertions pass: Admin role renders the guarded page normally</t>
  </si>
  <si>
    <t>AUTH008-1</t>
  </si>
  <si>
    <t>search filters the visible list</t>
  </si>
  <si>
    <t>Automated, tests/unit/admin-manage-users.test.tsx:52</t>
  </si>
  <si>
    <t>Assertions pass: search filters the visible list</t>
  </si>
  <si>
    <t>AUTH008-2</t>
  </si>
  <si>
    <t>Clear filters restores the full list</t>
  </si>
  <si>
    <t>Automated, tests/unit/admin-manage-users.test.tsx:68</t>
  </si>
  <si>
    <t>Assertions pass: Clear filters restores the full list</t>
  </si>
  <si>
    <t>AUTH008-3</t>
  </si>
  <si>
    <t>deactivating a user shows a confirm dialog, then a success toast</t>
  </si>
  <si>
    <t>Automated, tests/unit/admin-manage-users.test.tsx:82</t>
  </si>
  <si>
    <t>Assertions pass: deactivating a user shows a confirm dialog, then a success toast</t>
  </si>
  <si>
    <t>AUTH008-4</t>
  </si>
  <si>
    <t>reactivating a suspended user shows the reactivate confirm dialog</t>
  </si>
  <si>
    <t>Automated, tests/unit/admin-manage-users.test.tsx:103</t>
  </si>
  <si>
    <t>Assertions pass: reactivating a suspended user shows the reactivate confirm dialog</t>
  </si>
  <si>
    <t>AUTH008-5</t>
  </si>
  <si>
    <t>list load failure shows an error with a working Retry</t>
  </si>
  <si>
    <t>Automated, tests/unit/admin-manage-users.test.tsx:124</t>
  </si>
  <si>
    <t>Assertions pass: list load failure shows an error with a working Retry</t>
  </si>
  <si>
    <t>AUTH008-6</t>
  </si>
  <si>
    <t>numbered pagination renders page buttons and navigates on click</t>
  </si>
  <si>
    <t>Automated, tests/unit/admin-manage-users.test.tsx:136</t>
  </si>
  <si>
    <t>Assertions pass: numbered pagination renders page buttons and navigates on click</t>
  </si>
  <si>
    <t>AUTH008-7</t>
  </si>
  <si>
    <t>ellipsis separators appear once total pages exceeds 7</t>
  </si>
  <si>
    <t>Automated, tests/unit/admin-manage-users.test.tsx:161</t>
  </si>
  <si>
    <t>Assertions pass: ellipsis separators appear once total pages exceeds 7</t>
  </si>
  <si>
    <t>UI014-1</t>
  </si>
  <si>
    <t>the users table wraps in its own horizontal scroll container instead of widening the page</t>
  </si>
  <si>
    <t>Automated, tests/unit/admin-manage-users.test.tsx:188</t>
  </si>
  <si>
    <t>Assertions pass: the users table wraps in its own horizontal scroll container instead of widening the page</t>
  </si>
  <si>
    <t>RGA016-1</t>
  </si>
  <si>
    <t>a 403 starting a session shows the friendly "no access" message, not a raw error</t>
  </si>
  <si>
    <t>Automated, tests/unit/candidate-forbidden.test.tsx:68</t>
  </si>
  <si>
    <t>Assertions pass: a 403 starting a session shows the friendly "no access" message, not a raw error</t>
  </si>
  <si>
    <t>RGA016-2</t>
  </si>
  <si>
    <t>a plain error falls through to the generic start-error state instead of the forbidden message</t>
  </si>
  <si>
    <t>Automated, tests/unit/candidate-forbidden.test.tsx:80</t>
  </si>
  <si>
    <t>Assertions pass: a plain error falls through to the generic start-error state instead of the forbidden message</t>
  </si>
  <si>
    <t>AUTH007-1</t>
  </si>
  <si>
    <t>blocks save when full name is cleared to empty</t>
  </si>
  <si>
    <t>Automated, tests/unit/hr-profile.test.tsx:61</t>
  </si>
  <si>
    <t>Assertions pass: blocks save when full name is cleared to empty</t>
  </si>
  <si>
    <t>AUTH007-2</t>
  </si>
  <si>
    <t>invalid LinkedIn URL shows an inline error and disables Save</t>
  </si>
  <si>
    <t>Automated, tests/unit/hr-profile.test.tsx:68</t>
  </si>
  <si>
    <t>Assertions pass: invalid LinkedIn URL shows an inline error and disables Save</t>
  </si>
  <si>
    <t>AUTH007-3</t>
  </si>
  <si>
    <t>valid edits save successfully</t>
  </si>
  <si>
    <t>Automated, tests/unit/hr-profile.test.tsx:77</t>
  </si>
  <si>
    <t>Assertions pass: valid edits save successfully</t>
  </si>
  <si>
    <t>AUTH007-4</t>
  </si>
  <si>
    <t>Cancel discards unsaved edits</t>
  </si>
  <si>
    <t>Automated, tests/unit/hr-profile.test.tsx:90</t>
  </si>
  <si>
    <t>Assertions pass: Cancel discards unsaved edits</t>
  </si>
  <si>
    <t>AUTH007-5</t>
  </si>
  <si>
    <t>email field is always read-only</t>
  </si>
  <si>
    <t>Automated, tests/unit/hr-profile.test.tsx:102</t>
  </si>
  <si>
    <t>Assertions pass: email field is always read-only</t>
  </si>
  <si>
    <t>AUTH007-6</t>
  </si>
  <si>
    <t>avatar upload rejects a non-image file type</t>
  </si>
  <si>
    <t>Automated, tests/unit/hr-profile.test.tsx:110</t>
  </si>
  <si>
    <t>Assertions pass: avatar upload rejects a non-image file type</t>
  </si>
  <si>
    <t>AUTH007-7</t>
  </si>
  <si>
    <t>avatar upload rejects a file over 2MB</t>
  </si>
  <si>
    <t>Automated, tests/unit/hr-profile.test.tsx:122</t>
  </si>
  <si>
    <t>Assertions pass: avatar upload rejects a file over 2MB</t>
  </si>
  <si>
    <t>AUTH007-8</t>
  </si>
  <si>
    <t>a valid avatar uploads and updates the preview immediately</t>
  </si>
  <si>
    <t>Automated, tests/unit/hr-profile.test.tsx:131</t>
  </si>
  <si>
    <t>Assertions pass: a valid avatar uploads and updates the preview immediately</t>
  </si>
  <si>
    <t>RGA001-1</t>
  </si>
  <si>
    <t>a 401 followed by a successful refresh transparently retries the request</t>
  </si>
  <si>
    <t>Automated, tests/unit/auth-interceptor.test.ts:94</t>
  </si>
  <si>
    <t>Assertions pass: a 401 followed by a successful refresh transparently retries the request</t>
  </si>
  <si>
    <t>RGA002-1</t>
  </si>
  <si>
    <t>a 401 with a failed refresh clears auth and redirects to login</t>
  </si>
  <si>
    <t>Automated, tests/unit/auth-interceptor.test.ts:110</t>
  </si>
  <si>
    <t>Assertions pass: a 401 with a failed refresh clears auth and redirects to login</t>
  </si>
  <si>
    <t>RGA003-1</t>
  </si>
  <si>
    <t>no refresh token at all skips the network call and redirects immediately</t>
  </si>
  <si>
    <t>Automated, tests/unit/auth-interceptor.test.ts:120</t>
  </si>
  <si>
    <t>Assertions pass: no refresh token at all skips the network call and redirects immediately</t>
  </si>
  <si>
    <t>RGA004-1</t>
  </si>
  <si>
    <t>a 401 on the refresh endpoint itself clears auth and redirects, without retrying refresh again</t>
  </si>
  <si>
    <t>Automated, tests/unit/auth-interceptor.test.ts:135</t>
  </si>
  <si>
    <t>Assertions pass: a 401 on the refresh endpoint itself clears auth and redirects, without retrying refresh again</t>
  </si>
  <si>
    <t>RGA006-1</t>
  </si>
  <si>
    <t>401 on a public auth endpoint (login) does not trigger refresh/redirect</t>
  </si>
  <si>
    <t>Automated, tests/unit/auth-interceptor.test.ts:150</t>
  </si>
  <si>
    <t>Assertions pass: 401 on a public auth endpoint (login) does not trigger refresh/redirect</t>
  </si>
  <si>
    <t>RGA005-1a</t>
  </si>
  <si>
    <t>a 403 response is not special-cased, no refresh attempt, no redirect</t>
  </si>
  <si>
    <t>Automated, tests/unit/auth-interceptor.test.ts:164</t>
  </si>
  <si>
    <t>Assertions pass: a 403 response is not special-cased, no refresh attempt, no redirect</t>
  </si>
  <si>
    <t>RGA005-1b</t>
  </si>
  <si>
    <t>a 401 on an already-retried request clears auth and redirects, without a second refresh</t>
  </si>
  <si>
    <t>Automated, tests/unit/auth-interceptor.test.ts:178</t>
  </si>
  <si>
    <t>Assertions pass: a 401 on an already-retried request clears auth and redirects, without a second refresh</t>
  </si>
  <si>
    <t>RGA017-1 (finding)</t>
  </si>
  <si>
    <t>the interceptor reads tokens via getAccessToken/getRefreshToken, not a cookie</t>
  </si>
  <si>
    <t>Automated, tests/unit/auth-interceptor.test.ts:197</t>
  </si>
  <si>
    <t>Assertions pass: the interceptor reads tokens via getAccessToken/getRefreshToken, not a cookie</t>
  </si>
  <si>
    <t>Documents an existing app behavior/finding, not a test-framework issue.</t>
  </si>
  <si>
    <t>RGA019-1</t>
  </si>
  <si>
    <t>a failed refresh triggers clearAuth() (which is responsible for clearing the cached profile)</t>
  </si>
  <si>
    <t>Automated, tests/unit/auth-interceptor.test.ts:212</t>
  </si>
  <si>
    <t>Assertions pass: a failed refresh triggers clearAuth() (which is responsible for clearing the cached profile)</t>
  </si>
  <si>
    <t>RGA020-1</t>
  </si>
  <si>
    <t>a successful refresh passes the server's rotated tokens to setAuthTokens</t>
  </si>
  <si>
    <t>Automated, tests/unit/auth-interceptor.test.ts:221</t>
  </si>
  <si>
    <t>Assertions pass: a successful refresh passes the server's rotated tokens to setAuthTokens</t>
  </si>
  <si>
    <t>RGA007-1</t>
  </si>
  <si>
    <t>two concurrent 401s share a single de-duped refresh call</t>
  </si>
  <si>
    <t>Automated, tests/unit/auth-interceptor.test.ts:235</t>
  </si>
  <si>
    <t>Assertions pass: two concurrent 401s share a single de-duped refresh call</t>
  </si>
  <si>
    <t>RGA011-1</t>
  </si>
  <si>
    <t>a bare 5xx with no error body surfaces the friendly server-unavailable message</t>
  </si>
  <si>
    <t>Automated, tests/unit/error-interceptor.test.ts:15</t>
  </si>
  <si>
    <t>Assertions pass: a bare 5xx with no error body surfaces the friendly server-unavailable message</t>
  </si>
  <si>
    <t>Former finding, fixed by the 10/09/2026 merge: extractErrorMessage() now maps 5xx to SERVER_ERROR_MESSAGES. Case updated 12/09/2026.</t>
  </si>
  <si>
    <t>a response body with a message field is preferred over the raw axios message</t>
  </si>
  <si>
    <t>Automated, tests/unit/error-interceptor.test.ts:25</t>
  </si>
  <si>
    <t>Assertions pass: a response body with a message field is preferred over the raw axios message</t>
  </si>
  <si>
    <t>a known subscription errorCode maps to its canned message</t>
  </si>
  <si>
    <t>Automated, tests/unit/error-interceptor.test.ts:33</t>
  </si>
  <si>
    <t>Assertions pass: a known subscription errorCode maps to its canned message</t>
  </si>
  <si>
    <t>a completely bodyless/non-axios error falls back to the generic message</t>
  </si>
  <si>
    <t>Automated, tests/unit/error-interceptor.test.ts:43</t>
  </si>
  <si>
    <t>Assertions pass: a completely bodyless/non-axios error falls back to the generic message</t>
  </si>
  <si>
    <t>RAG010-ST-1</t>
  </si>
  <si>
    <t>Free plan in cooldown shows a full-page blocking alertdialog</t>
  </si>
  <si>
    <t>Automated, tests/unit/studio-quota.test.tsx:52</t>
  </si>
  <si>
    <t>Assertions pass: Free plan in cooldown shows a full-page blocking alertdialog</t>
  </si>
  <si>
    <t>RAG010-ST-2</t>
  </si>
  <si>
    <t>the blocking dialog covers the content area</t>
  </si>
  <si>
    <t>Automated, tests/unit/studio-quota.test.tsx:64</t>
  </si>
  <si>
    <t>Assertions pass: the blocking dialog covers the content area</t>
  </si>
  <si>
    <t>RAG010-ST-3</t>
  </si>
  <si>
    <t>"Create manually" navigates to /hr/generate-question/manual</t>
  </si>
  <si>
    <t>Automated, tests/unit/studio-quota.test.tsx:71</t>
  </si>
  <si>
    <t>Assertions pass: "Create manually" navigates to /hr/generate-question/manual</t>
  </si>
  <si>
    <t>RAG010-ST-4</t>
  </si>
  <si>
    <t>no dialog and the Studio page is fully usable when quota is not exceeded</t>
  </si>
  <si>
    <t>Automated, tests/unit/studio-quota.test.tsx:80</t>
  </si>
  <si>
    <t>Assertions pass: no dialog and the Studio page is fully usable when quota is not exceeded</t>
  </si>
  <si>
    <t>RAG010-ST-5</t>
  </si>
  <si>
    <t>the blocking dialog is suppressed while a generation run is already in flight</t>
  </si>
  <si>
    <t>Automated, tests/unit/studio-quota.test.tsx:87</t>
  </si>
  <si>
    <t>Assertions pass: the blocking dialog is suppressed while a generation run is already in flight</t>
  </si>
  <si>
    <t>RAG010-ST-6</t>
  </si>
  <si>
    <t>the dialog surfaces automatically once the in-flight run completes</t>
  </si>
  <si>
    <t>Automated, tests/unit/studio-quota.test.tsx:100</t>
  </si>
  <si>
    <t>Assertions pass: the dialog surfaces automatically once the in-flight run completes</t>
  </si>
  <si>
    <t>RAG037/RAG039, verify the Action bar's single primary CTA label/enabled-state machine across the Create Plan -&gt; Approve Plan -&gt; Generate Questions -&gt; Completed lifecycle.</t>
  </si>
  <si>
    <t>RAG039-1 / RAG037-1</t>
  </si>
  <si>
    <t>before any plan exists, status reads "Enter JD to start" and Create Plan is disabled, no Questions tab</t>
  </si>
  <si>
    <t>Automated, tests/unit/studio-cta-states.test.tsx:45</t>
  </si>
  <si>
    <t>Assertions pass: before any plan exists, status reads "Enter JD to start" and Create Plan is disabled, no Questions tab</t>
  </si>
  <si>
    <t>RAG037-2</t>
  </si>
  <si>
    <t>an unapproved plan shows "Approve Plan" as the CTA</t>
  </si>
  <si>
    <t>Automated, tests/unit/studio-cta-states.test.tsx:56</t>
  </si>
  <si>
    <t>Assertions pass: an unapproved plan shows "Approve Plan" as the CTA</t>
  </si>
  <si>
    <t>RAG037-3 / RAG039-2</t>
  </si>
  <si>
    <t>an approved plan with no questions yet shows "Generate Questions", still no Questions tab</t>
  </si>
  <si>
    <t>Automated, tests/unit/studio-cta-states.test.tsx:70</t>
  </si>
  <si>
    <t>Assertions pass: an approved plan with no questions yet shows "Generate Questions", still no Questions tab</t>
  </si>
  <si>
    <t>RAG037-4</t>
  </si>
  <si>
    <t>once questions exist, the CTA becomes a disabled "Completed" state</t>
  </si>
  <si>
    <t>Automated, tests/unit/studio-cta-states.test.tsx:85</t>
  </si>
  <si>
    <t>Assertions pass: once questions exist, the CTA becomes a disabled "Completed" state</t>
  </si>
  <si>
    <t>RAG005-013/RAG008/RAG029-1, verify the happy-path question-generation flow, a QUESTIONS_ALREADY_EXIST confirm-then-retry flow, subscription-error-code toast mapping, question edit/delete (via a ConfirmDialog)/regenerate (via a note dialog), Save/Publish (via a subset-selection dialog)/Unpublish/Share, New Set reset, and the 5-minute generation-timeout recovery message.</t>
  </si>
  <si>
    <t>RAG005-ST</t>
  </si>
  <si>
    <t>happy-path generate flow shows the RAG-started and questions-generated toasts</t>
  </si>
  <si>
    <t>Automated, tests/unit/studio-flow.test.tsx:61</t>
  </si>
  <si>
    <t>Assertions pass: happy-path generate flow shows the RAG-started and questions-generated toasts</t>
  </si>
  <si>
    <t>RAG006-ST</t>
  </si>
  <si>
    <t>a QUESTIONS_ALREADY_EXIST conflict auto-retries with replaceExisting</t>
  </si>
  <si>
    <t>Automated, tests/unit/studio-flow.test.tsx:83</t>
  </si>
  <si>
    <t>Assertions pass: a QUESTIONS_ALREADY_EXIST conflict auto-retries with replaceExisting</t>
  </si>
  <si>
    <t>RAG007-ST</t>
  </si>
  <si>
    <t>a Failed generation run surfaces the RAG error code/message as a toast</t>
  </si>
  <si>
    <t>Automated, tests/unit/studio-flow.test.tsx:112</t>
  </si>
  <si>
    <t>Assertions pass: a Failed generation run surfaces the RAG error code/message as a toast</t>
  </si>
  <si>
    <t>RGA-SUB-1</t>
  </si>
  <si>
    <t>a QUOTA_EXCEEDED errorCode on the generate call maps to the canned subscription message</t>
  </si>
  <si>
    <t>Automated, tests/unit/studio-flow.test.tsx:132</t>
  </si>
  <si>
    <t>Assertions pass: a QUOTA_EXCEEDED errorCode on the generate call maps to the canned subscription message</t>
  </si>
  <si>
    <t>RGA-SUB-2</t>
  </si>
  <si>
    <t>an unrecognized errorCode falls back to the raw backend detail message</t>
  </si>
  <si>
    <t>Automated, tests/unit/studio-flow.test.tsx:151</t>
  </si>
  <si>
    <t>Assertions pass: an unrecognized errorCode falls back to the raw backend detail message</t>
  </si>
  <si>
    <t>RAG012-ST-1</t>
  </si>
  <si>
    <t>editing a generated question's content persists via PUT and re-renders</t>
  </si>
  <si>
    <t>Automated, tests/unit/studio-flow.test.tsx:170</t>
  </si>
  <si>
    <t>Assertions pass: editing a generated question's content persists via PUT and re-renders</t>
  </si>
  <si>
    <t>RAG012-ST-2</t>
  </si>
  <si>
    <t>deleting a question asks for confirmation, calls DELETE, and removes it from the list</t>
  </si>
  <si>
    <t>Automated, tests/unit/studio-flow.test.tsx:194</t>
  </si>
  <si>
    <t>Assertions pass: deleting a question asks for confirmation, calls DELETE, and removes it from the list</t>
  </si>
  <si>
    <t>RAG012-ST-3</t>
  </si>
  <si>
    <t>regenerating a question calls the regenerate endpoint then re-fetches the list</t>
  </si>
  <si>
    <t>Automated, tests/unit/studio-flow.test.tsx:213</t>
  </si>
  <si>
    <t>Assertions pass: regenerating a question calls the regenerate endpoint then re-fetches the list</t>
  </si>
  <si>
    <t>RAG013-ST-3</t>
  </si>
  <si>
    <t>Share creates a link, copies it to clipboard, and shows a confirmation toast</t>
  </si>
  <si>
    <t>Automated, tests/unit/studio-flow.test.tsx:239</t>
  </si>
  <si>
    <t>Assertions pass: Share creates a link, copies it to clipboard, and shows a confirmation toast</t>
  </si>
  <si>
    <t>RAG013-ST-1</t>
  </si>
  <si>
    <t>Save draft persists and shows a confirmation toast</t>
  </si>
  <si>
    <t>Automated, tests/unit/studio-flow.test.tsx:260</t>
  </si>
  <si>
    <t>Assertions pass: Save draft persists and shows a confirmation toast</t>
  </si>
  <si>
    <t>RAG013-ST-2</t>
  </si>
  <si>
    <t>Publish then unpublish toggles state and fires the correct endpoints</t>
  </si>
  <si>
    <t>Automated, tests/unit/studio-flow.test.tsx:277</t>
  </si>
  <si>
    <t>Assertions pass: Publish then unpublish toggles state and fires the correct endpoints</t>
  </si>
  <si>
    <t>RAG029-1</t>
  </si>
  <si>
    <t>"New Set" creates a fresh project and resets JD/plan/settings/questions to blank</t>
  </si>
  <si>
    <t>Automated, tests/unit/studio-flow.test.tsx:306</t>
  </si>
  <si>
    <t>Assertions pass: "New Set" creates a fresh project and resets JD/plan/settings/questions to blank</t>
  </si>
  <si>
    <t>RAG008-1</t>
  </si>
  <si>
    <t>a generation run stuck "Generating" for the full 5-minute deadline shows the timeout recovery message</t>
  </si>
  <si>
    <t>Automated, tests/unit/studio-flow.test.tsx:419</t>
  </si>
  <si>
    <t>Assertions pass: a generation run stuck "Generating" for the full 5-minute deadline shows the timeout recovery message</t>
  </si>
  <si>
    <t>StudioPage rendered via renderStudio(); studio.service mocked at the module boundary.</t>
  </si>
  <si>
    <t>RAG031-1</t>
  </si>
  <si>
    <t>an already-attached document shows "Attached" and cannot be re-picked</t>
  </si>
  <si>
    <t>Automated, tests/unit/studio-kb-library.test.tsx:52</t>
  </si>
  <si>
    <t>Assertions pass: an already-attached document shows "Attached" and cannot be re-picked</t>
  </si>
  <si>
    <t>RAG031-2</t>
  </si>
  <si>
    <t>a still-processing (non-COMPLETED) document is not selectable either</t>
  </si>
  <si>
    <t>Automated, tests/unit/studio-kb-library.test.tsx:58</t>
  </si>
  <si>
    <t>Assertions pass: a still-processing (non-COMPLETED) document is not selectable either</t>
  </si>
  <si>
    <t>RAG031-3</t>
  </si>
  <si>
    <t>picking a COMPLETED, not-yet-attached doc and clicking Attach calls the attach endpoint with its id</t>
  </si>
  <si>
    <t>Automated, tests/unit/studio-kb-library.test.tsx:65</t>
  </si>
  <si>
    <t>Assertions pass: picking a COMPLETED, not-yet-attached doc and clicking Attach calls the attach endpoint with its id</t>
  </si>
  <si>
    <t>RAG027, verify the Sample JD modal's Use/Close/Backdrop/Escape/Copy interactions.</t>
  </si>
  <si>
    <t>RAG027-2</t>
  </si>
  <si>
    <t>the close (X) button dismisses the modal without touching the JD field</t>
  </si>
  <si>
    <t>Automated, tests/unit/studio-sample-jd.test.tsx:87</t>
  </si>
  <si>
    <t>Assertions pass: the close (X) button dismisses the modal without touching the JD field</t>
  </si>
  <si>
    <t>RAG027-3</t>
  </si>
  <si>
    <t>clicking the backdrop also dismisses the modal</t>
  </si>
  <si>
    <t>Automated, tests/unit/studio-sample-jd.test.tsx:98</t>
  </si>
  <si>
    <t>Assertions pass: clicking the backdrop also dismisses the modal</t>
  </si>
  <si>
    <t>RAG027-4 (finding)</t>
  </si>
  <si>
    <t>pressing Escape does NOT close the Sample JD modal, unlike the HR upgrade modal</t>
  </si>
  <si>
    <t>Automated, tests/unit/studio-sample-jd.test.tsx:112</t>
  </si>
  <si>
    <t>Assertions pass: pressing Escape does NOT close the Sample JD modal, unlike the HR upgrade modal</t>
  </si>
  <si>
    <t>RAG027-5</t>
  </si>
  <si>
    <t>the Copy button copies the sample JD to the clipboard and shows "Copied" feedback that reverts</t>
  </si>
  <si>
    <t>Automated, tests/unit/studio-sample-jd.test.tsx:121</t>
  </si>
  <si>
    <t>Assertions pass: the Copy button copies the sample JD to the clipboard and shows "Copied" feedback that reverts</t>
  </si>
  <si>
    <t>RAG003-1</t>
  </si>
  <si>
    <t>document status chips reflect Ready/Processing/Error with correct color and icon</t>
  </si>
  <si>
    <t>Automated, tests/unit/studio-sources-panel.test.tsx:38</t>
  </si>
  <si>
    <t>Assertions pass: document status chips reflect Ready/Processing/Error with correct color and icon</t>
  </si>
  <si>
    <t>RAG004-1</t>
  </si>
  <si>
    <t>once questions are generated, the Sources panel locks, JD field disabled with a lock hint</t>
  </si>
  <si>
    <t>Automated, tests/unit/studio-sources-panel.test.tsx:62</t>
  </si>
  <si>
    <t>Assertions pass: once questions are generated, the Sources panel locks, JD field disabled with a lock hint</t>
  </si>
  <si>
    <t>RAG004-2</t>
  </si>
  <si>
    <t>before any questions exist, the Sources panel is fully editable (no lock overlay)</t>
  </si>
  <si>
    <t>Automated, tests/unit/studio-sources-panel.test.tsx:77</t>
  </si>
  <si>
    <t>Assertions pass: before any questions exist, the Sources panel is fully editable (no lock overlay)</t>
  </si>
  <si>
    <t>RAG034-1</t>
  </si>
  <si>
    <t>uploading a brand-new document starts it at Queued/Processing, unlike attach-from-library, which starts already Completed</t>
  </si>
  <si>
    <t>Automated, tests/unit/studio-sources-panel.test.tsx:86</t>
  </si>
  <si>
    <t>Assertions pass: uploading a brand-new document starts it at Queued/Processing, unlike attach-from-library, which starts already Completed</t>
  </si>
  <si>
    <t>RAG001-1</t>
  </si>
  <si>
    <t>Save &amp; Analyze is disabled until the JD textarea has real (non-whitespace) content</t>
  </si>
  <si>
    <t>Automated, tests/unit/studio-sources-panel.test.tsx:118</t>
  </si>
  <si>
    <t>Assertions pass: Save &amp; Analyze is disabled until the JD textarea has real (non-whitespace) content</t>
  </si>
  <si>
    <t>RAG001-2</t>
  </si>
  <si>
    <t>clearing the JD textarea back to empty disables Save &amp; Analyze again</t>
  </si>
  <si>
    <t>Automated, tests/unit/studio-sources-panel.test.tsx:136</t>
  </si>
  <si>
    <t>Assertions pass: clearing the JD textarea back to empty disables Save &amp; Analyze again</t>
  </si>
  <si>
    <t>RAG002-1</t>
  </si>
  <si>
    <t>a valid PDF is forwarded to the upload service and its content/summary populate the panel</t>
  </si>
  <si>
    <t>Automated, tests/unit/studio-sources-panel.test.tsx:152</t>
  </si>
  <si>
    <t>Assertions pass: a valid PDF is forwarded to the upload service and its content/summary populate the panel</t>
  </si>
  <si>
    <t>RAG002-2 (finding)</t>
  </si>
  <si>
    <t>the .pdf/.docx/.txt/.jpg/.jpeg/.png restriction is only the file input's "accept" attribute, nothing in the app rejects a disallowed file type before forwarding it to the upload service</t>
  </si>
  <si>
    <t>Automated, tests/unit/studio-sources-panel.test.tsx:171</t>
  </si>
  <si>
    <t>Assertions pass: the .pdf/.docx/.txt/.jpg/.jpeg/.png restriction is only the file input's "accept" attribute, nothing in the app rejects a disallowed file type before forwarding it to the upload service</t>
  </si>
  <si>
    <t>RAG002-3</t>
  </si>
  <si>
    <t>(regression) when the upload fails, an error toast shows and the dropzone recovers to its empty state instead of a phantom uploaded-file card</t>
  </si>
  <si>
    <t>Automated, tests/unit/studio-sources-panel.test.tsx:193</t>
  </si>
  <si>
    <t>Assertions pass: (regression) when the upload fails, an error toast shows and the dropzone recovers to its empty state instead of a phantom uploaded-file card</t>
  </si>
  <si>
    <t>RAG028-1</t>
  </si>
  <si>
    <t>a PUBLISHED question set blocks Add/Edit/Delete/Reorder with a lock hint</t>
  </si>
  <si>
    <t>Automated, tests/unit/history-published-set.test.tsx:59</t>
  </si>
  <si>
    <t>Assertions pass: a PUBLISHED question set blocks Add/Edit/Delete/Reorder with a lock hint</t>
  </si>
  <si>
    <t>RAG028-2</t>
  </si>
  <si>
    <t>a DRAFT (unpublished) question set allows normal editing, no lock hint, Add Question present</t>
  </si>
  <si>
    <t>Automated, tests/unit/history-published-set.test.tsx:70</t>
  </si>
  <si>
    <t>Assertions pass: a DRAFT (unpublished) question set allows normal editing, no lock hint, Add Question present</t>
  </si>
  <si>
    <t>RAG028-3</t>
  </si>
  <si>
    <t>the time-limit chip on a PUBLISHED set opens the dialog and saves a new limit</t>
  </si>
  <si>
    <t>Automated, tests/unit/history-published-set.test.tsx:92</t>
  </si>
  <si>
    <t>Assertions pass: the time-limit chip on a PUBLISHED set opens the dialog and saves a new limit</t>
  </si>
  <si>
    <t>HrReviewPageClient rendered via renderWithProviders(); interview.service partially mocked.</t>
  </si>
  <si>
    <t>MQ001</t>
  </si>
  <si>
    <t>with an existing DRAFT set, the composer is enabled and shows the set in the left panel</t>
  </si>
  <si>
    <t>Automated, tests/unit/question-builder.test.tsx:46</t>
  </si>
  <si>
    <t>Assertions pass: with an existing DRAFT set, the composer is enabled and shows the set in the left panel</t>
  </si>
  <si>
    <t>MQ002</t>
  </si>
  <si>
    <t>with no DRAFT sets, the create-set form opens automatically and the composer is disabled</t>
  </si>
  <si>
    <t>Automated, tests/unit/question-builder.test.tsx:55</t>
  </si>
  <si>
    <t>Assertions pass: with no DRAFT sets, the create-set form opens automatically and the composer is disabled</t>
  </si>
  <si>
    <t>MQ003</t>
  </si>
  <si>
    <t>creating a new set posts the trimmed title/description and selects it</t>
  </si>
  <si>
    <t>Automated, tests/unit/question-builder.test.tsx:64</t>
  </si>
  <si>
    <t>Assertions pass: creating a new set posts the trimmed title/description and selects it</t>
  </si>
  <si>
    <t>MQ004</t>
  </si>
  <si>
    <t>creating a set with a blank title is rejected client-side with no request sent</t>
  </si>
  <si>
    <t>Automated, tests/unit/question-builder.test.tsx:83</t>
  </si>
  <si>
    <t>Assertions pass: creating a set with a blank title is rejected client-side with no request sent</t>
  </si>
  <si>
    <t>MQ005</t>
  </si>
  <si>
    <t>saving with an empty question is rejected with no request sent</t>
  </si>
  <si>
    <t>Automated, tests/unit/question-builder.test.tsx:95</t>
  </si>
  <si>
    <t>Assertions pass: saving with an empty question is rejected with no request sent</t>
  </si>
  <si>
    <t>MQ006</t>
  </si>
  <si>
    <t>filling the composer and saving posts every field and adds the question to the session list</t>
  </si>
  <si>
    <t>Automated, tests/unit/question-builder.test.tsx:106</t>
  </si>
  <si>
    <t>Assertions pass: filling the composer and saving posts every field and adds the question to the session list</t>
  </si>
  <si>
    <t>MQ007</t>
  </si>
  <si>
    <t>Code content mode saves with answerMethod "Code" and shows the template picker</t>
  </si>
  <si>
    <t>Automated, tests/unit/question-builder.test.tsx:146</t>
  </si>
  <si>
    <t>Assertions pass: Code content mode saves with answerMethod "Code" and shows the template picker</t>
  </si>
  <si>
    <t>MQ008</t>
  </si>
  <si>
    <t>switching to Theory mode hides code fields and saves with answerMethod "Text"</t>
  </si>
  <si>
    <t>Automated, tests/unit/question-builder.test.tsx:165</t>
  </si>
  <si>
    <t>Assertions pass: switching to Theory mode hides code fields and saves with answerMethod "Text"</t>
  </si>
  <si>
    <t>MQ009</t>
  </si>
  <si>
    <t>System design mode shows the diagram-hint field and banner instead of code fields</t>
  </si>
  <si>
    <t>Automated, tests/unit/question-builder.test.tsx:185</t>
  </si>
  <si>
    <t>Assertions pass: System design mode shows the diagram-hint field and banner instead of code fields</t>
  </si>
  <si>
    <t>MQ010</t>
  </si>
  <si>
    <t>a failed save (backend returns nothing usable) shows an error toast and keeps the composer filled</t>
  </si>
  <si>
    <t>Automated, tests/unit/question-builder.test.tsx:198</t>
  </si>
  <si>
    <t>Assertions pass: a failed save (backend returns nothing usable) shows an error toast and keeps the composer filled</t>
  </si>
  <si>
    <t>MQ011</t>
  </si>
  <si>
    <t>selecting a different set clears the "added this session" list</t>
  </si>
  <si>
    <t>Automated, tests/unit/question-builder.test.tsx:213</t>
  </si>
  <si>
    <t>Assertions pass: selecting a different set clears the "added this session" list</t>
  </si>
  <si>
    <t>UI009-1</t>
  </si>
  <si>
    <t>the JD file dropzone highlights on dragover and reverts on dragleave</t>
  </si>
  <si>
    <t>Automated, tests/unit/ui-studio-interactions.test.tsx:45</t>
  </si>
  <si>
    <t>Assertions pass: the JD file dropzone highlights on dragover and reverts on dragleave</t>
  </si>
  <si>
    <t>UI016-1</t>
  </si>
  <si>
    <t>the AI loading spinner renders with its status text while a plan is being generated</t>
  </si>
  <si>
    <t>Automated, tests/unit/ui-studio-interactions.test.tsx:67</t>
  </si>
  <si>
    <t>Assertions pass: the AI loading spinner renders with its status text while a plan is being generated</t>
  </si>
  <si>
    <t>UI010-2</t>
  </si>
  <si>
    <t>the "Generate Questions" CTA shows a disabled "Generating…" state while the request is in flight</t>
  </si>
  <si>
    <t>Automated, tests/unit/ui-studio-interactions.test.tsx:104</t>
  </si>
  <si>
    <t>Assertions pass: the "Generate Questions" CTA shows a disabled "Generating…" state while the request is in flight</t>
  </si>
  <si>
    <t>UI004-1</t>
  </si>
  <si>
    <t>multiple toasts stack (no cap, no dedup) instead of replacing each other</t>
  </si>
  <si>
    <t>Automated, tests/unit/ui-toast-stacking.test.tsx:54</t>
  </si>
  <si>
    <t>Assertions pass: multiple toasts stack (no cap, no dedup) instead of replacing each other</t>
  </si>
  <si>
    <t>UI004-2</t>
  </si>
  <si>
    <t>dismissing a toast via its close (X) button removes it immediately, before the auto-dismiss timer</t>
  </si>
  <si>
    <t>Automated, tests/unit/ui-toast-stacking.test.tsx:83</t>
  </si>
  <si>
    <t>Assertions pass: dismissing a toast via its close (X) button removes it immediately, before the auto-dismiss timer</t>
  </si>
  <si>
    <t>UI015-1</t>
  </si>
  <si>
    <t>the tooltip shows on hover and hides on mouse-out</t>
  </si>
  <si>
    <t>Automated, tests/unit/info-tooltip.test.tsx:15</t>
  </si>
  <si>
    <t>Assertions pass: the tooltip shows on hover and hides on mouse-out</t>
  </si>
  <si>
    <t>RGA008-1 (finding)</t>
  </si>
  <si>
    <t>a Jobseeker-role session still renders an HR page normally, with no redirect</t>
  </si>
  <si>
    <t>Automated, tests/unit/hr-no-role-gate.test.tsx:42</t>
  </si>
  <si>
    <t>Assertions pass: a Jobseeker-role session still renders an HR page normally, with no redirect</t>
  </si>
  <si>
    <t>UI003-1</t>
  </si>
  <si>
    <t>the upgrade modal locks body scroll while open and restores it on close</t>
  </si>
  <si>
    <t>Automated, tests/unit/ui-upgrade-modal.test.tsx:49</t>
  </si>
  <si>
    <t>Assertions pass: the upgrade modal locks body scroll while open and restores it on close</t>
  </si>
  <si>
    <t>UI003-2</t>
  </si>
  <si>
    <t>pressing Escape closes the upgrade modal</t>
  </si>
  <si>
    <t>Automated, tests/unit/ui-upgrade-modal.test.tsx:68</t>
  </si>
  <si>
    <t>Assertions pass: pressing Escape closes the upgrade modal</t>
  </si>
  <si>
    <t>UI003-3</t>
  </si>
  <si>
    <t>clicking the backdrop closes the upgrade modal</t>
  </si>
  <si>
    <t>Automated, tests/unit/ui-upgrade-modal.test.tsx:80</t>
  </si>
  <si>
    <t>Assertions pass: clicking the backdrop closes the upgrade modal</t>
  </si>
  <si>
    <t>UI013-1</t>
  </si>
  <si>
    <t>the upgrade modal carries the z-9999 stacking class, with no competing z-index elsewhere in the shell</t>
  </si>
  <si>
    <t>Automated, tests/unit/ui-upgrade-modal.test.tsx:94</t>
  </si>
  <si>
    <t>Assertions pass: the upgrade modal carries the z-9999 stacking class, with no competing z-index elsewhere in the shell</t>
  </si>
  <si>
    <t>UI012-1</t>
  </si>
  <si>
    <t>the mobile sidebar drawer starts hidden, opens via the hamburger, and closes via the backdrop</t>
  </si>
  <si>
    <t>Automated, tests/unit/ui-sidebar-drawer-and-logo.test.tsx:40</t>
  </si>
  <si>
    <t>Assertions pass: the mobile sidebar drawer starts hidden, opens via the hamburger, and closes via the backdrop</t>
  </si>
  <si>
    <t>UI018-1</t>
  </si>
  <si>
    <t>the same HireGen AI logo asset renders on the public login page and inside the HR sidebar</t>
  </si>
  <si>
    <t>Automated, tests/unit/ui-sidebar-drawer-and-logo.test.tsx:67</t>
  </si>
  <si>
    <t>Assertions pass: the same HireGen AI logo asset renders on the public login page and inside the HR sidebar</t>
  </si>
  <si>
    <t>the AppShell dark mode toggle applies and persists across reload</t>
  </si>
  <si>
    <t>Automated, tests/unit/ui-dark-mode-toggle.test.tsx:89</t>
  </si>
  <si>
    <t>Assertions pass: the AppShell dark mode toggle applies and persists across reload</t>
  </si>
  <si>
    <t>UI003/UI007</t>
  </si>
  <si>
    <t>the AppShell page frame clips horizontal overflow at any content width</t>
  </si>
  <si>
    <t>Automated, tests/unit/ui-responsive-overflow-shell.test.tsx:44</t>
  </si>
  <si>
    <t>Assertions pass: the AppShell page frame clips horizontal overflow at any content width</t>
  </si>
  <si>
    <t>UI010/UI017</t>
  </si>
  <si>
    <t>the auth page frame clips horizontal overflow on the login page</t>
  </si>
  <si>
    <t>Automated, tests/unit/ui-responsive-overflow-shell.test.tsx:62</t>
  </si>
  <si>
    <t>Assertions pass: the auth page frame clips horizontal overflow on the login page</t>
  </si>
  <si>
    <t>New coverage (no Excel scenario ID, these modules had zero prior tests), pure functions: time-of-day greeting, relative-time formatting (en/vi), admin/HR nav active-state matching, user initials/avatar-URL resolution, URL validation, and avatar-upload error-code mapping. Parameterized tables keep one row per branch of the function under test.</t>
  </si>
  <si>
    <t>getTimeOfDayGreeting: hour 5 -&gt; Morning</t>
  </si>
  <si>
    <t>Automated, tests/unit/shared-utils.test.ts</t>
  </si>
  <si>
    <t>Assertions pass: getTimeOfDayGreeting: hour 5 -&gt; Morning</t>
  </si>
  <si>
    <t>getTimeOfDayGreeting: hour 12 -&gt; Afternoon</t>
  </si>
  <si>
    <t>Assertions pass: getTimeOfDayGreeting: hour 12 -&gt; Afternoon</t>
  </si>
  <si>
    <t>getTimeOfDayGreeting: hour 18 -&gt; Evening</t>
  </si>
  <si>
    <t>Assertions pass: getTimeOfDayGreeting: hour 18 -&gt; Evening</t>
  </si>
  <si>
    <t>getTimeOfDayGreeting: hour 22 -&gt; Night</t>
  </si>
  <si>
    <t>Assertions pass: getTimeOfDayGreeting: hour 22 -&gt; Night</t>
  </si>
  <si>
    <t>getTimeOfDayGreeting: hour 4 -&gt; Night</t>
  </si>
  <si>
    <t>Assertions pass: getTimeOfDayGreeting: hour 4 -&gt; Night</t>
  </si>
  <si>
    <t>buildWelcomeMessage substitutes both placeholders</t>
  </si>
  <si>
    <t>Assertions pass: buildWelcomeMessage substitutes both placeholders</t>
  </si>
  <si>
    <t>buildWelcomeMessage leaves template untouched when placeholders are absent</t>
  </si>
  <si>
    <t>Assertions pass: buildWelcomeMessage leaves template untouched when placeholders are absent</t>
  </si>
  <si>
    <t>returns empty string for an undefined/invalid date</t>
  </si>
  <si>
    <t>Assertions pass: returns empty string for an undefined/invalid date</t>
  </si>
  <si>
    <t>age 0ms in en -&gt; Just now</t>
  </si>
  <si>
    <t>Assertions pass: age 0ms in en -&gt; Just now</t>
  </si>
  <si>
    <t>age 0ms in vi -&gt; Vừa xong</t>
  </si>
  <si>
    <t>Assertions pass: age 0ms in vi -&gt; Vừa xong</t>
  </si>
  <si>
    <t>age 300000ms in en -&gt; 5 min ago</t>
  </si>
  <si>
    <t>Assertions pass: age 300000ms in en -&gt; 5 min ago</t>
  </si>
  <si>
    <t>age 300000ms in vi -&gt; 5 phút trước</t>
  </si>
  <si>
    <t>Assertions pass: age 300000ms in vi -&gt; 5 phút trước</t>
  </si>
  <si>
    <t>age 10800000ms in en -&gt; 3h ago</t>
  </si>
  <si>
    <t>Assertions pass: age 10800000ms in en -&gt; 3h ago</t>
  </si>
  <si>
    <t>age 10800000ms in vi -&gt; 3 giờ trước</t>
  </si>
  <si>
    <t>Assertions pass: age 10800000ms in vi -&gt; 3 giờ trước</t>
  </si>
  <si>
    <t>age 172800000ms in en -&gt; 2d ago</t>
  </si>
  <si>
    <t>Assertions pass: age 172800000ms in en -&gt; 2d ago</t>
  </si>
  <si>
    <t>age 172800000ms in vi -&gt; 2 ngày trước</t>
  </si>
  <si>
    <t>Assertions pass: age 172800000ms in vi -&gt; 2 ngày trước</t>
  </si>
  <si>
    <t>isAdminNavActive treats /admin as equivalent to /admin/dashboard</t>
  </si>
  <si>
    <t>Assertions pass: isAdminNavActive treats /admin as equivalent to /admin/dashboard</t>
  </si>
  <si>
    <t>isHrNavActive(/hr/dashboard, /hr) -&gt; true</t>
  </si>
  <si>
    <t>Assertions pass: isHrNavActive(/hr/dashboard, /hr) -&gt; true</t>
  </si>
  <si>
    <t>isHrNavActive(/hr/settings, /hr/settings/billing) -&gt; false</t>
  </si>
  <si>
    <t>Assertions pass: isHrNavActive(/hr/settings, /hr/settings/billing) -&gt; false</t>
  </si>
  <si>
    <t>isHrNavActive(/hr/history, /hr/history/qs-1) -&gt; true</t>
  </si>
  <si>
    <t>Assertions pass: isHrNavActive(/hr/history, /hr/history/qs-1) -&gt; true</t>
  </si>
  <si>
    <t>isHrNavActive(/hr/generate-question, /hr/generate-question/manual) -&gt; true</t>
  </si>
  <si>
    <t>Assertions pass: isHrNavActive(/hr/generate-question, /hr/generate-question/manual) -&gt; true</t>
  </si>
  <si>
    <t>getInitials handles empty, single-word, and multi-word names</t>
  </si>
  <si>
    <t>Assertions pass: getInitials handles empty, single-word, and multi-word names</t>
  </si>
  <si>
    <t>resolveAvatarUrl returns null for a null/undefined user</t>
  </si>
  <si>
    <t>Assertions pass: resolveAvatarUrl returns null for a null/undefined user</t>
  </si>
  <si>
    <t>resolveAvatarUrl prefers user.avatarUrl, then candidateProfile, then hrProfile</t>
  </si>
  <si>
    <t>Assertions pass: resolveAvatarUrl prefers user.avatarUrl, then candidateProfile, then hrProfile</t>
  </si>
  <si>
    <t>empty/whitespace input is treated as valid (optional field)</t>
  </si>
  <si>
    <t>Assertions pass: empty/whitespace input is treated as valid (optional field)</t>
  </si>
  <si>
    <t>isValidUrl(https://example.com) -&gt; true</t>
  </si>
  <si>
    <t>Assertions pass: isValidUrl(https://example.com) -&gt; true</t>
  </si>
  <si>
    <t>isValidUrl(javascript:alert(1)) -&gt; false</t>
  </si>
  <si>
    <t>Assertions pass: isValidUrl(javascript:alert(1)) -&gt; false</t>
  </si>
  <si>
    <t>isValidUrl(not a url) -&gt; false</t>
  </si>
  <si>
    <t>Assertions pass: isValidUrl(not a url) -&gt; false</t>
  </si>
  <si>
    <t>mapAvatarUploadError(invalid_type)</t>
  </si>
  <si>
    <t>Assertions pass: mapAvatarUploadError(invalid_type)</t>
  </si>
  <si>
    <t>mapAvatarUploadError(too_large)</t>
  </si>
  <si>
    <t>Assertions pass: mapAvatarUploadError(too_large)</t>
  </si>
  <si>
    <t>mapAvatarUploadError(unknown_code)</t>
  </si>
  <si>
    <t>Assertions pass: mapAvatarUploadError(unknown_code)</t>
  </si>
  <si>
    <t>New coverage (no Excel scenario ID), pure functions: avatar file validation, practice-streak day-counting, dimension/category label translation (en/vi), company initials/color, admin role-key normalization/status derivation, and question/score badge-class + level helpers. Parameterized tables keep one row per branch of the function under test.</t>
  </si>
  <si>
    <t>no sessions -&gt; 0</t>
  </si>
  <si>
    <t>Automated, tests/unit/candidate-and-admin-utils.test.ts</t>
  </si>
  <si>
    <t>Assertions pass: no sessions -&gt; 0</t>
  </si>
  <si>
    <t>only today -&gt; streak of 1</t>
  </si>
  <si>
    <t>Assertions pass: only today -&gt; streak of 1</t>
  </si>
  <si>
    <t>today + yesterday + 2 days ago -&gt; streak of 3</t>
  </si>
  <si>
    <t>Assertions pass: today + yesterday + 2 days ago -&gt; streak of 3</t>
  </si>
  <si>
    <t>a gap breaks the streak</t>
  </si>
  <si>
    <t>Assertions pass: a gap breaks the streak</t>
  </si>
  <si>
    <t>no session today, but one yesterday, still anchors the streak</t>
  </si>
  <si>
    <t>Assertions pass: no session today, but one yesterday, still anchors the streak</t>
  </si>
  <si>
    <t>a gap of 2+ days (nothing today or yesterday) -&gt; streak of 0</t>
  </si>
  <si>
    <t>Assertions pass: a gap of 2+ days (nothing today or yesterday) -&gt; streak of 0</t>
  </si>
  <si>
    <t>ignores undefined/malformed entries</t>
  </si>
  <si>
    <t>Assertions pass: ignores undefined/malformed entries</t>
  </si>
  <si>
    <t>duplicate timestamps on the same day count once</t>
  </si>
  <si>
    <t>Assertions pass: duplicate timestamps on the same day count once</t>
  </si>
  <si>
    <t>translateDimensionKey returns the Vietnamese label for a known key, normalized</t>
  </si>
  <si>
    <t>Assertions pass: translateDimensionKey returns the Vietnamese label for a known key, normalized</t>
  </si>
  <si>
    <t>translateDimensionKey falls back to formatCategoryLabel for an unknown key or English locale</t>
  </si>
  <si>
    <t>Assertions pass: translateDimensionKey falls back to formatCategoryLabel for an unknown key or English locale</t>
  </si>
  <si>
    <t>translateQuestionCategory maps known categories in Vietnamese and falls back otherwise</t>
  </si>
  <si>
    <t>Assertions pass: translateQuestionCategory maps known categories in Vietnamese and falls back otherwise</t>
  </si>
  <si>
    <t>getCompanyInitials handles empty, single-word, and multi-word names</t>
  </si>
  <si>
    <t>Assertions pass: getCompanyInitials handles empty, single-word, and multi-word names</t>
  </si>
  <si>
    <t>getCompanyColor is deterministic for the same seed and picks from the fixed palette</t>
  </si>
  <si>
    <t>Assertions pass: getCompanyColor is deterministic for the same seed and picks from the fixed palette</t>
  </si>
  <si>
    <t>getCompanyColor generally differs for different seeds</t>
  </si>
  <si>
    <t>Assertions pass: getCompanyColor generally differs for different seeds</t>
  </si>
  <si>
    <t>toBackendRoleFilter(ADMIN) -&gt; Admin</t>
  </si>
  <si>
    <t>Assertions pass: toBackendRoleFilter(ADMIN) -&gt; Admin</t>
  </si>
  <si>
    <t>toBackendRoleFilter(HR_MANAGER) -&gt; HR</t>
  </si>
  <si>
    <t>Assertions pass: toBackendRoleFilter(HR_MANAGER) -&gt; HR</t>
  </si>
  <si>
    <t>toBackendRoleFilter(JOB_SEEKER) -&gt; Candidate</t>
  </si>
  <si>
    <t>Assertions pass: toBackendRoleFilter(JOB_SEEKER) -&gt; Candidate</t>
  </si>
  <si>
    <t>toBackendRoleFilter(UNKNOWN) -&gt; undefined</t>
  </si>
  <si>
    <t>Assertions pass: toBackendRoleFilter(UNKNOWN) -&gt; undefined</t>
  </si>
  <si>
    <t>normalizeAdminRoleKey(SysAdmin) -&gt; ADMIN</t>
  </si>
  <si>
    <t>Assertions pass: normalizeAdminRoleKey(SysAdmin) -&gt; ADMIN</t>
  </si>
  <si>
    <t>normalizeAdminRoleKey(HR_MANAGER) -&gt; HR_MANAGER</t>
  </si>
  <si>
    <t>Assertions pass: normalizeAdminRoleKey(HR_MANAGER) -&gt; HR_MANAGER</t>
  </si>
  <si>
    <t>normalizeAdminRoleKey(Candidate) -&gt; JOB_SEEKER</t>
  </si>
  <si>
    <t>Assertions pass: normalizeAdminRoleKey(Candidate) -&gt; JOB_SEEKER</t>
  </si>
  <si>
    <t>normalizeAdminRoleKey(something-else) -&gt; UNKNOWN</t>
  </si>
  <si>
    <t>Assertions pass: normalizeAdminRoleKey(something-else) -&gt; UNKNOWN</t>
  </si>
  <si>
    <t>normalizeAdminRoleKey(undefined) -&gt; UNKNOWN</t>
  </si>
  <si>
    <t>Assertions pass: normalizeAdminRoleKey(undefined) -&gt; UNKNOWN</t>
  </si>
  <si>
    <t>getAdminUserStatus({ isActive: true, emailVerified: false }) -&gt; Pending</t>
  </si>
  <si>
    <t>Assertions pass: getAdminUserStatus({ isActive: true, emailVerified: false }) -&gt; Pending</t>
  </si>
  <si>
    <t>getAdminUserStatus({ isActive: true, emailVerified: true }) -&gt; Active</t>
  </si>
  <si>
    <t>Assertions pass: getAdminUserStatus({ isActive: true, emailVerified: true }) -&gt; Active</t>
  </si>
  <si>
    <t>getAdminUserStatus({ isActive: false, emailVerified: false }) -&gt; Suspended</t>
  </si>
  <si>
    <t>Assertions pass: getAdminUserStatus({ isActive: false, emailVerified: false }) -&gt; Suspended</t>
  </si>
  <si>
    <t>isAdminRole is case-insensitive and null-safe</t>
  </si>
  <si>
    <t>Assertions pass: isAdminRole is case-insensitive and null-safe</t>
  </si>
  <si>
    <t>formatCategoryLabel title-cases hyphen/underscore/space-separated words</t>
  </si>
  <si>
    <t>Assertions pass: formatCategoryLabel title-cases hyphen/underscore/space-separated words</t>
  </si>
  <si>
    <t>getScoreBadgeClass thresholds at 80 and 65</t>
  </si>
  <si>
    <t>Assertions pass: getScoreBadgeClass thresholds at 80 and 65</t>
  </si>
  <si>
    <t>getScoreLevel derives label and badge color from the same thresholds (80/65/50)</t>
  </si>
  <si>
    <t>Assertions pass: getScoreLevel derives label and badge color from the same thresholds (80/65/50)</t>
  </si>
  <si>
    <t>formatXp adds thousands separators</t>
  </si>
  <si>
    <t>Automated, tests/unit/gamification-and-history-utils.test.ts</t>
  </si>
  <si>
    <t>Assertions pass: formatXp adds thousands separators</t>
  </si>
  <si>
    <t>getLevelLabel(2) -&gt; Newcomer</t>
  </si>
  <si>
    <t>Assertions pass: getLevelLabel(2) -&gt; Newcomer</t>
  </si>
  <si>
    <t>getLevelLabel(5) -&gt; Practitioner</t>
  </si>
  <si>
    <t>Assertions pass: getLevelLabel(5) -&gt; Practitioner</t>
  </si>
  <si>
    <t>getLevelLabel(9) -&gt; Achiever</t>
  </si>
  <si>
    <t>Assertions pass: getLevelLabel(9) -&gt; Achiever</t>
  </si>
  <si>
    <t>getLevelLabel(14) -&gt; Trailblazer</t>
  </si>
  <si>
    <t>Assertions pass: getLevelLabel(14) -&gt; Trailblazer</t>
  </si>
  <si>
    <t>getLevelLabel(19) -&gt; Specialist</t>
  </si>
  <si>
    <t>Assertions pass: getLevelLabel(19) -&gt; Specialist</t>
  </si>
  <si>
    <t>getLevelLabel(29) -&gt; Mentor</t>
  </si>
  <si>
    <t>Assertions pass: getLevelLabel(29) -&gt; Mentor</t>
  </si>
  <si>
    <t>getLevelLabel(30) -&gt; Legend</t>
  </si>
  <si>
    <t>Assertions pass: getLevelLabel(30) -&gt; Legend</t>
  </si>
  <si>
    <t>getLevelColorClass and getLevelBarColor stay in sync with the same tier boundaries</t>
  </si>
  <si>
    <t>Assertions pass: getLevelColorClass and getLevelBarColor stay in sync with the same tier boundaries</t>
  </si>
  <si>
    <t>streakIntensity(0) -&gt; 0</t>
  </si>
  <si>
    <t>Assertions pass: streakIntensity(0) -&gt; 0</t>
  </si>
  <si>
    <t>streakIntensity(2) -&gt; 1</t>
  </si>
  <si>
    <t>Assertions pass: streakIntensity(2) -&gt; 1</t>
  </si>
  <si>
    <t>streakIntensity(6) -&gt; 2</t>
  </si>
  <si>
    <t>Assertions pass: streakIntensity(6) -&gt; 2</t>
  </si>
  <si>
    <t>streakIntensity(7) -&gt; 3</t>
  </si>
  <si>
    <t>Assertions pass: streakIntensity(7) -&gt; 3</t>
  </si>
  <si>
    <t>xpRewardTypeLabel resolves per-locale and falls back to the raw type for an unknown value</t>
  </si>
  <si>
    <t>Assertions pass: xpRewardTypeLabel resolves per-locale and falls back to the raw type for an unknown value</t>
  </si>
  <si>
    <t>age 0ms in en -&gt; just now</t>
  </si>
  <si>
    <t>Assertions pass: age 0ms in en -&gt; just now</t>
  </si>
  <si>
    <t>age 0ms in vi -&gt; vừa xong</t>
  </si>
  <si>
    <t>Assertions pass: age 0ms in vi -&gt; vừa xong</t>
  </si>
  <si>
    <t>age 600000ms in en -&gt; 10m ago</t>
  </si>
  <si>
    <t>Assertions pass: age 600000ms in en -&gt; 10m ago</t>
  </si>
  <si>
    <t>age 600000ms in vi -&gt; 10 phút trước</t>
  </si>
  <si>
    <t>Assertions pass: age 600000ms in vi -&gt; 10 phút trước</t>
  </si>
  <si>
    <t>age 18000000ms in en -&gt; 5h ago</t>
  </si>
  <si>
    <t>Assertions pass: age 18000000ms in en -&gt; 5h ago</t>
  </si>
  <si>
    <t>age 18000000ms in vi -&gt; 5 giờ trước</t>
  </si>
  <si>
    <t>Assertions pass: age 18000000ms in vi -&gt; 5 giờ trước</t>
  </si>
  <si>
    <t>age 864000000ms in en -&gt; 10d ago</t>
  </si>
  <si>
    <t>Assertions pass: age 864000000ms in en -&gt; 10d ago</t>
  </si>
  <si>
    <t>age 864000000ms in vi -&gt; 10 ngày trước</t>
  </si>
  <si>
    <t>Assertions pass: age 864000000ms in vi -&gt; 10 ngày trước</t>
  </si>
  <si>
    <t>age 5184000000ms in en -&gt; 2mo ago</t>
  </si>
  <si>
    <t>Assertions pass: age 5184000000ms in en -&gt; 2mo ago</t>
  </si>
  <si>
    <t>age 5184000000ms in vi -&gt; 2 tháng trước</t>
  </si>
  <si>
    <t>Assertions pass: age 5184000000ms in vi -&gt; 2 tháng trước</t>
  </si>
  <si>
    <t>mark/has/clear round-trips through sessionStorage and is role-specific</t>
  </si>
  <si>
    <t>Assertions pass: mark/has/clear round-trips through sessionStorage and is role-specific</t>
  </si>
  <si>
    <t>New coverage (no Excel scenario ID), permissions.ts as real (non-mocked) functions for the first time: setAuth/clearAuth/isAuthenticated/role storage, and JWT-payload role extraction (accessToken/access_token/token field variants, malformed-token guard); plus citation-display.ts's JD-first sorting, synthetic-JD-row injection, and excerpt truncation. Parameterized tables keep one row per branch of the function under test.</t>
  </si>
  <si>
    <t>setAuth/isAuthenticated/clearAuth round-trip via the legacy mock flag</t>
  </si>
  <si>
    <t>Automated, tests/unit/permissions-and-citations.test.ts</t>
  </si>
  <si>
    <t>Assertions pass: setAuth/isAuthenticated/clearAuth round-trip via the legacy mock flag</t>
  </si>
  <si>
    <t>isAuthenticated is also true when a real access token is present, without the legacy flag</t>
  </si>
  <si>
    <t>Assertions pass: isAuthenticated is also true when a real access token is present, without the legacy flag</t>
  </si>
  <si>
    <t>setUserRole/getUserRole round-trip</t>
  </si>
  <si>
    <t>Assertions pass: setUserRole/getUserRole round-trip</t>
  </si>
  <si>
    <t>clearAuth clears the role, tokens, and the cached user profile together</t>
  </si>
  <si>
    <t>Assertions pass: clearAuth clears the role, tokens, and the cached user profile together</t>
  </si>
  <si>
    <t>getRoleRedirect(SUPER_ADMIN) -&gt; /admin/dashboard</t>
  </si>
  <si>
    <t>Assertions pass: getRoleRedirect(SUPER_ADMIN) -&gt; /admin/dashboard</t>
  </si>
  <si>
    <t>getRoleRedirect(HR_MANAGER) -&gt; /hr/dashboard</t>
  </si>
  <si>
    <t>Assertions pass: getRoleRedirect(HR_MANAGER) -&gt; /hr/dashboard</t>
  </si>
  <si>
    <t>getRoleRedirect(null) -&gt; /candidate</t>
  </si>
  <si>
    <t>Assertions pass: getRoleRedirect(null) -&gt; /candidate</t>
  </si>
  <si>
    <t>extractRole reads a direct role field</t>
  </si>
  <si>
    <t>Assertions pass: extractRole reads a direct role field</t>
  </si>
  <si>
    <t>extractRole reads a role field nested under data.data</t>
  </si>
  <si>
    <t>Assertions pass: extractRole reads a role field nested under data.data</t>
  </si>
  <si>
    <t>extractRole decodes the role out of a JWT payload under 'accessToken'</t>
  </si>
  <si>
    <t>Assertions pass: extractRole decodes the role out of a JWT payload under 'accessToken'</t>
  </si>
  <si>
    <t>extractRole decodes the role out of a JWT payload under 'access_token'</t>
  </si>
  <si>
    <t>Assertions pass: extractRole decodes the role out of a JWT payload under 'access_token'</t>
  </si>
  <si>
    <t>extractRole decodes the role out of a JWT payload under 'token'</t>
  </si>
  <si>
    <t>Assertions pass: extractRole decodes the role out of a JWT payload under 'token'</t>
  </si>
  <si>
    <t>extractRole falls back to the Role (capitalized) JWT claim</t>
  </si>
  <si>
    <t>Assertions pass: extractRole falls back to the Role (capitalized) JWT claim</t>
  </si>
  <si>
    <t>extractRole returns null for a malformed token instead of throwing</t>
  </si>
  <si>
    <t>Assertions pass: extractRole returns null for a malformed token instead of throwing</t>
  </si>
  <si>
    <t>extractRole returns null for non-object or role-less input</t>
  </si>
  <si>
    <t>Assertions pass: extractRole returns null for non-object or role-less input</t>
  </si>
  <si>
    <t>isJdCitation(Job Description) -&gt; true</t>
  </si>
  <si>
    <t>Assertions pass: isJdCitation(Job Description) -&gt; true</t>
  </si>
  <si>
    <t>isJdCitation(handbook.pdf) -&gt; false</t>
  </si>
  <si>
    <t>Assertions pass: isJdCitation(handbook.pdf) -&gt; false</t>
  </si>
  <si>
    <t>isJdCitation(null) -&gt; false</t>
  </si>
  <si>
    <t>Assertions pass: isJdCitation(null) -&gt; false</t>
  </si>
  <si>
    <t>citationsForDisplay injects a synthetic JD row (empty excerpt) when none is present</t>
  </si>
  <si>
    <t>Assertions pass: citationsForDisplay injects a synthetic JD row (empty excerpt) when none is present</t>
  </si>
  <si>
    <t>citationsForDisplay does not duplicate the JD row when one already exists</t>
  </si>
  <si>
    <t>Assertions pass: citationsForDisplay does not duplicate the JD row when one already exists</t>
  </si>
  <si>
    <t>formatCitationExcerpt trims, truncates with an ellipsis past the max length, and nulls out blank text</t>
  </si>
  <si>
    <t>Assertions pass: formatCitationExcerpt trims, truncates with an ellipsis past the max length, and nulls out blank text</t>
  </si>
  <si>
    <t>citationDisplayName shows the JD label for a JD source and the raw filename otherwise</t>
  </si>
  <si>
    <t>Assertions pass: citationDisplayName shows the JD label for a JD source and the raw filename otherwise</t>
  </si>
  <si>
    <t>an explicit codeTemplateType wins over everything else</t>
  </si>
  <si>
    <t>Automated, tests/unit/question-template-infer.test.ts:24</t>
  </si>
  <si>
    <t>Assertions pass: an explicit codeTemplateType wins over everything else</t>
  </si>
  <si>
    <t>normalizes a loosely-cased/spaced explicit template id</t>
  </si>
  <si>
    <t>Automated, tests/unit/question-template-infer.test.ts:28</t>
  </si>
  <si>
    <t>Assertions pass: normalizes a loosely-cased/spaced explicit template id</t>
  </si>
  <si>
    <t>an unrecognized explicit template id is ignored, falling through to inference</t>
  </si>
  <si>
    <t>Automated, tests/unit/question-template-infer.test.ts:33</t>
  </si>
  <si>
    <t>Assertions pass: an unrecognized explicit template id is ignored, falling through to inference</t>
  </si>
  <si>
    <t>infers Design a system architecture (system design) for a URL shortener. from question content -&gt; SYSTEM_DESIGN</t>
  </si>
  <si>
    <t>Automated, tests/unit/question-template-infer.test.ts:38</t>
  </si>
  <si>
    <t>Assertions pass: infers Design a system architecture (system design) for a URL shortener. from question content -&gt; SYSTEM_DESIGN</t>
  </si>
  <si>
    <t>infers Complete the TODO in this function (code completion). from question content -&gt; CODE_COMPLETION</t>
  </si>
  <si>
    <t>Assertions pass: infers Complete the TODO in this function (code completion). from question content -&gt; CODE_COMPLETION</t>
  </si>
  <si>
    <t>infers Find the bug in this loop. from question content -&gt; BUG_DETECTION</t>
  </si>
  <si>
    <t>Assertions pass: infers Find the bug in this loop. from question content -&gt; BUG_DETECTION</t>
  </si>
  <si>
    <t>infers Refactor this class to remove duplication. from question content -&gt; REFACTORING</t>
  </si>
  <si>
    <t>Assertions pass: infers Refactor this class to remove duplication. from question content -&gt; REFACTORING</t>
  </si>
  <si>
    <t>infers Write a unit test case for this function. from question content -&gt; TEST_CASE_DESIGN</t>
  </si>
  <si>
    <t>Assertions pass: infers Write a unit test case for this function. from question content -&gt; TEST_CASE_DESIGN</t>
  </si>
  <si>
    <t>infers Analyze the time complexity O(n^2) of this algorithm. from question content -&gt; PERFORMANCE_ANALYSIS</t>
  </si>
  <si>
    <t>Assertions pass: infers Analyze the time complexity O(n^2) of this algorithm. from question content -&gt; PERFORMANCE_ANALYSIS</t>
  </si>
  <si>
    <t>falls back to scoringRubric text when content has no signal</t>
  </si>
  <si>
    <t>Automated, tests/unit/question-template-infer.test.ts:50</t>
  </si>
  <si>
    <t>Assertions pass: falls back to scoringRubric text when content has no signal</t>
  </si>
  <si>
    <t>System-design question TYPE infers SYSTEM_DESIGN even without keyword text</t>
  </si>
  <si>
    <t>Automated, tests/unit/question-template-infer.test.ts:55</t>
  </si>
  <si>
    <t>Assertions pass: System-design question TYPE infers SYSTEM_DESIGN even without keyword text</t>
  </si>
  <si>
    <t>a resolvable code snippet with no other signal infers CODE_COMPLETION</t>
  </si>
  <si>
    <t>Automated, tests/unit/question-template-infer.test.ts:60</t>
  </si>
  <si>
    <t>Assertions pass: a resolvable code snippet with no other signal infers CODE_COMPLETION</t>
  </si>
  <si>
    <t>a purely theoretical question with no snippet/keywords has a null templateId but still gets an image hint</t>
  </si>
  <si>
    <t>Automated, tests/unit/question-template-infer.test.ts:65</t>
  </si>
  <si>
    <t>Assertions pass: a purely theoretical question with no snippet/keywords has a null templateId but still gets an image hint</t>
  </si>
  <si>
    <t>prefers question.codeSnippet directly</t>
  </si>
  <si>
    <t>Automated, tests/unit/question-template-infer.test.ts:74</t>
  </si>
  <si>
    <t>Assertions pass: prefers question.codeSnippet directly</t>
  </si>
  <si>
    <t>extracts from an expectedAnswer "Code snippet</t>
  </si>
  <si>
    <t>" marker</t>
  </si>
  <si>
    <t>Automated, tests/unit/question-template-infer.test.ts:78</t>
  </si>
  <si>
    <t>Assertions pass: " marker</t>
  </si>
  <si>
    <t>extracts from a fenced code block in content</t>
  </si>
  <si>
    <t>Automated, tests/unit/question-template-infer.test.ts:83</t>
  </si>
  <si>
    <t>Assertions pass: extracts from a fenced code block in content</t>
  </si>
  <si>
    <t>heuristically detects raw code in expectedAnswer even without a marker</t>
  </si>
  <si>
    <t>Automated, tests/unit/question-template-infer.test.ts:88</t>
  </si>
  <si>
    <t>Assertions pass: heuristically detects raw code in expectedAnswer even without a marker</t>
  </si>
  <si>
    <t>does not mistake plain prose for a code snippet</t>
  </si>
  <si>
    <t>Automated, tests/unit/question-template-infer.test.ts:94</t>
  </si>
  <si>
    <t>Assertions pass: does not mistake plain prose for a code snippet</t>
  </si>
  <si>
    <t>normalizes literal \n / \t escape sequences into real newlines</t>
  </si>
  <si>
    <t>Automated, tests/unit/question-template-infer.test.ts:99</t>
  </si>
  <si>
    <t>Assertions pass: normalizes literal \n / \t escape sequences into real newlines</t>
  </si>
  <si>
    <t>reads snippetLanguage from scoringRubric's lang= meta, lowercased</t>
  </si>
  <si>
    <t>Automated, tests/unit/question-template-infer.test.ts:107</t>
  </si>
  <si>
    <t>Assertions pass: reads snippetLanguage from scoringRubric's lang= meta, lowercased</t>
  </si>
  <si>
    <t>lang=auto is treated as "no explicit language"</t>
  </si>
  <si>
    <t>Automated, tests/unit/question-template-infer.test.ts:111</t>
  </si>
  <si>
    <t>Assertions pass: lang=auto is treated as "no explicit language"</t>
  </si>
  <si>
    <t>question.imageHint wins over template default and meta</t>
  </si>
  <si>
    <t>Automated, tests/unit/question-template-infer.test.ts:116</t>
  </si>
  <si>
    <t>Assertions pass: question.imageHint wins over template default and meta</t>
  </si>
  <si>
    <t>falls back to the per-template default image hint when nothing else is set</t>
  </si>
  <si>
    <t>Automated, tests/unit/question-template-infer.test.ts:121</t>
  </si>
  <si>
    <t>Assertions pass: falls back to the per-template default image hint when nothing else is set</t>
  </si>
  <si>
    <t>SYSTEM_DESIGN uses diagramHint meta, falling back to the default diagram hint</t>
  </si>
  <si>
    <t>Automated, tests/unit/question-template-infer.test.ts:126</t>
  </si>
  <si>
    <t>Assertions pass: SYSTEM_DESIGN uses diagramHint meta, falling back to the default diagram hint</t>
  </si>
  <si>
    <t>attachedImageUrl is trimmed, undefined when blank</t>
  </si>
  <si>
    <t>Automated, tests/unit/question-template-infer.test.ts:136</t>
  </si>
  <si>
    <t>Assertions pass: attachedImageUrl is trimmed, undefined when blank</t>
  </si>
  <si>
    <t>maps questionType to the Studio type used for inference (system -&gt; SystemDesign)</t>
  </si>
  <si>
    <t>Automated, tests/unit/question-template-infer.test.ts:144</t>
  </si>
  <si>
    <t>Assertions pass: maps questionType to the Studio type used for inference (system -&gt; SystemDesign)</t>
  </si>
  <si>
    <t>reads template/snippet/lang from rationale+scoringRubric meta (semicolon-joined)</t>
  </si>
  <si>
    <t>Automated, tests/unit/question-template-infer.test.ts:150</t>
  </si>
  <si>
    <t>Assertions pass: reads template/snippet/lang from rationale+scoringRubric meta (semicolon-joined)</t>
  </si>
  <si>
    <t>difficulty string is normalized to Easy/Medium/Hard via case-insensitive matching</t>
  </si>
  <si>
    <t>Automated, tests/unit/question-template-infer.test.ts:161</t>
  </si>
  <si>
    <t>Assertions pass: difficulty string is normalized to Easy/Medium/Hard via case-insensitive matching</t>
  </si>
  <si>
    <t>APS-1</t>
  </si>
  <si>
    <t>General tab loads and displays platform settings from the API</t>
  </si>
  <si>
    <t>Automated, tests/unit/admin-platform-settings.test.tsx (APS-1): getPlatformSettings resolves platformName/defaultQuestionCount/sessionTimeout etc.</t>
  </si>
  <si>
    <t>Fields populated with the fetched values.</t>
  </si>
  <si>
    <t>2026-08-16</t>
  </si>
  <si>
    <t>APS-2</t>
  </si>
  <si>
    <t>A load failure shows Retry, and Retry re-fetches</t>
  </si>
  <si>
    <t>Automated, tests/unit/admin-platform-settings.test.tsx (APS-2): getPlatformSettings rejects once, then Retry clicked</t>
  </si>
  <si>
    <t>Retry button shown, then values load after retry.</t>
  </si>
  <si>
    <t>APS-3</t>
  </si>
  <si>
    <t>Saving calls updatePlatformSettings with the edited platform name</t>
  </si>
  <si>
    <t>Automated, tests/unit/admin-platform-settings.test.tsx (APS-3): Edit Platform Name, click Save Changes</t>
  </si>
  <si>
    <t>updatePlatformSettings called with the new name; 'Settings saved locally.' shown.</t>
  </si>
  <si>
    <t>APS-4</t>
  </si>
  <si>
    <t>Admin's permissions are locked, Recruiter's can be toggled</t>
  </si>
  <si>
    <t>Automated, tests/unit/admin-platform-settings.test.tsx (APS-4): Permissions tab, 'Manage Users' row</t>
  </si>
  <si>
    <t>Admin switch disabled; Recruiter switch toggles false→true.</t>
  </si>
  <si>
    <t>APS-5</t>
  </si>
  <si>
    <t>Permissions 'Save Permissions' is disabled with a Coming soon tooltip</t>
  </si>
  <si>
    <t>Automated, tests/unit/admin-platform-settings.test.tsx (APS-5): Permissions tab</t>
  </si>
  <si>
    <t>Button disabled, title='Coming soon' (not a silently broken active button).</t>
  </si>
  <si>
    <t>APS-6</t>
  </si>
  <si>
    <t>Toggling a notification event's Email channel updates its state</t>
  </si>
  <si>
    <t>Automated, tests/unit/admin-platform-settings.test.tsx (APS-6): Notifications tab, 'JD Generation' row, click Email toggle</t>
  </si>
  <si>
    <t>Toggle flips aria-checked false→true.</t>
  </si>
  <si>
    <t>APS-7</t>
  </si>
  <si>
    <t>'Save Notifications' is disabled with a Coming soon tooltip</t>
  </si>
  <si>
    <t>Automated, tests/unit/admin-platform-settings.test.tsx (APS-7): Notifications tab</t>
  </si>
  <si>
    <t>Button disabled, title='Coming soon'.</t>
  </si>
  <si>
    <t>APS-8</t>
  </si>
  <si>
    <t>'Reset Platform Data' danger-zone button is disabled with a Coming soon tooltip</t>
  </si>
  <si>
    <t>Automated, tests/unit/admin-platform-settings.test.tsx (APS-8): General tab</t>
  </si>
  <si>
    <t>Button disabled, title='Coming soon' (not a live destructive action).</t>
  </si>
  <si>
    <t>AICFG-1</t>
  </si>
  <si>
    <t>Shows the saved provider, model, and temperature</t>
  </si>
  <si>
    <t>Automated, tests/unit/admin-ai-config.test.tsx (AICFG-1): getRagSettings/listRagModels resolve with ollama provider, llama3.1:8b, temp=0.3</t>
  </si>
  <si>
    <t>Base URL, chat model select, and '(0.3)' shown.</t>
  </si>
  <si>
    <t>AICFG-2</t>
  </si>
  <si>
    <t>Automated, tests/unit/admin-ai-config.test.tsx (AICFG-2): Both calls reject once, then Retry clicked</t>
  </si>
  <si>
    <t>Retry button shown, then chat model select repopulated.</t>
  </si>
  <si>
    <t>AICFG-3</t>
  </si>
  <si>
    <t>Switching to OpenRouter fills the OpenRouter default base URL</t>
  </si>
  <si>
    <t>Automated, tests/unit/admin-ai-config.test.tsx (AICFG-3): Click the OpenRouter provider button</t>
  </si>
  <si>
    <t>Base URL field shows https://openrouter.ai/api/v1.</t>
  </si>
  <si>
    <t>AICFG-4</t>
  </si>
  <si>
    <t>Saving calls updateRagSettings with the edited temperature</t>
  </si>
  <si>
    <t>Automated, tests/unit/admin-ai-config.test.tsx (AICFG-4): Edit temperature 0.3→0.7, click Save AI configuration</t>
  </si>
  <si>
    <t>updateRagSettings called with temperature=0.7; 'AI configuration saved' shown.</t>
  </si>
  <si>
    <t>AICFG-5</t>
  </si>
  <si>
    <t>A save failure shows the API's own error message as a toast</t>
  </si>
  <si>
    <t>Automated, tests/unit/admin-ai-config.test.tsx (AICFG-5): updateRagSettings rejects with 'Backend does not support saving AI config yet.'</t>
  </si>
  <si>
    <t>That exact message shown, not a generic one.</t>
  </si>
  <si>
    <t>ACOMP-1</t>
  </si>
  <si>
    <t>Lists companies from listCompanies</t>
  </si>
  <si>
    <t>Automated, tests/unit/admin-companies.test.tsx (ACOMP-1): listCompanies resolves 1 company 'Acme Corp'</t>
  </si>
  <si>
    <t>'Acme Corp' shown.</t>
  </si>
  <si>
    <t>ACOMP-2</t>
  </si>
  <si>
    <t>Pressing Enter in the search box re-fetches with that keyword</t>
  </si>
  <si>
    <t>Automated, tests/unit/admin-companies.test.tsx (ACOMP-2): Type 'Acme{Enter}'</t>
  </si>
  <si>
    <t>listCompanies last called with keyword='Acme'.</t>
  </si>
  <si>
    <t>ACOMP-3</t>
  </si>
  <si>
    <t>No companies shows the empty state</t>
  </si>
  <si>
    <t>Automated, tests/unit/admin-companies.test.tsx (ACOMP-3): listCompanies resolves []</t>
  </si>
  <si>
    <t>'No companies found.' shown.</t>
  </si>
  <si>
    <t>ACOMP-4</t>
  </si>
  <si>
    <t>Automated, tests/unit/admin-companies.test.tsx (ACOMP-4): listCompanies rejects once, then Retry clicked</t>
  </si>
  <si>
    <t>Retry (Thử lại) shown, then results load.</t>
  </si>
  <si>
    <t>ACOMP-5</t>
  </si>
  <si>
    <t>Creating a single company calls createCompany with the trimmed payload</t>
  </si>
  <si>
    <t>Automated, tests/unit/admin-companies.test.tsx (ACOMP-5): Add Company, type '  New Co  ', Create Company</t>
  </si>
  <si>
    <t>createCompany called with name='New Co' (trimmed); success toast shown.</t>
  </si>
  <si>
    <t>ACOMP-6</t>
  </si>
  <si>
    <t>Editing a company's name calls updateCompany</t>
  </si>
  <si>
    <t>Automated, tests/unit/admin-companies.test.tsx (ACOMP-6): Edit Company, rename to 'Acme Corp Renamed', Save Changes</t>
  </si>
  <si>
    <t>updateCompany called with id='co-1', new name; success toast shown.</t>
  </si>
  <si>
    <t>ACOMP-7</t>
  </si>
  <si>
    <t>Deleting a company asks for confirmation before calling deleteCompany</t>
  </si>
  <si>
    <t>Automated, tests/unit/admin-companies.test.tsx (ACOMP-7): Click Delete Company, confirm</t>
  </si>
  <si>
    <t>Confirm text shown first, deleteCompany not called until confirmed, then called with 'co-1'.</t>
  </si>
  <si>
    <t>AKB-1</t>
  </si>
  <si>
    <t>Renders the admin heading and lists documents via getAdminKnowledgeDocs</t>
  </si>
  <si>
    <t>Automated, tests/unit/admin-knowledge.test.tsx (AKB-1): getAdminKnowledgeDocs resolves with 1 READY doc</t>
  </si>
  <si>
    <t>'Knowledge Documents' heading + doc name shown; getAdminKnowledgeDocs called.</t>
  </si>
  <si>
    <t>AKB-2</t>
  </si>
  <si>
    <t>No documents shows the empty state</t>
  </si>
  <si>
    <t>Automated, tests/unit/admin-knowledge.test.tsx (AKB-2): getAdminKnowledgeDocs resolves []</t>
  </si>
  <si>
    <t>'No documents yet.' shown.</t>
  </si>
  <si>
    <t>ADASH-1</t>
  </si>
  <si>
    <t>Renders KPI values from fetchAdminDashboardStats</t>
  </si>
  <si>
    <t>Automated, tests/unit/admin-dashboard.test.tsx (ADASH-1): totalUsers=120, hrManagers=15, jobSeekers=100, totalCompanies=8</t>
  </si>
  <si>
    <t>120/15/100/8 shown.</t>
  </si>
  <si>
    <t>ADASH-2</t>
  </si>
  <si>
    <t>Lists a recent user registration with name and email</t>
  </si>
  <si>
    <t>Automated, tests/unit/admin-dashboard.test.tsx (ADASH-2): recentUsers=[{fullName:'Nguyen Van A', email:'a@example.com'}]</t>
  </si>
  <si>
    <t>Both values shown.</t>
  </si>
  <si>
    <t>ADASH-3</t>
  </si>
  <si>
    <t>No companies registered shows the corresponding platform alert</t>
  </si>
  <si>
    <t>Automated, tests/unit/admin-dashboard.test.tsx (ADASH-3): totalCompanies=0, companies=[]</t>
  </si>
  <si>
    <t>'No companies registered' shown.</t>
  </si>
  <si>
    <t>ADASH-3b</t>
  </si>
  <si>
    <t>Healthy data (companies + HR managers present) shows no alerts</t>
  </si>
  <si>
    <t>Automated, tests/unit/admin-dashboard.test.tsx (ADASH-3b): Default fixture</t>
  </si>
  <si>
    <t>'No alerts detected' shown.</t>
  </si>
  <si>
    <t>ADASH-4</t>
  </si>
  <si>
    <t>A load failure shows the error banner with Retry, and Retry re-fetches</t>
  </si>
  <si>
    <t>Automated, tests/unit/admin-dashboard.test.tsx (ADASH-4): fetchAdminDashboardStats rejects once, then Retry clicked</t>
  </si>
  <si>
    <t>KPI loads; error banner clears.</t>
  </si>
  <si>
    <t>ADASH-5</t>
  </si>
  <si>
    <t>Clicking Refresh in the header re-fetches dashboard data</t>
  </si>
  <si>
    <t>Automated, tests/unit/admin-dashboard.test.tsx (ADASH-5): Loaded (120), Refresh clicked, next fetch returns 200</t>
  </si>
  <si>
    <t>KPI updates to 200.</t>
  </si>
  <si>
    <t>AMKT-1</t>
  </si>
  <si>
    <t>Lists published sets with title, company, and HR owner</t>
  </si>
  <si>
    <t>Automated, tests/unit/admin-marketplace.test.tsx (AMKT-1): listMarketplaceQuestionSets resolves 1 item</t>
  </si>
  <si>
    <t>Title + company name shown.</t>
  </si>
  <si>
    <t>AMKT-2</t>
  </si>
  <si>
    <t>Typing in search re-fetches with that keyword</t>
  </si>
  <si>
    <t>Automated, tests/unit/admin-marketplace.test.tsx (AMKT-2): Type 'Backend' (300ms debounce)</t>
  </si>
  <si>
    <t>listMarketplaceQuestionSets last called with keyword='Backend'.</t>
  </si>
  <si>
    <t>AMKT-3</t>
  </si>
  <si>
    <t>No results shows the empty state</t>
  </si>
  <si>
    <t>Automated, tests/unit/admin-marketplace.test.tsx (AMKT-3): listMarketplaceQuestionSets resolves []</t>
  </si>
  <si>
    <t>'No marketplace question sets found.' shown.</t>
  </si>
  <si>
    <t>AMKT-4</t>
  </si>
  <si>
    <t>A load failure shows the error toast</t>
  </si>
  <si>
    <t>Automated, tests/unit/admin-marketplace.test.tsx (AMKT-4): listMarketplaceQuestionSets rejects</t>
  </si>
  <si>
    <t>'Failed to load marketplace list.' shown.</t>
  </si>
  <si>
    <t>AMKT-5</t>
  </si>
  <si>
    <t>Pinning a set calls pinMarketplaceQuestionSet and shows a success toast</t>
  </si>
  <si>
    <t>Automated, tests/unit/admin-marketplace.test.tsx (AMKT-5): Click Pin on an unpinned set</t>
  </si>
  <si>
    <t>pinMarketplaceQuestionSet called with 'set-1'; 'Question set pinned.' shown.</t>
  </si>
  <si>
    <t>AMKT-6</t>
  </si>
  <si>
    <t>Clicking View opens the detail panel with data from getMarketplaceQuestionSetById</t>
  </si>
  <si>
    <t>Automated, tests/unit/admin-marketplace.test.tsx (AMKT-6): Click View</t>
  </si>
  <si>
    <t>getMarketplaceQuestionSetById called with 'set-1'; practitioner name shown in the panel.</t>
  </si>
  <si>
    <t>APLAN-1</t>
  </si>
  <si>
    <t>Lists plans fetched via adminListPlans</t>
  </si>
  <si>
    <t>Automated, tests/unit/admin-plans.test.tsx (APLAN-1): adminListPlans resolves 'HR Premium', askAiPerMonth=999</t>
  </si>
  <si>
    <t>Name field='HR Premium', Ask-AI field=999.</t>
  </si>
  <si>
    <t>APLAN-2</t>
  </si>
  <si>
    <t>Refresh re-fetches the plan list</t>
  </si>
  <si>
    <t>Automated, tests/unit/admin-plans.test.tsx (APLAN-2): Click Refresh, next fetch renames the plan</t>
  </si>
  <si>
    <t>Name field updates to the renamed value.</t>
  </si>
  <si>
    <t>APLAN-3</t>
  </si>
  <si>
    <t>Editing the Ask-AI limit and saving calls adminUpdatePlan with the new value</t>
  </si>
  <si>
    <t>Automated, tests/unit/admin-plans.test.tsx (APLAN-3): Edit 999→500, Save plan</t>
  </si>
  <si>
    <t>adminUpdatePlan called with limits.askAiPerMonth=500; success message shown.</t>
  </si>
  <si>
    <t>APLAN-4</t>
  </si>
  <si>
    <t>A save failure shows the generic save-error toast</t>
  </si>
  <si>
    <t>Automated, tests/unit/admin-plans.test.tsx (APLAN-4): adminUpdatePlan rejects</t>
  </si>
  <si>
    <t>'Failed to save the plan.' shown.</t>
  </si>
  <si>
    <t>APLAN-5</t>
  </si>
  <si>
    <t>The Free visible % field clamps to a maximum of 100</t>
  </si>
  <si>
    <t>Automated, tests/unit/admin-plans.test.tsx (APLAN-5): Field=50, type 150, blur (tab away)</t>
  </si>
  <si>
    <t>Field clamps to 100.</t>
  </si>
  <si>
    <t>DASH-1</t>
  </si>
  <si>
    <t>Renders KPI values from the real aggregate endpoint</t>
  </si>
  <si>
    <t>Automated, tests/unit/hr-dashboard.test.tsx (DASH-1): 108 questions, 12 sessions, 9 completed, 75%, topRole='Backend Developer'</t>
  </si>
  <si>
    <t>All 5 KPI values shown.</t>
  </si>
  <si>
    <t>DASH-2</t>
  </si>
  <si>
    <t>Lists a recent session with its job title and question count</t>
  </si>
  <si>
    <t>Automated, tests/unit/hr-dashboard.test.tsx (DASH-2): recentSessions=[{role:'Backend Developer', questionCount:15}]</t>
  </si>
  <si>
    <t>Role appears ≥2 times (KPI + row); count 15 shown.</t>
  </si>
  <si>
    <t>DASH-3</t>
  </si>
  <si>
    <t>Lists a top candidate recommendation with name, role, and score</t>
  </si>
  <si>
    <t>Automated, tests/unit/hr-dashboard.test.tsx (DASH-3): topRecommendations=[{candidateName:'Nguyen Van A', score:88}]</t>
  </si>
  <si>
    <t>Name + '88%' shown.</t>
  </si>
  <si>
    <t>DASH-4</t>
  </si>
  <si>
    <t>No recommendations yet shows the empty state instead of an empty table</t>
  </si>
  <si>
    <t>Automated, tests/unit/hr-dashboard.test.tsx (DASH-4): topRecommendations=[]</t>
  </si>
  <si>
    <t>'No candidate recommendations yet.' shown.</t>
  </si>
  <si>
    <t>DASH-5</t>
  </si>
  <si>
    <t>Automated, tests/unit/hr-dashboard.test.tsx (DASH-5): getHrDashboard rejects once, then Retry clicked</t>
  </si>
  <si>
    <t>Data loads; error banner clears.</t>
  </si>
  <si>
    <t>DASH-6 (finding)</t>
  </si>
  <si>
    <t>The soft-fallback null path still reports itself as errored despite showing fallback data</t>
  </si>
  <si>
    <t>Automated, tests/unit/hr-dashboard.test.tsx (DASH-6 (finding)): getHrDashboard resolves null; listRecommendations resolves 1 fallback item</t>
  </si>
  <si>
    <t>'Failed to load dashboard data.' banner shown AND 'Fallback Candidate' still rendered.</t>
  </si>
  <si>
    <t>HIST-1</t>
  </si>
  <si>
    <t>Lists question sets with title, status badge, and question count</t>
  </si>
  <si>
    <t>Automated, tests/unit/hr-history.test.tsx (HIST-1): 1 Draft + 1 Published set</t>
  </si>
  <si>
    <t>Both titles + badges + counts (8, 12) shown.</t>
  </si>
  <si>
    <t>HIST-2</t>
  </si>
  <si>
    <t>Search filters rows by title</t>
  </si>
  <si>
    <t>Automated, tests/unit/hr-history.test.tsx (HIST-2): Type 'react'</t>
  </si>
  <si>
    <t>Non-matching row hidden; matching row shown.</t>
  </si>
  <si>
    <t>HIST-3</t>
  </si>
  <si>
    <t>filter='PUBLISHED'/'bookmarked' only show the matching sets</t>
  </si>
  <si>
    <t>Automated, tests/unit/hr-history.test.tsx (HIST-3): Each filter applied in turn</t>
  </si>
  <si>
    <t>Only the matching set visible each time.</t>
  </si>
  <si>
    <t>HIST-4</t>
  </si>
  <si>
    <t>A load failure shows the error message instead of the table</t>
  </si>
  <si>
    <t>Automated, tests/unit/hr-history.test.tsx (HIST-4): listHistoryQuestionSets rejects 'Network error loading sets'</t>
  </si>
  <si>
    <t>That message shown instead of the table.</t>
  </si>
  <si>
    <t>HIST-5</t>
  </si>
  <si>
    <t>Publishing a Draft set calls publishQuestionSet and flips its badge to Published</t>
  </si>
  <si>
    <t>Automated, tests/unit/hr-history.test.tsx (HIST-5): Click 'Publish to marketplace' on qs-1</t>
  </si>
  <si>
    <t>publishQuestionSet called with 'qs-1'; both rows show 'Published'.</t>
  </si>
  <si>
    <t>HIST-6</t>
  </si>
  <si>
    <t>Unpublishing a Published set calls unpublishQuestionSet and flips its badge to Draft</t>
  </si>
  <si>
    <t>Automated, tests/unit/hr-history.test.tsx (HIST-6): Click 'Unpublish' on qs-2</t>
  </si>
  <si>
    <t>unpublishQuestionSet called with 'qs-2'; both rows show 'Saved'.</t>
  </si>
  <si>
    <t>HIST-7</t>
  </si>
  <si>
    <t>Toggling the bookmark icon calls toggleHrBookmark</t>
  </si>
  <si>
    <t>Automated, tests/unit/hr-history.test.tsx (HIST-7): Click 'Save to bookmarks' on qs-1</t>
  </si>
  <si>
    <t>toggleHrBookmark called with 'qs-1'.</t>
  </si>
  <si>
    <t>HIST-8</t>
  </si>
  <si>
    <t>Delete asks for confirmation first, then removes the row on confirm</t>
  </si>
  <si>
    <t>Automated, tests/unit/hr-history.test.tsx (HIST-8): Click Delete on qs-1, confirm</t>
  </si>
  <si>
    <t>Confirm shown first, deleteHistoryQuestionSet not called until confirmed, then called with 'qs-1'; row removed.</t>
  </si>
  <si>
    <t>HIST-9</t>
  </si>
  <si>
    <t>The export (Download Excel) button only shows for a Premium plan, not Free</t>
  </si>
  <si>
    <t>Automated, tests/unit/hr-history.test.tsx (HIST-9): Premium, then Free subscription</t>
  </si>
  <si>
    <t>Button present for Premium, absent for Free.</t>
  </si>
  <si>
    <t>HIST-10</t>
  </si>
  <si>
    <t>A PUBLISHED set's Delete button is disabled and never opens the confirm dialog</t>
  </si>
  <si>
    <t>Automated, tests/unit/hr-history.test.tsx (HIST-10): Click the disabled Delete on qs-2 (Published)</t>
  </si>
  <si>
    <t>Button disabled; click no-ops, no dialog opens, deleteHistoryQuestionSet not called.</t>
  </si>
  <si>
    <t>CBILL-1</t>
  </si>
  <si>
    <t>A Free subscriber sees the Free plan and their practice-attempt usage</t>
  </si>
  <si>
    <t>Automated, tests/unit/candidate-billing.test.tsx (CBILL-1): planType=FREE, practiceUsed=3/5</t>
  </si>
  <si>
    <t>'Free Plan' + '3/5' shown.</t>
  </si>
  <si>
    <t>CBILL-2</t>
  </si>
  <si>
    <t>A Premium subscriber sees the Premium plan and their renewal date</t>
  </si>
  <si>
    <t>Automated, tests/unit/candidate-billing.test.tsx (CBILL-2): planType=PREMIUM, renewalDate=2026-09-15</t>
  </si>
  <si>
    <t>'Premium' + formatted date shown.</t>
  </si>
  <si>
    <t>CBILL-3</t>
  </si>
  <si>
    <t>No payment history shows the empty state</t>
  </si>
  <si>
    <t>Automated, tests/unit/candidate-billing.test.tsx (CBILL-3): getCandidatePaymentHistory resolves []</t>
  </si>
  <si>
    <t>'No payment history yet.' shown.</t>
  </si>
  <si>
    <t>CBILL-4</t>
  </si>
  <si>
    <t>A past payment shows its invoice row</t>
  </si>
  <si>
    <t>Automated, tests/unit/candidate-billing.test.tsx (CBILL-4): 1 invoice 'CAND-2026-01-01'</t>
  </si>
  <si>
    <t>Row shown.</t>
  </si>
  <si>
    <t>CBILL-5</t>
  </si>
  <si>
    <t>An invoice WITH a receiptUrl renders a real Download link</t>
  </si>
  <si>
    <t>Automated, tests/unit/candidate-billing.test.tsx (CBILL-5): Invoice has receiptUrl</t>
  </si>
  <si>
    <t>Real link with href=receiptUrl and download attribute.</t>
  </si>
  <si>
    <t>CBILL-6</t>
  </si>
  <si>
    <t>An invoice WITHOUT a receiptUrl shows a disabled Download button with a Coming soon tooltip</t>
  </si>
  <si>
    <t>Automated, tests/unit/candidate-billing.test.tsx (CBILL-6): Invoice has no receiptUrl</t>
  </si>
  <si>
    <t>No link rendered; disabled button, title='Coming soon'.</t>
  </si>
  <si>
    <t>CBILL-7</t>
  </si>
  <si>
    <t>A Premium subscriber's Manage Subscription button is disabled with a Coming soon tooltip</t>
  </si>
  <si>
    <t>Automated, tests/unit/candidate-billing.test.tsx (CBILL-7): Premium subscriber</t>
  </si>
  <si>
    <t>CBILL-8</t>
  </si>
  <si>
    <t>'Update Billing Info' and 'Change Payment Method' are disabled with a Coming soon tooltip</t>
  </si>
  <si>
    <t>Automated, tests/unit/candidate-billing.test.tsx (CBILL-8): Free subscriber</t>
  </si>
  <si>
    <t>Both buttons disabled, title='Coming soon'.</t>
  </si>
  <si>
    <t>CBILL-9</t>
  </si>
  <si>
    <t>A Free subscriber clicking Upgrade to Premium opens the upgrade modal</t>
  </si>
  <si>
    <t>Automated, tests/unit/candidate-billing.test.tsx (CBILL-9): Click Upgrade to Premium</t>
  </si>
  <si>
    <t>Upgrade modal dialog opens.</t>
  </si>
  <si>
    <t>CBILL-10</t>
  </si>
  <si>
    <t>A Premium subscriber can cancel, confirm calls cancelSubscription and reverts to Free</t>
  </si>
  <si>
    <t>Automated, tests/unit/candidate-billing.test.tsx (CBILL-10): Cancel Plan, confirm Cancel Subscription</t>
  </si>
  <si>
    <t>cancelSubscription called; plan card reverts to 'Free Plan'.</t>
  </si>
  <si>
    <t>CDASH-1</t>
  </si>
  <si>
    <t>Renders the total-sessions KPI from real practice stats</t>
  </si>
  <si>
    <t>Automated, tests/unit/candidate-dashboard.test.tsx (CDASH-1): totalSessions=6, averageScore=78</t>
  </si>
  <si>
    <t>'6' + '78%' shown.</t>
  </si>
  <si>
    <t>CDASH-2</t>
  </si>
  <si>
    <t>Lists a recent session with its question-set title</t>
  </si>
  <si>
    <t>Automated, tests/unit/candidate-dashboard.test.tsx (CDASH-2): setTitle='Frontend React Deep Dive'</t>
  </si>
  <si>
    <t>Title shown.</t>
  </si>
  <si>
    <t>CDASH-3</t>
  </si>
  <si>
    <t>No sessions yet shows the empty state instead of a session list</t>
  </si>
  <si>
    <t>Automated, tests/unit/candidate-dashboard.test.tsx (CDASH-3): listCompletedSessions resolves []</t>
  </si>
  <si>
    <t>'No practice sessions yet.' shown.</t>
  </si>
  <si>
    <t>CDASH-4</t>
  </si>
  <si>
    <t>Automated, tests/unit/candidate-dashboard.test.tsx (CDASH-4): Both calls reject once, then Retry clicked</t>
  </si>
  <si>
    <t>Session data loads after retry.</t>
  </si>
  <si>
    <t>CDASH-5</t>
  </si>
  <si>
    <t>Renders recommended sets fetched via listQuestionSets</t>
  </si>
  <si>
    <t>Automated, tests/unit/candidate-dashboard.test.tsx (CDASH-5): listQuestionSets resolves 'SRE Site Reliability Track'</t>
  </si>
  <si>
    <t>Title shown; called with pageSize=3.</t>
  </si>
  <si>
    <t>CDASH-6</t>
  </si>
  <si>
    <t>A recommended-sets load failure shows its own independent Retry</t>
  </si>
  <si>
    <t>Automated, tests/unit/candidate-dashboard.test.tsx (CDASH-6): listQuestionSets rejects once, main data loads fine</t>
  </si>
  <si>
    <t>Recommended-sets Retry re-populates independently.</t>
  </si>
  <si>
    <t>PROF-1</t>
  </si>
  <si>
    <t>Shows the loaded profile info and practice stats</t>
  </si>
  <si>
    <t>Automated, tests/unit/candidate-profile.test.tsx (PROF-1): targetRole='Backend Developer', totalSessions=4, averageScore=81</t>
  </si>
  <si>
    <t>All 3 values shown.</t>
  </si>
  <si>
    <t>PROF-2</t>
  </si>
  <si>
    <t>Clicking Edit Profile switches to edit mode with current values pre-filled</t>
  </si>
  <si>
    <t>Automated, tests/unit/candidate-profile.test.tsx (PROF-2): Click Edit Profile</t>
  </si>
  <si>
    <t>Inputs pre-filled; Save Changes button shown.</t>
  </si>
  <si>
    <t>PROF-3</t>
  </si>
  <si>
    <t>Saving valid changes calls updateCandidateProfile with the trimmed form</t>
  </si>
  <si>
    <t>Automated, tests/unit/candidate-profile.test.tsx (PROF-3): Edit targetRole to '  Staff Backend Engineer  ', Save Changes</t>
  </si>
  <si>
    <t>Called with targetRole='Staff Backend Engineer' (trimmed); success message; edit mode exits.</t>
  </si>
  <si>
    <t>PROF-4</t>
  </si>
  <si>
    <t>An invalid LinkedIn URL blocks saving client-side</t>
  </si>
  <si>
    <t>Automated, tests/unit/candidate-profile.test.tsx (PROF-4): Type 'not-a-url' into LinkedIn field, Save Changes</t>
  </si>
  <si>
    <t>Validation message shown; updateCandidateProfile never called.</t>
  </si>
  <si>
    <t>PROF-5</t>
  </si>
  <si>
    <t>Adding a skill via Enter updates the skills list, included on save</t>
  </si>
  <si>
    <t>Automated, tests/unit/candidate-profile.test.tsx (PROF-5): Type 'Kubernetes{Enter}'</t>
  </si>
  <si>
    <t>Chip shown; saved techStack includes it.</t>
  </si>
  <si>
    <t>PROF-6</t>
  </si>
  <si>
    <t>Uploading a CV from the empty state calls uploadCv and the new file appears</t>
  </si>
  <si>
    <t>Automated, tests/unit/candidate-profile.test.tsx (PROF-6): Upload 'new-resume.pdf'</t>
  </si>
  <si>
    <t>uploadCv called with the file; file name appears.</t>
  </si>
  <si>
    <t>PROF-7</t>
  </si>
  <si>
    <t>Deleting an existing CV asks for confirmation before calling deleteCv</t>
  </si>
  <si>
    <t>Automated, tests/unit/candidate-profile.test.tsx (PROF-7): Click Delete, confirm</t>
  </si>
  <si>
    <t>Confirm shown first, deleteCv not called until confirmed, then called; 'CV deleted.' shown.</t>
  </si>
  <si>
    <t>CSET-1</t>
  </si>
  <si>
    <t>Defaults to the Profile tab</t>
  </si>
  <si>
    <t>Automated, tests/unit/candidate-settings.test.tsx (CSET-1): No ?tab= param</t>
  </si>
  <si>
    <t>[CandidateProfile] placeholder shown.</t>
  </si>
  <si>
    <t>CSET-2</t>
  </si>
  <si>
    <t>The ?tab= query param opens that tab on load</t>
  </si>
  <si>
    <t>Automated, tests/unit/candidate-settings.test.tsx (CSET-2): ?tab=billing</t>
  </si>
  <si>
    <t>[CandidateBillingPage] placeholder shown.</t>
  </si>
  <si>
    <t>CSET-3</t>
  </si>
  <si>
    <t>Clicking the General nav item switches to the General tab</t>
  </si>
  <si>
    <t>Automated, tests/unit/candidate-settings.test.tsx (CSET-3): Click General nav item</t>
  </si>
  <si>
    <t>'Language' (General tab content) shown.</t>
  </si>
  <si>
    <t>CSET-4</t>
  </si>
  <si>
    <t>Toggling CV sync off calls updateCvSyncSettings(false)</t>
  </si>
  <si>
    <t>Automated, tests/unit/candidate-settings.test.tsx (CSET-4): Click the CV-sync toggle</t>
  </si>
  <si>
    <t>updateCvSyncSettings called with false.</t>
  </si>
  <si>
    <t>CSET-5</t>
  </si>
  <si>
    <t>Switching language to Tiếng Việt re-labels the General tab</t>
  </si>
  <si>
    <t>Automated, tests/unit/candidate-settings.test.tsx (CSET-5): Click 'Tiếng Việt'</t>
  </si>
  <si>
    <t>'Ngôn ngữ' shown.</t>
  </si>
  <si>
    <t>CSET-6</t>
  </si>
  <si>
    <t>A Premium candidate can toggle recruiter recommendations</t>
  </si>
  <si>
    <t>Automated, tests/unit/candidate-settings.test.tsx (CSET-6): planType=PREMIUM, toggle clicked</t>
  </si>
  <si>
    <t>updatePrivacySettings called with false; 'Preference updated' shown.</t>
  </si>
  <si>
    <t>CSET-7</t>
  </si>
  <si>
    <t>A Free candidate sees a 'Premium only' lock instead of a toggle</t>
  </si>
  <si>
    <t>Automated, tests/unit/candidate-settings.test.tsx (CSET-7): planType=FREE (default)</t>
  </si>
  <si>
    <t>'Premium only' shown, no switch; clicking Upgrade opens the upgrade heading.</t>
  </si>
  <si>
    <t>CSUB-1 (regression)</t>
  </si>
  <si>
    <t>A Premium plan cached for user A must NOT be applied to user B on the same browser</t>
  </si>
  <si>
    <t>Automated, tests/unit/candidate-subscription-context.test.tsx (CSUB-1 (regression)): Cache={PREMIUM, user-A}; current user=user-B; fetch hangs</t>
  </si>
  <si>
    <t>Shows plan:FREE for user-B, never plan:PREMIUM.</t>
  </si>
  <si>
    <t>CSUB-2</t>
  </si>
  <si>
    <t>A Premium plan cached for the SAME user IS applied immediately</t>
  </si>
  <si>
    <t>Automated, tests/unit/candidate-subscription-context.test.tsx (CSUB-2): Cache={PREMIUM, user-A}; current user=user-A; fetch hangs</t>
  </si>
  <si>
    <t>Shows plan:PREMIUM for user-A immediately.</t>
  </si>
  <si>
    <t>CSUB-3</t>
  </si>
  <si>
    <t>refreshSubscription writes the cache scoped to the current user id, not globally</t>
  </si>
  <si>
    <t>Automated, tests/unit/candidate-subscription-context.test.tsx (CSUB-3): current user=user-C; fetch resolves PREMIUM</t>
  </si>
  <si>
    <t>Shows plan:PREMIUM; cache written with user='user-C'.</t>
  </si>
  <si>
    <t>CSUB-4</t>
  </si>
  <si>
    <t>No cache at all still resolves to the real FREE plan once the API responds</t>
  </si>
  <si>
    <t>Automated, tests/unit/candidate-subscription-context.test.tsx (CSUB-4): current user=user-D; fetch resolves FREE</t>
  </si>
  <si>
    <t>Shows plan:FREE for user-D.</t>
  </si>
  <si>
    <t>UPM-1</t>
  </si>
  <si>
    <t>finishPaid retries the post-payment refresh on transient failure and still calls onDone</t>
  </si>
  <si>
    <t>Automated, tests/unit/candidate-upgrade-modal.test.tsx (UPM-1): Order becomes Paid; getCandidateSubscription rejects twice then resolves PREMIUM</t>
  </si>
  <si>
    <t>getCandidateSubscription called 3 times; onDone called once with fresh subscription/usage/history.</t>
  </si>
  <si>
    <t>UPM-2</t>
  </si>
  <si>
    <t>finishPaid gives up quietly after 3 straight failures, onDone just never fires</t>
  </si>
  <si>
    <t>Automated, tests/unit/candidate-upgrade-modal.test.tsx (UPM-2): Order becomes Paid; getCandidateSubscription rejects all 3 attempts</t>
  </si>
  <si>
    <t>Called 3 times; onDone never called; onClose already called; no crash.</t>
  </si>
  <si>
    <t>FRC-1</t>
  </si>
  <si>
    <t>Shows scoring while overallScore is null, then flips to done once a poll returns a score</t>
  </si>
  <si>
    <t>Automated, tests/unit/feedback-result-client.test.tsx (FRC-1): 3 calls: null, null, 85</t>
  </si>
  <si>
    <t>State 'scoring' through 2 nulls, then 'done'; called 3 times total.</t>
  </si>
  <si>
    <t>FRC-2</t>
  </si>
  <si>
    <t>After SCORE_POLL_MAX_ATTEMPTS straight nulls, scoring times out instead of polling forever</t>
  </si>
  <si>
    <t>Automated, tests/unit/feedback-result-client.test.tsx (FRC-2): Every poll returns null</t>
  </si>
  <si>
    <t>State flips to 'timed-out'; called 1+MAX_ATTEMPTS times.</t>
  </si>
  <si>
    <t>FRC-3</t>
  </si>
  <si>
    <t>Clicking Retry after a timeout restarts polling and can still succeed</t>
  </si>
  <si>
    <t>Automated, tests/unit/feedback-result-client.test.tsx (FRC-3): Timed out, click 'Retry scoring', next poll returns 90</t>
  </si>
  <si>
    <t>State goes back to 'scoring' then 'done'.</t>
  </si>
  <si>
    <t>FRC-4</t>
  </si>
  <si>
    <t>A score already present on initial load skips polling entirely</t>
  </si>
  <si>
    <t>Automated, tests/unit/feedback-result-client.test.tsx (FRC-4): getPracticeSession returns overallScore=72 on the first call</t>
  </si>
  <si>
    <t>State 'done' immediately; called exactly once.</t>
  </si>
  <si>
    <t>BILL-1</t>
  </si>
  <si>
    <t>Shows the Free plan name for a Free subscriber</t>
  </si>
  <si>
    <t>Automated, tests/unit/hr-billing.test.tsx (BILL-1): planType=FREE</t>
  </si>
  <si>
    <t>'Free' shown.</t>
  </si>
  <si>
    <t>BILL-2</t>
  </si>
  <si>
    <t>Shows the Premium plan name for a Premium subscriber</t>
  </si>
  <si>
    <t>Automated, tests/unit/hr-billing.test.tsx (BILL-2): planType=PREMIUM</t>
  </si>
  <si>
    <t>'Premium' shown.</t>
  </si>
  <si>
    <t>BILL-3</t>
  </si>
  <si>
    <t>A Free subscriber (no payment history) sees no invoice rows</t>
  </si>
  <si>
    <t>Automated, tests/unit/hr-billing.test.tsx (BILL-3): getHrPaymentHistory resolves []</t>
  </si>
  <si>
    <t>No invoice row rendered.</t>
  </si>
  <si>
    <t>BILL-4</t>
  </si>
  <si>
    <t>A Premium subscriber's payment history shows their invoice</t>
  </si>
  <si>
    <t>Automated, tests/unit/hr-billing.test.tsx (BILL-4): 1 invoice 'HR-2026-01-01'</t>
  </si>
  <si>
    <t>BILL-4b</t>
  </si>
  <si>
    <t>Automated, tests/unit/hr-billing.test.tsx (BILL-4b): Invoice has receiptUrl</t>
  </si>
  <si>
    <t>BILL-4c</t>
  </si>
  <si>
    <t>Automated, tests/unit/hr-billing.test.tsx (BILL-4c): Invoice has no receiptUrl</t>
  </si>
  <si>
    <t>BILL-5</t>
  </si>
  <si>
    <t>Clicking Downgrade to Free opens a confirm dialog without cancelling immediately</t>
  </si>
  <si>
    <t>Automated, tests/unit/hr-billing.test.tsx (BILL-5): Click Downgrade to Free</t>
  </si>
  <si>
    <t>'Downgrade to Free' heading + 'Keep Premium' shown; no cancel call yet.</t>
  </si>
  <si>
    <t>BILL-6</t>
  </si>
  <si>
    <t>Keep Premium closes the dialog without cancelling the subscription</t>
  </si>
  <si>
    <t>Automated, tests/unit/hr-billing.test.tsx (BILL-6): Click Keep Premium</t>
  </si>
  <si>
    <t>Dialog closes; subscription not cancelled.</t>
  </si>
  <si>
    <t>BILL-7 (regression)</t>
  </si>
  <si>
    <t>Confirming Downgrade to Free keeps Premium active until period end</t>
  </si>
  <si>
    <t>Automated, tests/unit/hr-billing.test.tsx (BILL-7 (regression)): cancelSubscriptionSandbox resolves with planCode still PREMIUM, status='Cancelled'</t>
  </si>
  <si>
    <t>cancelSubscriptionSandbox called once; 'Downgrade to Free' CTA still present (not reverted to Free).</t>
  </si>
  <si>
    <t>KB-1</t>
  </si>
  <si>
    <t>Lists documents fetched via onFetchDocs, with file name and status</t>
  </si>
  <si>
    <t>Automated, tests/unit/hr-knowledge.test.tsx (KB-1): 1 READY doc 'handbook.pdf'</t>
  </si>
  <si>
    <t>File name + 'Ready' status shown.</t>
  </si>
  <si>
    <t>KB-2</t>
  </si>
  <si>
    <t>Automated, tests/unit/hr-knowledge.test.tsx (KB-2): onFetchDocs resolves []</t>
  </si>
  <si>
    <t>KB-3</t>
  </si>
  <si>
    <t>A Failed document shows its error message</t>
  </si>
  <si>
    <t>Automated, tests/unit/hr-knowledge.test.tsx (KB-3): FAILED doc, errorMessage='Unreadable PDF content'</t>
  </si>
  <si>
    <t>That message shown.</t>
  </si>
  <si>
    <t>KB-4</t>
  </si>
  <si>
    <t>Uploading a valid file calls onUpload and the new document appears</t>
  </si>
  <si>
    <t>Automated, tests/unit/hr-knowledge.test.tsx (KB-4): Upload 'resume-guide.pdf'</t>
  </si>
  <si>
    <t>onUpload called with the file; file name appears.</t>
  </si>
  <si>
    <t>KB-5 (finding)</t>
  </si>
  <si>
    <t>A file over the 20MB limit is rejected client-side without ever calling onUpload</t>
  </si>
  <si>
    <t>Automated, tests/unit/hr-knowledge.test.tsx (KB-5 (finding)): Upload 'huge.pdf', 21MB</t>
  </si>
  <si>
    <t>'File "huge.pdf" exceeds 20 MB.' shown; onUpload never called, no server-side type re-check exists either.</t>
  </si>
  <si>
    <t>KB-6</t>
  </si>
  <si>
    <t>Automated, tests/unit/hr-knowledge.test.tsx (KB-6): Open row menu, 'Xoá nguồn', confirm Delete</t>
  </si>
  <si>
    <t>Confirm shown first, onDelete not called until confirmed, then called with 'doc-1'; row removed.</t>
  </si>
  <si>
    <t>REC-1</t>
  </si>
  <si>
    <t>Lists candidates with name, role, and score</t>
  </si>
  <si>
    <t>Automated, tests/unit/hr-recommendations.test.tsx (REC-1): 1 candidate, score=88</t>
  </si>
  <si>
    <t>Name + '88' shown.</t>
  </si>
  <si>
    <t>REC-2</t>
  </si>
  <si>
    <t>Switching to the Shortlisted status tab re-fetches with that status filter</t>
  </si>
  <si>
    <t>Automated, tests/unit/hr-recommendations.test.tsx (REC-2): Click Shortlisted tab</t>
  </si>
  <si>
    <t>Last called with status='SHORTLISTED'.</t>
  </si>
  <si>
    <t>REC-3</t>
  </si>
  <si>
    <t>Search filters client-side by question set title</t>
  </si>
  <si>
    <t>Automated, tests/unit/hr-recommendations.test.tsx (REC-3): Type 'react'</t>
  </si>
  <si>
    <t>Matching candidate hidden; non-matching one shown.</t>
  </si>
  <si>
    <t>REC-4</t>
  </si>
  <si>
    <t>No matches shows the empty state</t>
  </si>
  <si>
    <t>Automated, tests/unit/hr-recommendations.test.tsx (REC-4): listRecommendations resolves []</t>
  </si>
  <si>
    <t>'No candidates found matching your filters.' shown.</t>
  </si>
  <si>
    <t>REC-5</t>
  </si>
  <si>
    <t>Automated, tests/unit/hr-recommendations.test.tsx (REC-5): Rejects once, then Retry clicked</t>
  </si>
  <si>
    <t>Results load after retry.</t>
  </si>
  <si>
    <t>REC-6</t>
  </si>
  <si>
    <t>Shortlisting a NEW candidate calls shortlistRecommendation and shows a success toast</t>
  </si>
  <si>
    <t>Automated, tests/unit/hr-recommendations.test.tsx (REC-6): status=NEW, click Shortlist</t>
  </si>
  <si>
    <t>shortlistRecommendation called; 'Added to shortlist.' shown.</t>
  </si>
  <si>
    <t>REC-7 (finding)</t>
  </si>
  <si>
    <t>Dismissing an already-acted candidate (409) shows a specific message</t>
  </si>
  <si>
    <t>Automated, tests/unit/hr-recommendations.test.tsx (REC-7 (finding)): dismissRecommendation rejects with 409</t>
  </si>
  <si>
    <t>'This candidate has already been invited or dismissed.' shown, not the generic message.</t>
  </si>
  <si>
    <t>REC-8</t>
  </si>
  <si>
    <t>A DISMISSED candidate can still be shortlisted again (not terminal)</t>
  </si>
  <si>
    <t>Automated, tests/unit/hr-recommendations.test.tsx (REC-8): status=DISMISSED, click Shortlist</t>
  </si>
  <si>
    <t>shortlistRecommendation called successfully.</t>
  </si>
  <si>
    <t>REC-9</t>
  </si>
  <si>
    <t>An INVITED candidate has no shortlist/dismiss actions available (terminal)</t>
  </si>
  <si>
    <t>Automated, tests/unit/hr-recommendations.test.tsx (REC-9): status=INVITED</t>
  </si>
  <si>
    <t>No Shortlist/Dismiss buttons rendered.</t>
  </si>
  <si>
    <t>HRPREF-1</t>
  </si>
  <si>
    <t>The Preferences 'Save Changes' button is disabled with a Coming soon tooltip</t>
  </si>
  <si>
    <t>Automated, tests/unit/hr-settings-preferences-notifications.test.tsx (HRPREF-1): Preferences tab</t>
  </si>
  <si>
    <t>HRNOTIF-1</t>
  </si>
  <si>
    <t>The Notifications 'Save Changes' button is disabled with a Coming soon tooltip</t>
  </si>
  <si>
    <t>Automated, tests/unit/hr-settings-preferences-notifications.test.tsx (HRNOTIF-1): Notifications tab</t>
  </si>
  <si>
    <t>HRNOTIF-2</t>
  </si>
  <si>
    <t>Toggling a notification preference updates its checked state</t>
  </si>
  <si>
    <t>Automated, tests/unit/hr-settings-preferences-notifications.test.tsx (HRNOTIF-2): Click the first toggle</t>
  </si>
  <si>
    <t>aria-checked flips.</t>
  </si>
  <si>
    <t>INV-1</t>
  </si>
  <si>
    <t>Lists invitations with company name and a live Pending count on the tab</t>
  </si>
  <si>
    <t>Automated, tests/unit/invitations.test.tsx (INV-1): 1 PENDING + 1 ACCEPTED</t>
  </si>
  <si>
    <t>Both names shown; Pending tab badge='1'.</t>
  </si>
  <si>
    <t>INV-2</t>
  </si>
  <si>
    <t>Clicking the Accepted tab filters the list to accepted invitations only</t>
  </si>
  <si>
    <t>Automated, tests/unit/invitations.test.tsx (INV-2): Click Accepted tab</t>
  </si>
  <si>
    <t>PENDING company hidden; ACCEPTED one shown.</t>
  </si>
  <si>
    <t>INV-3</t>
  </si>
  <si>
    <t>No invitations at all shows the empty state</t>
  </si>
  <si>
    <t>Automated, tests/unit/invitations.test.tsx (INV-3): listInvitations resolves []</t>
  </si>
  <si>
    <t>Empty-state message shown.</t>
  </si>
  <si>
    <t>INV-4</t>
  </si>
  <si>
    <t>Automated, tests/unit/invitations.test.tsx (INV-4): Rejects once, then Retry clicked</t>
  </si>
  <si>
    <t>Invitation loads after retry.</t>
  </si>
  <si>
    <t>INV-5</t>
  </si>
  <si>
    <t>Accept opens a modal; an invalid phone number blocks confirm</t>
  </si>
  <si>
    <t>Automated, tests/unit/invitations.test.tsx (INV-5): Type '12345' (invalid), Accept invitation</t>
  </si>
  <si>
    <t>Validation message shown; acceptInvitation never called.</t>
  </si>
  <si>
    <t>INV-6</t>
  </si>
  <si>
    <t>Confirming Accept with a valid phone calls acceptInvitation and flips status to Accepted</t>
  </si>
  <si>
    <t>Automated, tests/unit/invitations.test.tsx (INV-6): Type '0912345678', Accept invitation</t>
  </si>
  <si>
    <t>acceptInvitation called; 'Invitation accepted' shown.</t>
  </si>
  <si>
    <t>INV-7 (finding)</t>
  </si>
  <si>
    <t>A 409 on accept shows a specific 'already responded' message</t>
  </si>
  <si>
    <t>Automated, tests/unit/invitations.test.tsx (INV-7 (finding)): acceptInvitation rejects with 409</t>
  </si>
  <si>
    <t>"You've already responded to this invitation." shown, not the generic message.</t>
  </si>
  <si>
    <t>INV-8</t>
  </si>
  <si>
    <t>Decline asks for confirmation first, then calls rejectInvitation</t>
  </si>
  <si>
    <t>Automated, tests/unit/invitations.test.tsx (INV-8): Click Decline, confirm in alert dialog</t>
  </si>
  <si>
    <t>Confirm shown first, rejectInvitation not called until confirmed, then called; 'Invitation declined' shown.</t>
  </si>
  <si>
    <t>MKT-1</t>
  </si>
  <si>
    <t>Lists all sets returned by the backend as cards (title + company)</t>
  </si>
  <si>
    <t>Automated, tests/unit/marketplace.test.tsx (MKT-1): 3 sets across 2 companies</t>
  </si>
  <si>
    <t>All 3 titles shown; 'Acme Corp' appears twice.</t>
  </si>
  <si>
    <t>MKT-2</t>
  </si>
  <si>
    <t>Typing in search filters client-side by title, company, and skill</t>
  </si>
  <si>
    <t>Automated, tests/unit/marketplace.test.tsx (MKT-2): Type 'react'</t>
  </si>
  <si>
    <t>Only the React set remains visible; no re-fetch with a keyword param.</t>
  </si>
  <si>
    <t>MKT-3</t>
  </si>
  <si>
    <t>Selecting a Difficulty filters the visible cards to that difficulty only</t>
  </si>
  <si>
    <t>Automated, tests/unit/marketplace.test.tsx (MKT-3): Select Difficulty=Hard</t>
  </si>
  <si>
    <t>Only the Hard set remains visible.</t>
  </si>
  <si>
    <t>MKT-4</t>
  </si>
  <si>
    <t>No matches shows the empty state instead of an empty grid</t>
  </si>
  <si>
    <t>Automated, tests/unit/marketplace.test.tsx (MKT-4): Search for non-matching text</t>
  </si>
  <si>
    <t>'No question sets found. Try a different search.' shown.</t>
  </si>
  <si>
    <t>MKT-5</t>
  </si>
  <si>
    <t>A load failure shows an error state with Retry, and Retry re-fetches</t>
  </si>
  <si>
    <t>Automated, tests/unit/marketplace.test.tsx (MKT-5): 2nd listQuestionSets call rejects, then Retry clicked</t>
  </si>
  <si>
    <t>All 3 sets load after retry.</t>
  </si>
  <si>
    <t>MKT-6</t>
  </si>
  <si>
    <t>Clicking the bookmark icon on a card calls toggleBookmark and flips its state</t>
  </si>
  <si>
    <t>Automated, tests/unit/marketplace.test.tsx (MKT-6): Click 'Save for later'</t>
  </si>
  <si>
    <t>toggleBookmark called; label flips to 'Remove from saved'.</t>
  </si>
  <si>
    <t>MKT-7</t>
  </si>
  <si>
    <t>Each card's Start Practice button links to its own set-detail route</t>
  </si>
  <si>
    <t>Automated, tests/unit/marketplace.test.tsx (MKT-7): 3 cards, default featured sort</t>
  </si>
  <si>
    <t>hrefs = /jobseeker/sets/{s1,s2,s3} in fetch order.</t>
  </si>
  <si>
    <t>PRACTICE-1</t>
  </si>
  <si>
    <t>Shows a loading spinner while the session is starting</t>
  </si>
  <si>
    <t>Automated, tests/unit/practice-session.test.tsx (PRACTICE-1): startPracticeSession never resolves</t>
  </si>
  <si>
    <t>'Starting your practice session…' shown.</t>
  </si>
  <si>
    <t>PRACTICE-2</t>
  </si>
  <si>
    <t>Once started, renders the first unanswered question with its badges</t>
  </si>
  <si>
    <t>Automated, tests/unit/practice-session.test.tsx (PRACTICE-2): startPracticeSession resolves a 2-question session</t>
  </si>
  <si>
    <t>Question text + 'Question 1 of 2' shown.</t>
  </si>
  <si>
    <t>PRACTICE-3 (finding)</t>
  </si>
  <si>
    <t>A generic start failure shows Retry, and Retry re-invokes startPracticeSession</t>
  </si>
  <si>
    <t>Automated, tests/unit/practice-session.test.tsx (PRACTICE-3 (finding)): Rejects, then Retry clicked, then resolves</t>
  </si>
  <si>
    <t>'Failed to start...' shown, then Retry succeeds.</t>
  </si>
  <si>
    <t>PRACTICE-4</t>
  </si>
  <si>
    <t>A 403 (ForbiddenError) shows a no-access message instead of the generic one</t>
  </si>
  <si>
    <t>Automated, tests/unit/practice-session.test.tsx (PRACTICE-4): startPracticeSession rejects with ForbiddenError</t>
  </si>
  <si>
    <t>"You don't have access..." shown, not the generic message.</t>
  </si>
  <si>
    <t>PRACTICE-5</t>
  </si>
  <si>
    <t>Resuming a session with previously-submitted answers lands on the first unanswered question</t>
  </si>
  <si>
    <t>Automated, tests/unit/practice-session.test.tsx (PRACTICE-5): q-1 answered, q-2 not</t>
  </si>
  <si>
    <t>q-2's text shown; 'Resumed' badge + welcome-back toast shown.</t>
  </si>
  <si>
    <t>PRACTICE-6</t>
  </si>
  <si>
    <t>The Finish button only appears once every answerable question has content</t>
  </si>
  <si>
    <t>Automated, tests/unit/practice-session.test.tsx (PRACTICE-6): Answer q1, then q2</t>
  </si>
  <si>
    <t>Finish button absent until both answered, then appears.</t>
  </si>
  <si>
    <t>PRACTICE-7</t>
  </si>
  <si>
    <t>Clicking Finish opens a review-confirmation dialog rather than submitting immediately</t>
  </si>
  <si>
    <t>Automated, tests/unit/practice-session.test.tsx (PRACTICE-7): Click Finish &amp; Get Feedback</t>
  </si>
  <si>
    <t>'Submit this session?' shown; completePracticeSession not yet called.</t>
  </si>
  <si>
    <t>PRACTICE-8</t>
  </si>
  <si>
    <t>Confirming submits every answer, completes the session, and navigates to the result page</t>
  </si>
  <si>
    <t>Automated, tests/unit/practice-session.test.tsx (PRACTICE-8): Click Submit &amp; grade</t>
  </si>
  <si>
    <t>completePracticeSession called; router pushed to the result page.</t>
  </si>
  <si>
    <t>PRACTICE-9 (finding)</t>
  </si>
  <si>
    <t>If complete() fails but the session is already COMPLETED server-side, still routes to the result page</t>
  </si>
  <si>
    <t>Automated, tests/unit/practice-session.test.tsx (PRACTICE-9 (finding)): completePracticeSession rejects (400); getPracticeSession reports status=COMPLETED</t>
  </si>
  <si>
    <t>Still routed to the result page; no error shown.</t>
  </si>
  <si>
    <t>PRACTICE-10</t>
  </si>
  <si>
    <t>A locked question hides its text/answer box and shows an upgrade prompt</t>
  </si>
  <si>
    <t>Automated, tests/unit/practice-session.test.tsx (PRACTICE-10): Single-question session, isLocked=true</t>
  </si>
  <si>
    <t>Upgrade prompt shown; real question text NOT rendered.</t>
  </si>
  <si>
    <t>PRD-1</t>
  </si>
  <si>
    <t>Renders nothing when closed</t>
  </si>
  <si>
    <t>Automated, tests/unit/premium-revoked-dialog.test.tsx (PRD-1): open=false</t>
  </si>
  <si>
    <t>'Premium Plan Revoked' NOT rendered.</t>
  </si>
  <si>
    <t>PRD-2</t>
  </si>
  <si>
    <t>When open, shows the revoked title and the HR lost-features list by default</t>
  </si>
  <si>
    <t>Automated, tests/unit/premium-revoked-dialog.test.tsx (PRD-2): open=true, no audience prop</t>
  </si>
  <si>
    <t>Title + HR items shown.</t>
  </si>
  <si>
    <t>PRD-3</t>
  </si>
  <si>
    <t>audience='candidate' swaps in the candidate lost-features list instead of HR's</t>
  </si>
  <si>
    <t>Automated, tests/unit/premium-revoked-dialog.test.tsx (PRD-3): open=true, audience='candidate'</t>
  </si>
  <si>
    <t>Title + candidate items shown; 'Publish to Marketplace' absent.</t>
  </si>
  <si>
    <t>PRD-4</t>
  </si>
  <si>
    <t>No Upgrade CTA is rendered when onUpgrade isn't provided</t>
  </si>
  <si>
    <t>Automated, tests/unit/premium-revoked-dialog.test.tsx (PRD-4): No onUpgrade prop</t>
  </si>
  <si>
    <t>No 'Upgrade Again' button rendered.</t>
  </si>
  <si>
    <t>PRD-5</t>
  </si>
  <si>
    <t>Clicking 'Upgrade Again' calls onUpgrade then onClose</t>
  </si>
  <si>
    <t>Automated, tests/unit/premium-revoked-dialog.test.tsx (PRD-5): Click 'Upgrade Again →'</t>
  </si>
  <si>
    <t>onUpgrade called once, then onClose called once.</t>
  </si>
  <si>
    <t>PRD-6</t>
  </si>
  <si>
    <t>Clicking the bottom 'Close' button calls onClose without onUpgrade</t>
  </si>
  <si>
    <t>Automated, tests/unit/premium-revoked-dialog.test.tsx (PRD-6): Click the 2nd 'Close' button</t>
  </si>
  <si>
    <t>onClose called once; onUpgrade not called.</t>
  </si>
  <si>
    <t>PRD-7</t>
  </si>
  <si>
    <t>Clicking the backdrop calls onClose</t>
  </si>
  <si>
    <t>Automated, tests/unit/premium-revoked-dialog.test.tsx (PRD-7): Click backdrop</t>
  </si>
  <si>
    <t>onClose called once.</t>
  </si>
  <si>
    <t>PRD-8</t>
  </si>
  <si>
    <t>Pressing Escape calls onClose</t>
  </si>
  <si>
    <t>Automated, tests/unit/premium-revoked-dialog.test.tsx (PRD-8): Press Escape</t>
  </si>
  <si>
    <t>PRD-9</t>
  </si>
  <si>
    <t>The X close button in the header also calls onClose</t>
  </si>
  <si>
    <t>Automated, tests/unit/premium-revoked-dialog.test.tsx (PRD-9): Click the 1st 'Close' button</t>
  </si>
  <si>
    <t>SUBRT-1</t>
  </si>
  <si>
    <t>createSubscriptionPaymentHubConnection() never throws even when construction fails in jsdom</t>
  </si>
  <si>
    <t>Automated, tests/unit/subscription-realtime.test.tsx (SUBRT-1): Call it directly in jsdom</t>
  </si>
  <si>
    <t>Does not throw (returns null instead).</t>
  </si>
  <si>
    <t>SUBRT-2</t>
  </si>
  <si>
    <t>Mounting never crashes, even though the real SignalR connection fails to construct</t>
  </si>
  <si>
    <t>Automated, tests/unit/subscription-realtime.test.tsx (SUBRT-2): Render a component using the hook</t>
  </si>
  <si>
    <t>Render does not throw.</t>
  </si>
  <si>
    <t>SUBRT-3</t>
  </si>
  <si>
    <t>The 30s fallback poll calls onSubscriptionChanged even though SignalR is unavailable</t>
  </si>
  <si>
    <t>Automated, tests/unit/subscription-realtime.test.tsx (SUBRT-3): Advance 30s twice</t>
  </si>
  <si>
    <t>onChange called twice.</t>
  </si>
  <si>
    <t>SUBRT-4</t>
  </si>
  <si>
    <t>enabled=false skips setup entirely, no poll ever fires</t>
  </si>
  <si>
    <t>Automated, tests/unit/subscription-realtime.test.tsx (SUBRT-4): enabled=false, advance 120s</t>
  </si>
  <si>
    <t>onChange never called.</t>
  </si>
  <si>
    <t>SUBRT-5</t>
  </si>
  <si>
    <t>Unmounting clears the fallback poll, no further calls after cleanup</t>
  </si>
  <si>
    <t>Automated, tests/unit/subscription-realtime.test.tsx (SUBRT-5): Advance 30s, unmount, advance 60s more</t>
  </si>
  <si>
    <t>onChange called once total.</t>
  </si>
  <si>
    <t>SUBRT-6</t>
  </si>
  <si>
    <t>Always calls the latest onSubscriptionChanged, not a stale closure from the first render</t>
  </si>
  <si>
    <t>Automated, tests/unit/subscription-realtime.test.tsx (SUBRT-6): Rerender with a new callback before the first tick</t>
  </si>
  <si>
    <t>Old callback never called; new one called once.</t>
  </si>
  <si>
    <t>SEC-1</t>
  </si>
  <si>
    <t>Submitting with empty fields shows an error and never calls the API</t>
  </si>
  <si>
    <t>Automated, tests/unit/security-section.test.tsx (SEC-1): All fields empty, Save Changes</t>
  </si>
  <si>
    <t>'Could not update password. Please try again.' shown; changePassword not called.</t>
  </si>
  <si>
    <t>SEC-2</t>
  </si>
  <si>
    <t>A new password under 8 characters is rejected client-side</t>
  </si>
  <si>
    <t>Automated, tests/unit/security-section.test.tsx (SEC-2): new='short1' (6 chars)</t>
  </si>
  <si>
    <t>'Password must be at least 8 characters.' shown.</t>
  </si>
  <si>
    <t>SEC-3</t>
  </si>
  <si>
    <t>A mismatched confirmation is rejected client-side</t>
  </si>
  <si>
    <t>Automated, tests/unit/security-section.test.tsx (SEC-3): confirm ≠ new</t>
  </si>
  <si>
    <t>'New passwords do not match.' shown.</t>
  </si>
  <si>
    <t>SEC-4</t>
  </si>
  <si>
    <t>A valid submission calls changePassword and clears the form on success</t>
  </si>
  <si>
    <t>Automated, tests/unit/security-section.test.tsx (SEC-4): Valid current/new/confirm</t>
  </si>
  <si>
    <t>changePassword called with the payload; success message shown; fields cleared.</t>
  </si>
  <si>
    <t>SEC-5</t>
  </si>
  <si>
    <t>An API failure shows the generic save-failed error</t>
  </si>
  <si>
    <t>Automated, tests/unit/security-section.test.tsx (SEC-5): changePassword rejects</t>
  </si>
  <si>
    <t>'Could not update password. Please try again.' shown.</t>
  </si>
  <si>
    <t>XPH-1</t>
  </si>
  <si>
    <t>Lists XP entries with their label and amount</t>
  </si>
  <si>
    <t>Automated, tests/unit/xp-history-section.test.tsx (XPH-1): entry: label='Session completed', xp=20</t>
  </si>
  <si>
    <t>Label + '+20' shown.</t>
  </si>
  <si>
    <t>XPH-2</t>
  </si>
  <si>
    <t>Falls back to a type-based i18n label when the backend omits one</t>
  </si>
  <si>
    <t>Automated, tests/unit/xp-history-section.test.tsx (XPH-2): label='', type='StreakMilestone'</t>
  </si>
  <si>
    <t>'Streak milestone' shown.</t>
  </si>
  <si>
    <t>XPH-3</t>
  </si>
  <si>
    <t>No entries shows the empty state</t>
  </si>
  <si>
    <t>Automated, tests/unit/xp-history-section.test.tsx (XPH-3): getXpHistory resolves items=[]</t>
  </si>
  <si>
    <t>'No XP history yet...' shown.</t>
  </si>
  <si>
    <t>XPH-4</t>
  </si>
  <si>
    <t>Fetches only 10 entries when standalone (not embedded)</t>
  </si>
  <si>
    <t>Automated, tests/unit/xp-history-section.test.tsx (XPH-4): Default render</t>
  </si>
  <si>
    <t>getXpHistory called with (1, 10).</t>
  </si>
  <si>
    <t>XPH-5</t>
  </si>
  <si>
    <t>Embedded mode renders without the outer card title, and fetches 30 entries</t>
  </si>
  <si>
    <t>Automated, tests/unit/xp-history-section.test.tsx (XPH-5): embedded prop</t>
  </si>
  <si>
    <t>No 'XP History' title; getXpHistory called with (1, 30).</t>
  </si>
  <si>
    <t>DGS-1</t>
  </si>
  <si>
    <t>Highlights the current server-saved preset as active</t>
  </si>
  <si>
    <t>Automated, tests/unit/daily-goal-settings.test.tsx (DGS-1): dailyGoalXp=50</t>
  </si>
  <si>
    <t>'50 XP' button has the active border class.</t>
  </si>
  <si>
    <t>DGS-2</t>
  </si>
  <si>
    <t>The Save button is hidden until a different preset is selected</t>
  </si>
  <si>
    <t>Automated, tests/unit/daily-goal-settings.test.tsx (DGS-2): Loaded, no selection change</t>
  </si>
  <si>
    <t>No 'Save goal' button rendered.</t>
  </si>
  <si>
    <t>DGS-3</t>
  </si>
  <si>
    <t>Selecting a different preset and saving calls updateDailyGoal</t>
  </si>
  <si>
    <t>Automated, tests/unit/daily-goal-settings.test.tsx (DGS-3): Click '80 XP', Save goal</t>
  </si>
  <si>
    <t>updateDailyGoal called with 80; 'Daily goal updated' shown.</t>
  </si>
  <si>
    <t>DGS-4</t>
  </si>
  <si>
    <t>After saving, the newly picked preset shows as active immediately (optimistic)</t>
  </si>
  <si>
    <t>Automated, tests/unit/daily-goal-settings.test.tsx (DGS-4): After DGS-3's save completes</t>
  </si>
  <si>
    <t>'80 XP' now has the active class; Save button hidden again.</t>
  </si>
  <si>
    <t>DGS-5</t>
  </si>
  <si>
    <t>A save failure shows an error toast and keeps the Save button visible</t>
  </si>
  <si>
    <t>Automated, tests/unit/daily-goal-settings.test.tsx (DGS-5): updateDailyGoal rejects</t>
  </si>
  <si>
    <t>'Could not update goal' shown; Save button still visible.</t>
  </si>
  <si>
    <t>GPC-1</t>
  </si>
  <si>
    <t>Shows level, total XP, streak, and today's XP</t>
  </si>
  <si>
    <t>Automated, tests/unit/gamification-progress-card.test.tsx (GPC-1): level=4, totalXp=1250, currentStreak=3</t>
  </si>
  <si>
    <t>'Level 4', '1,250 XP', 'Practitioner', '3' shown.</t>
  </si>
  <si>
    <t>GPC-2</t>
  </si>
  <si>
    <t>A completed daily goal shows the celebratory message</t>
  </si>
  <si>
    <t>Automated, tests/unit/gamification-progress-card.test.tsx (GPC-2): dailyGoalCompleted=true, todayXp=50</t>
  </si>
  <si>
    <t>'Daily goal completed! 🎉' shown.</t>
  </si>
  <si>
    <t>GPC-3</t>
  </si>
  <si>
    <t>An incomplete daily goal shows the remaining XP</t>
  </si>
  <si>
    <t>Automated, tests/unit/gamification-progress-card.test.tsx (GPC-3): dailyGoalXp=50, todayXp=20</t>
  </si>
  <si>
    <t>'30 XP left to reach your goal' shown.</t>
  </si>
  <si>
    <t>GPC-4</t>
  </si>
  <si>
    <t>Clicking 'How to earn XP?' opens the XP guide panel</t>
  </si>
  <si>
    <t>Automated, tests/unit/gamification-progress-card.test.tsx (GPC-4): Click the button</t>
  </si>
  <si>
    <t>'How to earn XP' panel shown.</t>
  </si>
  <si>
    <t>GPC-5</t>
  </si>
  <si>
    <t>A load failure keeps showing the loading skeleton (no crash, no stale data)</t>
  </si>
  <si>
    <t>Automated, tests/unit/gamification-progress-card.test.tsx (GPC-5): getMyProgress rejects</t>
  </si>
  <si>
    <t>Card has aria-busy='true'.</t>
  </si>
  <si>
    <t>AG-1</t>
  </si>
  <si>
    <t>Lists achievements with unlocked count</t>
  </si>
  <si>
    <t>Automated, tests/unit/achievement-grid.test.tsx (AG-1): 2 achievements, 1 unlocked</t>
  </si>
  <si>
    <t>Both names shown; '1/2 Unlocked' shown.</t>
  </si>
  <si>
    <t>AG-2</t>
  </si>
  <si>
    <t>Filtering by category shows only that category's achievements</t>
  </si>
  <si>
    <t>Automated, tests/unit/achievement-grid.test.tsx (AG-2): Click 'Streak' filter</t>
  </si>
  <si>
    <t>Non-matching hidden; matching shown.</t>
  </si>
  <si>
    <t>AG-3</t>
  </si>
  <si>
    <t>No achievements shows the empty state</t>
  </si>
  <si>
    <t>Automated, tests/unit/achievement-grid.test.tsx (AG-3): getAchievements resolves []</t>
  </si>
  <si>
    <t>'No achievements yet, start practising!' shown.</t>
  </si>
  <si>
    <t>AG-4</t>
  </si>
  <si>
    <t>A load failure shows Try again, and Try again re-fetches</t>
  </si>
  <si>
    <t>Automated, tests/unit/achievement-grid.test.tsx (AG-4): Rejects once, then Try again clicked</t>
  </si>
  <si>
    <t>Data loads after retry.</t>
  </si>
  <si>
    <t>AG-5</t>
  </si>
  <si>
    <t>Sorts unlocked achievements before locked ones (compact variant)</t>
  </si>
  <si>
    <t>Automated, tests/unit/achievement-grid.test.tsx (AG-5): variant='compact', 1 locked + 1 unlocked</t>
  </si>
  <si>
    <t>Unlocked name appears before the locked one in DOM order.</t>
  </si>
  <si>
    <t>TEST STATISTICS</t>
  </si>
  <si>
    <t>SU26SE102_Test_Report_v1.0</t>
  </si>
  <si>
    <t>N/A</t>
  </si>
  <si>
    <t>Number of test cases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</si>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</sst>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7" x14ac:knownFonts="1">
    <font>
      <color theme="1"/>
      <family val="2"/>
      <scheme val="minor"/>
      <sz val="11"/>
      <name val="Calibri"/>
    </font>
    <font>
      <b/>
      <charset val="134"/>
      <sz val="14"/>
      <name val="Tahoma"/>
    </font>
    <font>
      <charset val="134"/>
      <sz val="11"/>
      <name val="Calibri"/>
    </font>
    <font>
      <charset val="134"/>
      <sz val="10"/>
      <name val="Tahoma"/>
    </font>
    <font>
      <b/>
      <charset val="134"/>
      <color rgb="FFFFFFFF"/>
      <sz val="10"/>
      <name val="Tahoma"/>
    </font>
    <font>
      <b/>
      <charset val="134"/>
      <sz val="10"/>
      <name val="Tahoma"/>
    </font>
    <font>
      <b/>
      <charset val="134"/>
      <color rgb="FF4472C4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6923C"/>
        <bgColor rgb="FF76923C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8"/>
  <sheetViews>
    <sheetView workbookViewId="0" zoomScale="100" zoomScaleNormal="100">
      <selection activeCell="E13" sqref="E13"/>
    </sheetView>
  </sheetViews>
  <sheetFormatPr defaultRowHeight="15.05" outlineLevelRow="0" outlineLevelCol="4" x14ac:dyDescent="0" defaultColWidth="9" customHeight="1"/>
  <cols>
    <col min="1" max="1" width="20" customWidth="1"/>
    <col min="2" max="2" width="60.3474576271186" customWidth="1"/>
    <col min="3" max="3" width="20" customWidth="1"/>
    <col min="4" max="4" width="45" customWidth="1"/>
    <col min="5" max="5" width="42.5932203389831" customWidth="1"/>
  </cols>
  <sheetData>
    <row r="2" ht="17" customHeight="1" spans="1:1" x14ac:dyDescent="0.25">
      <c r="A2" s="1" t="s">
        <v>0</v>
      </c>
    </row>
    <row r="4" spans="1:4" x14ac:dyDescent="0.25">
      <c r="A4" s="2" t="s">
        <v>1</v>
      </c>
      <c r="B4" s="3" t="s">
        <v>2</v>
      </c>
      <c r="C4" s="2" t="s">
        <v>3</v>
      </c>
      <c r="D4" s="3" t="s">
        <v>4</v>
      </c>
    </row>
    <row r="5" spans="1:4" x14ac:dyDescent="0.25">
      <c r="A5" s="2" t="s">
        <v>5</v>
      </c>
      <c r="B5" s="3" t="s">
        <v>6</v>
      </c>
      <c r="C5" s="2" t="s">
        <v>7</v>
      </c>
      <c r="D5" s="3" t="s">
        <v>8</v>
      </c>
    </row>
    <row r="6" spans="1:4" x14ac:dyDescent="0.25">
      <c r="A6" s="2" t="s">
        <v>9</v>
      </c>
      <c r="B6" s="3" t="s">
        <v>10</v>
      </c>
      <c r="C6" s="2" t="s">
        <v>11</v>
      </c>
      <c r="D6" s="3" t="s">
        <v>12</v>
      </c>
    </row>
    <row r="9" spans="1:1" x14ac:dyDescent="0.25">
      <c r="A9" s="2" t="s">
        <v>13</v>
      </c>
    </row>
    <row r="10" ht="37.3" customHeight="1" spans="1:5" x14ac:dyDescent="0.25">
      <c r="A10" s="4" t="s">
        <v>14</v>
      </c>
      <c r="B10" s="4" t="s">
        <v>11</v>
      </c>
      <c r="C10" s="4" t="s">
        <v>15</v>
      </c>
      <c r="D10" s="4" t="s">
        <v>16</v>
      </c>
      <c r="E10" s="4" t="s">
        <v>17</v>
      </c>
    </row>
    <row r="11" ht="60.2" customHeight="1" spans="1:5" x14ac:dyDescent="0.25">
      <c r="A11" s="5" t="s">
        <v>18</v>
      </c>
      <c r="B11" s="5">
        <v>1</v>
      </c>
      <c r="C11" s="5" t="s">
        <v>19</v>
      </c>
      <c r="D11" s="5" t="s">
        <v>20</v>
      </c>
      <c r="E11" s="2" t="s">
        <v>21</v>
      </c>
    </row>
    <row r="12" ht="105.4" customHeight="1" spans="1:5" x14ac:dyDescent="0.25">
      <c r="A12" s="5" t="s">
        <v>18</v>
      </c>
      <c r="B12" s="5">
        <v>1</v>
      </c>
      <c r="C12" s="5" t="s">
        <v>22</v>
      </c>
      <c r="D12" s="5" t="s">
        <v>20</v>
      </c>
      <c r="E12" s="2" t="s">
        <v>23</v>
      </c>
    </row>
    <row r="13" ht="90.35" customHeight="1" spans="1:5" x14ac:dyDescent="0.25">
      <c r="A13" s="5" t="s">
        <v>18</v>
      </c>
      <c r="B13" s="5">
        <v>1</v>
      </c>
      <c r="C13" s="5" t="s">
        <v>24</v>
      </c>
      <c r="D13" s="5" t="s">
        <v>20</v>
      </c>
      <c r="E13" s="2" t="s">
        <v>25</v>
      </c>
    </row>
    <row r="14" ht="75.25" customHeight="1" spans="1:5" x14ac:dyDescent="0.25">
      <c r="A14" s="5" t="s">
        <v>18</v>
      </c>
      <c r="B14" s="5">
        <v>1</v>
      </c>
      <c r="C14" s="5" t="s">
        <v>26</v>
      </c>
      <c r="D14" s="5" t="s">
        <v>20</v>
      </c>
      <c r="E14" s="2" t="s">
        <v>27</v>
      </c>
    </row>
    <row r="15" ht="90.35" customHeight="1" spans="1:5" x14ac:dyDescent="0.25">
      <c r="A15" s="5" t="s">
        <v>18</v>
      </c>
      <c r="B15" s="5">
        <v>1</v>
      </c>
      <c r="C15" s="5" t="s">
        <v>28</v>
      </c>
      <c r="D15" s="5" t="s">
        <v>20</v>
      </c>
      <c r="E15" s="2" t="s">
        <v>29</v>
      </c>
    </row>
    <row r="16" ht="105.4" customHeight="1" spans="1:5" x14ac:dyDescent="0.25">
      <c r="A16" s="5" t="s">
        <v>18</v>
      </c>
      <c r="B16" s="5">
        <v>1</v>
      </c>
      <c r="C16" s="5" t="s">
        <v>30</v>
      </c>
      <c r="D16" s="5" t="s">
        <v>20</v>
      </c>
      <c r="E16" s="2" t="s">
        <v>31</v>
      </c>
    </row>
    <row r="17" ht="90.35" customHeight="1" spans="1:5" x14ac:dyDescent="0.25">
      <c r="A17" s="5" t="s">
        <v>18</v>
      </c>
      <c r="B17" s="5">
        <v>1</v>
      </c>
      <c r="C17" s="5" t="s">
        <v>32</v>
      </c>
      <c r="D17" s="5" t="s">
        <v>20</v>
      </c>
      <c r="E17" s="2" t="s">
        <v>33</v>
      </c>
    </row>
    <row r="18" ht="135.5" customHeight="1" spans="1:5" x14ac:dyDescent="0.25">
      <c r="A18" s="5" t="s">
        <v>18</v>
      </c>
      <c r="B18" s="5">
        <v>1</v>
      </c>
      <c r="C18" s="5" t="s">
        <v>34</v>
      </c>
      <c r="D18" s="5" t="s">
        <v>20</v>
      </c>
      <c r="E18" s="2" t="s">
        <v>35</v>
      </c>
    </row>
    <row r="19" ht="75.25" customHeight="1" spans="1:5" x14ac:dyDescent="0.25">
      <c r="A19" s="5" t="s">
        <v>18</v>
      </c>
      <c r="B19" s="5">
        <v>1</v>
      </c>
      <c r="C19" s="5" t="s">
        <v>36</v>
      </c>
      <c r="D19" s="5" t="s">
        <v>20</v>
      </c>
      <c r="E19" s="2" t="s">
        <v>37</v>
      </c>
    </row>
    <row r="20" ht="90.35" customHeight="1" spans="1:5" x14ac:dyDescent="0.25">
      <c r="A20" s="5" t="s">
        <v>18</v>
      </c>
      <c r="B20" s="5">
        <v>1</v>
      </c>
      <c r="C20" s="5" t="s">
        <v>38</v>
      </c>
      <c r="D20" s="5" t="s">
        <v>20</v>
      </c>
      <c r="E20" s="2" t="s">
        <v>39</v>
      </c>
    </row>
    <row r="21" ht="120.45" customHeight="1" spans="1:5" x14ac:dyDescent="0.25">
      <c r="A21" s="5" t="s">
        <v>18</v>
      </c>
      <c r="B21" s="5">
        <v>1</v>
      </c>
      <c r="C21" s="5" t="s">
        <v>40</v>
      </c>
      <c r="D21" s="5" t="s">
        <v>20</v>
      </c>
      <c r="E21" s="2" t="s">
        <v>41</v>
      </c>
    </row>
    <row r="22" ht="105.4" customHeight="1" spans="1:5" x14ac:dyDescent="0.25">
      <c r="A22" s="5" t="s">
        <v>18</v>
      </c>
      <c r="B22" s="5">
        <v>1</v>
      </c>
      <c r="C22" s="5" t="s">
        <v>42</v>
      </c>
      <c r="D22" s="5" t="s">
        <v>20</v>
      </c>
      <c r="E22" s="2" t="s">
        <v>43</v>
      </c>
    </row>
    <row r="23" ht="105.4" customHeight="1" spans="1:5" x14ac:dyDescent="0.25">
      <c r="A23" s="5" t="s">
        <v>18</v>
      </c>
      <c r="B23" s="5">
        <v>1</v>
      </c>
      <c r="C23" s="5" t="s">
        <v>44</v>
      </c>
      <c r="D23" s="5" t="s">
        <v>20</v>
      </c>
      <c r="E23" s="2" t="s">
        <v>45</v>
      </c>
    </row>
    <row r="24" ht="120.45" customHeight="1" spans="1:5" x14ac:dyDescent="0.25">
      <c r="A24" s="5" t="s">
        <v>18</v>
      </c>
      <c r="B24" s="5">
        <v>1</v>
      </c>
      <c r="C24" s="5" t="s">
        <v>46</v>
      </c>
      <c r="D24" s="5" t="s">
        <v>20</v>
      </c>
      <c r="E24" s="2" t="s">
        <v>47</v>
      </c>
    </row>
    <row r="25" ht="105.4" customHeight="1" spans="1:5" x14ac:dyDescent="0.25">
      <c r="A25" s="5" t="s">
        <v>18</v>
      </c>
      <c r="B25" s="5">
        <v>1</v>
      </c>
      <c r="C25" s="5" t="s">
        <v>48</v>
      </c>
      <c r="D25" s="5" t="s">
        <v>20</v>
      </c>
      <c r="E25" s="2" t="s">
        <v>49</v>
      </c>
    </row>
    <row r="26" ht="135.5" customHeight="1" spans="1:5" x14ac:dyDescent="0.25">
      <c r="A26" s="5" t="s">
        <v>18</v>
      </c>
      <c r="B26" s="5">
        <v>1</v>
      </c>
      <c r="C26" s="5" t="s">
        <v>50</v>
      </c>
      <c r="D26" s="5" t="s">
        <v>20</v>
      </c>
      <c r="E26" s="2" t="s">
        <v>51</v>
      </c>
    </row>
    <row r="27" ht="105.4" customHeight="1" spans="1:5" x14ac:dyDescent="0.25">
      <c r="A27" s="5" t="s">
        <v>18</v>
      </c>
      <c r="B27" s="5">
        <v>1</v>
      </c>
      <c r="C27" s="5" t="s">
        <v>52</v>
      </c>
      <c r="D27" s="5" t="s">
        <v>20</v>
      </c>
      <c r="E27" s="2" t="s">
        <v>53</v>
      </c>
    </row>
    <row r="28" ht="90.35" customHeight="1" spans="1:5" x14ac:dyDescent="0.25">
      <c r="A28" s="5" t="s">
        <v>18</v>
      </c>
      <c r="B28" s="5">
        <v>1</v>
      </c>
      <c r="C28" s="5" t="s">
        <v>54</v>
      </c>
      <c r="D28" s="5" t="s">
        <v>20</v>
      </c>
      <c r="E28" s="2" t="s">
        <v>55</v>
      </c>
    </row>
    <row r="29" ht="120.45" customHeight="1" spans="1:5" x14ac:dyDescent="0.25">
      <c r="A29" s="5" t="s">
        <v>18</v>
      </c>
      <c r="B29" s="5">
        <v>1</v>
      </c>
      <c r="C29" s="5" t="s">
        <v>56</v>
      </c>
      <c r="D29" s="5" t="s">
        <v>20</v>
      </c>
      <c r="E29" s="2" t="s">
        <v>57</v>
      </c>
    </row>
    <row r="30" ht="105.4" customHeight="1" spans="1:5" x14ac:dyDescent="0.25">
      <c r="A30" s="5" t="s">
        <v>18</v>
      </c>
      <c r="B30" s="5">
        <v>1</v>
      </c>
      <c r="C30" s="5" t="s">
        <v>58</v>
      </c>
      <c r="D30" s="5" t="s">
        <v>20</v>
      </c>
      <c r="E30" s="2" t="s">
        <v>59</v>
      </c>
    </row>
    <row r="31" ht="120.45" customHeight="1" spans="1:5" x14ac:dyDescent="0.25">
      <c r="A31" s="5" t="s">
        <v>18</v>
      </c>
      <c r="B31" s="5">
        <v>1</v>
      </c>
      <c r="C31" s="5" t="s">
        <v>60</v>
      </c>
      <c r="D31" s="5" t="s">
        <v>20</v>
      </c>
      <c r="E31" s="2" t="s">
        <v>61</v>
      </c>
    </row>
    <row r="32" ht="105.4" customHeight="1" spans="1:5" x14ac:dyDescent="0.25">
      <c r="A32" s="5" t="s">
        <v>18</v>
      </c>
      <c r="B32" s="5">
        <v>1</v>
      </c>
      <c r="C32" s="5" t="s">
        <v>62</v>
      </c>
      <c r="D32" s="5" t="s">
        <v>20</v>
      </c>
      <c r="E32" s="2" t="s">
        <v>63</v>
      </c>
    </row>
    <row r="33" ht="90.35" customHeight="1" spans="1:5" x14ac:dyDescent="0.25">
      <c r="A33" s="5" t="s">
        <v>18</v>
      </c>
      <c r="B33" s="5">
        <v>1</v>
      </c>
      <c r="C33" s="5" t="s">
        <v>64</v>
      </c>
      <c r="D33" s="5" t="s">
        <v>20</v>
      </c>
      <c r="E33" s="2" t="s">
        <v>65</v>
      </c>
    </row>
    <row r="34" ht="120.45" customHeight="1" spans="1:5" x14ac:dyDescent="0.25">
      <c r="A34" s="5" t="s">
        <v>18</v>
      </c>
      <c r="B34" s="5">
        <v>1</v>
      </c>
      <c r="C34" s="5" t="s">
        <v>66</v>
      </c>
      <c r="D34" s="5" t="s">
        <v>20</v>
      </c>
      <c r="E34" s="2" t="s">
        <v>67</v>
      </c>
    </row>
    <row r="35" ht="135.5" customHeight="1" spans="1:5" x14ac:dyDescent="0.25">
      <c r="A35" s="5" t="s">
        <v>18</v>
      </c>
      <c r="B35" s="5">
        <v>1</v>
      </c>
      <c r="C35" s="5" t="s">
        <v>68</v>
      </c>
      <c r="D35" s="5" t="s">
        <v>20</v>
      </c>
      <c r="E35" s="2" t="s">
        <v>69</v>
      </c>
    </row>
    <row r="36" ht="135.5" customHeight="1" spans="1:5" x14ac:dyDescent="0.25">
      <c r="A36" s="5" t="s">
        <v>18</v>
      </c>
      <c r="B36" s="5">
        <v>1</v>
      </c>
      <c r="C36" s="5" t="s">
        <v>70</v>
      </c>
      <c r="D36" s="5" t="s">
        <v>20</v>
      </c>
      <c r="E36" s="2" t="s">
        <v>71</v>
      </c>
    </row>
    <row r="37" ht="135.5" customHeight="1" spans="1:5" x14ac:dyDescent="0.25">
      <c r="A37" s="5" t="s">
        <v>18</v>
      </c>
      <c r="B37" s="5">
        <v>1</v>
      </c>
      <c r="C37" s="5" t="s">
        <v>72</v>
      </c>
      <c r="D37" s="5" t="s">
        <v>20</v>
      </c>
      <c r="E37" s="2" t="s">
        <v>73</v>
      </c>
    </row>
    <row r="38" ht="120.45" customHeight="1" spans="1:5" x14ac:dyDescent="0.25">
      <c r="A38" s="5" t="s">
        <v>18</v>
      </c>
      <c r="B38" s="5">
        <v>1</v>
      </c>
      <c r="C38" s="5" t="s">
        <v>74</v>
      </c>
      <c r="D38" s="5" t="s">
        <v>20</v>
      </c>
      <c r="E38" s="2" t="s">
        <v>75</v>
      </c>
    </row>
    <row r="39" ht="180.65" customHeight="1" spans="1:5" x14ac:dyDescent="0.25">
      <c r="A39" s="5" t="s">
        <v>18</v>
      </c>
      <c r="B39" s="5">
        <v>1</v>
      </c>
      <c r="C39" s="5" t="s">
        <v>76</v>
      </c>
      <c r="D39" s="5" t="s">
        <v>20</v>
      </c>
      <c r="E39" s="2" t="s">
        <v>77</v>
      </c>
    </row>
    <row r="40" ht="150.55" customHeight="1" spans="1:5" x14ac:dyDescent="0.25">
      <c r="A40" s="5" t="s">
        <v>18</v>
      </c>
      <c r="B40" s="5">
        <v>1</v>
      </c>
      <c r="C40" s="5" t="s">
        <v>78</v>
      </c>
      <c r="D40" s="5" t="s">
        <v>20</v>
      </c>
      <c r="E40" s="2" t="s">
        <v>79</v>
      </c>
    </row>
    <row r="41" ht="120.45" customHeight="1" spans="1:5" x14ac:dyDescent="0.25">
      <c r="A41" s="5" t="s">
        <v>18</v>
      </c>
      <c r="B41" s="5">
        <v>1</v>
      </c>
      <c r="C41" s="5" t="s">
        <v>80</v>
      </c>
      <c r="D41" s="5" t="s">
        <v>20</v>
      </c>
      <c r="E41" s="2" t="s">
        <v>81</v>
      </c>
    </row>
    <row r="42" ht="150.55" customHeight="1" spans="1:5" x14ac:dyDescent="0.25">
      <c r="A42" s="5" t="s">
        <v>18</v>
      </c>
      <c r="B42" s="5">
        <v>1</v>
      </c>
      <c r="C42" s="5" t="s">
        <v>82</v>
      </c>
      <c r="D42" s="5" t="s">
        <v>20</v>
      </c>
      <c r="E42" s="2" t="s">
        <v>83</v>
      </c>
    </row>
    <row r="43" ht="120.45" customHeight="1" spans="1:5" x14ac:dyDescent="0.25">
      <c r="A43" s="5" t="s">
        <v>18</v>
      </c>
      <c r="B43" s="5">
        <v>1</v>
      </c>
      <c r="C43" s="5" t="s">
        <v>84</v>
      </c>
      <c r="D43" s="5" t="s">
        <v>20</v>
      </c>
      <c r="E43" s="2" t="s">
        <v>85</v>
      </c>
    </row>
    <row r="44" ht="30.1" customHeight="1" spans="1:5" x14ac:dyDescent="0.25">
      <c r="A44" s="5" t="s">
        <v>86</v>
      </c>
      <c r="B44" s="5">
        <v>2</v>
      </c>
      <c r="C44" s="5" t="s">
        <v>87</v>
      </c>
      <c r="D44" s="5" t="s">
        <v>20</v>
      </c>
      <c r="E44" s="2" t="s">
        <v>88</v>
      </c>
    </row>
    <row r="45" spans="1:5" x14ac:dyDescent="0.25">
      <c r="A45" s="5" t="s">
        <v>86</v>
      </c>
      <c r="B45" s="5">
        <v>2</v>
      </c>
      <c r="C45" s="5" t="s">
        <v>89</v>
      </c>
      <c r="D45" s="5" t="s">
        <v>20</v>
      </c>
      <c r="E45" s="2" t="s">
        <v>90</v>
      </c>
    </row>
    <row r="46" spans="1:5" x14ac:dyDescent="0.25">
      <c r="A46" s="5" t="s">
        <v>86</v>
      </c>
      <c r="B46" s="5">
        <v>2</v>
      </c>
      <c r="C46" s="5" t="s">
        <v>91</v>
      </c>
      <c r="D46" s="5" t="s">
        <v>20</v>
      </c>
      <c r="E46" s="2" t="s">
        <v>92</v>
      </c>
    </row>
    <row r="47" ht="30.1" customHeight="1" spans="1:5" x14ac:dyDescent="0.25">
      <c r="A47" s="5" t="s">
        <v>86</v>
      </c>
      <c r="B47" s="5">
        <v>2</v>
      </c>
      <c r="C47" s="5" t="s">
        <v>93</v>
      </c>
      <c r="D47" s="5" t="s">
        <v>20</v>
      </c>
      <c r="E47" s="2" t="s">
        <v>94</v>
      </c>
    </row>
    <row r="48" ht="30.1" customHeight="1" spans="1:5" x14ac:dyDescent="0.25">
      <c r="A48" s="5" t="s">
        <v>86</v>
      </c>
      <c r="B48" s="5">
        <v>2</v>
      </c>
      <c r="C48" s="5" t="s">
        <v>95</v>
      </c>
      <c r="D48" s="5" t="s">
        <v>20</v>
      </c>
      <c r="E48" s="2" t="s">
        <v>96</v>
      </c>
    </row>
    <row r="49" spans="1:5" x14ac:dyDescent="0.25">
      <c r="A49" s="5" t="s">
        <v>86</v>
      </c>
      <c r="B49" s="5">
        <v>2</v>
      </c>
      <c r="C49" s="5" t="s">
        <v>97</v>
      </c>
      <c r="D49" s="5" t="s">
        <v>20</v>
      </c>
      <c r="E49" s="2" t="s">
        <v>98</v>
      </c>
    </row>
    <row r="50" ht="30.1" customHeight="1" spans="1:5" x14ac:dyDescent="0.25">
      <c r="A50" s="5" t="s">
        <v>86</v>
      </c>
      <c r="B50" s="5">
        <v>2</v>
      </c>
      <c r="C50" s="5" t="s">
        <v>99</v>
      </c>
      <c r="D50" s="5" t="s">
        <v>20</v>
      </c>
      <c r="E50" s="2" t="s">
        <v>100</v>
      </c>
    </row>
    <row r="51" ht="30.1" customHeight="1" spans="1:5" x14ac:dyDescent="0.25">
      <c r="A51" s="5" t="s">
        <v>86</v>
      </c>
      <c r="B51" s="5">
        <v>2</v>
      </c>
      <c r="C51" s="5" t="s">
        <v>101</v>
      </c>
      <c r="D51" s="5" t="s">
        <v>20</v>
      </c>
      <c r="E51" s="2" t="s">
        <v>102</v>
      </c>
    </row>
    <row r="52" spans="1:5" x14ac:dyDescent="0.25">
      <c r="A52" s="5" t="s">
        <v>86</v>
      </c>
      <c r="B52" s="5">
        <v>2</v>
      </c>
      <c r="C52" s="5" t="s">
        <v>103</v>
      </c>
      <c r="D52" s="5" t="s">
        <v>20</v>
      </c>
      <c r="E52" s="2" t="s">
        <v>104</v>
      </c>
    </row>
    <row r="53" ht="30.1" customHeight="1" spans="1:5" x14ac:dyDescent="0.25">
      <c r="A53" s="5" t="s">
        <v>86</v>
      </c>
      <c r="B53" s="5">
        <v>2</v>
      </c>
      <c r="C53" s="5" t="s">
        <v>105</v>
      </c>
      <c r="D53" s="5" t="s">
        <v>20</v>
      </c>
      <c r="E53" s="2" t="s">
        <v>106</v>
      </c>
    </row>
    <row r="54" spans="1:5" x14ac:dyDescent="0.25">
      <c r="A54" s="5" t="s">
        <v>86</v>
      </c>
      <c r="B54" s="5">
        <v>2</v>
      </c>
      <c r="C54" s="5" t="s">
        <v>107</v>
      </c>
      <c r="D54" s="5" t="s">
        <v>20</v>
      </c>
      <c r="E54" s="2" t="s">
        <v>108</v>
      </c>
    </row>
    <row r="55" spans="1:5" x14ac:dyDescent="0.25">
      <c r="A55" s="5" t="s">
        <v>86</v>
      </c>
      <c r="B55" s="5">
        <v>2</v>
      </c>
      <c r="C55" s="5" t="s">
        <v>109</v>
      </c>
      <c r="D55" s="5" t="s">
        <v>20</v>
      </c>
      <c r="E55" s="2" t="s">
        <v>110</v>
      </c>
    </row>
    <row r="56" spans="1:5" x14ac:dyDescent="0.25">
      <c r="A56" s="5" t="s">
        <v>86</v>
      </c>
      <c r="B56" s="5">
        <v>2</v>
      </c>
      <c r="C56" s="5" t="s">
        <v>111</v>
      </c>
      <c r="D56" s="5" t="s">
        <v>20</v>
      </c>
      <c r="E56" s="2" t="s">
        <v>112</v>
      </c>
    </row>
    <row r="57" spans="1:5" x14ac:dyDescent="0.25">
      <c r="A57" s="5" t="s">
        <v>86</v>
      </c>
      <c r="B57" s="5">
        <v>2</v>
      </c>
      <c r="C57" s="5" t="s">
        <v>113</v>
      </c>
      <c r="D57" s="5" t="s">
        <v>20</v>
      </c>
      <c r="E57" s="2" t="s">
        <v>114</v>
      </c>
    </row>
    <row r="58" ht="30.1" customHeight="1" spans="1:5" x14ac:dyDescent="0.25">
      <c r="A58" s="5" t="s">
        <v>86</v>
      </c>
      <c r="B58" s="5">
        <v>2</v>
      </c>
      <c r="C58" s="5" t="s">
        <v>115</v>
      </c>
      <c r="D58" s="5" t="s">
        <v>20</v>
      </c>
      <c r="E58" s="2" t="s">
        <v>116</v>
      </c>
    </row>
    <row r="59" ht="30.1" customHeight="1" spans="1:5" x14ac:dyDescent="0.25">
      <c r="A59" s="5" t="s">
        <v>86</v>
      </c>
      <c r="B59" s="5">
        <v>2</v>
      </c>
      <c r="C59" s="5" t="s">
        <v>117</v>
      </c>
      <c r="D59" s="5" t="s">
        <v>20</v>
      </c>
      <c r="E59" s="2" t="s">
        <v>118</v>
      </c>
    </row>
    <row r="60" ht="30.1" customHeight="1" spans="1:5" x14ac:dyDescent="0.25">
      <c r="A60" s="5" t="s">
        <v>86</v>
      </c>
      <c r="B60" s="5">
        <v>2</v>
      </c>
      <c r="C60" s="5" t="s">
        <v>119</v>
      </c>
      <c r="D60" s="5" t="s">
        <v>20</v>
      </c>
      <c r="E60" s="2" t="s">
        <v>120</v>
      </c>
    </row>
    <row r="61" ht="30.1" customHeight="1" spans="1:5" x14ac:dyDescent="0.25">
      <c r="A61" s="5" t="s">
        <v>86</v>
      </c>
      <c r="B61" s="5">
        <v>2</v>
      </c>
      <c r="C61" s="5" t="s">
        <v>121</v>
      </c>
      <c r="D61" s="5" t="s">
        <v>20</v>
      </c>
      <c r="E61" s="2" t="s">
        <v>122</v>
      </c>
    </row>
    <row r="62" ht="30.1" customHeight="1" spans="1:5" x14ac:dyDescent="0.25">
      <c r="A62" s="5" t="s">
        <v>86</v>
      </c>
      <c r="B62" s="5">
        <v>2</v>
      </c>
      <c r="C62" s="5" t="s">
        <v>123</v>
      </c>
      <c r="D62" s="5" t="s">
        <v>20</v>
      </c>
      <c r="E62" s="2" t="s">
        <v>124</v>
      </c>
    </row>
    <row r="63" ht="30.1" customHeight="1" spans="1:5" x14ac:dyDescent="0.25">
      <c r="A63" s="5" t="s">
        <v>86</v>
      </c>
      <c r="B63" s="5">
        <v>2</v>
      </c>
      <c r="C63" s="5" t="s">
        <v>125</v>
      </c>
      <c r="D63" s="5" t="s">
        <v>20</v>
      </c>
      <c r="E63" s="2" t="s">
        <v>126</v>
      </c>
    </row>
    <row r="64" ht="30.1" customHeight="1" spans="1:5" x14ac:dyDescent="0.25">
      <c r="A64" s="5" t="s">
        <v>86</v>
      </c>
      <c r="B64" s="5">
        <v>2</v>
      </c>
      <c r="C64" s="5" t="s">
        <v>127</v>
      </c>
      <c r="D64" s="5" t="s">
        <v>20</v>
      </c>
      <c r="E64" s="2" t="s">
        <v>128</v>
      </c>
    </row>
    <row r="65" ht="30.1" customHeight="1" spans="1:5" x14ac:dyDescent="0.25">
      <c r="A65" s="5" t="s">
        <v>86</v>
      </c>
      <c r="B65" s="5">
        <v>2</v>
      </c>
      <c r="C65" s="5" t="s">
        <v>129</v>
      </c>
      <c r="D65" s="5" t="s">
        <v>20</v>
      </c>
      <c r="E65" s="2" t="s">
        <v>130</v>
      </c>
    </row>
    <row r="66" ht="30.1" customHeight="1" spans="1:5" x14ac:dyDescent="0.25">
      <c r="A66" s="5" t="s">
        <v>86</v>
      </c>
      <c r="B66" s="5">
        <v>2</v>
      </c>
      <c r="C66" s="5" t="s">
        <v>131</v>
      </c>
      <c r="D66" s="5" t="s">
        <v>20</v>
      </c>
      <c r="E66" s="2" t="s">
        <v>132</v>
      </c>
    </row>
    <row r="67" ht="30.1" customHeight="1" spans="1:5" x14ac:dyDescent="0.25">
      <c r="A67" s="5" t="s">
        <v>86</v>
      </c>
      <c r="B67" s="5">
        <v>2</v>
      </c>
      <c r="C67" s="5" t="s">
        <v>133</v>
      </c>
      <c r="D67" s="5" t="s">
        <v>20</v>
      </c>
      <c r="E67" s="2" t="s">
        <v>134</v>
      </c>
    </row>
    <row r="68" ht="30.1" customHeight="1" spans="1:5" x14ac:dyDescent="0.25">
      <c r="A68" s="5" t="s">
        <v>86</v>
      </c>
      <c r="B68" s="5">
        <v>2</v>
      </c>
      <c r="C68" s="5" t="s">
        <v>135</v>
      </c>
      <c r="D68" s="5" t="s">
        <v>20</v>
      </c>
      <c r="E68" s="2" t="s">
        <v>136</v>
      </c>
    </row>
    <row r="69" ht="30.1" customHeight="1" spans="1:5" x14ac:dyDescent="0.25">
      <c r="A69" s="5" t="s">
        <v>86</v>
      </c>
      <c r="B69" s="5">
        <v>2</v>
      </c>
      <c r="C69" s="5" t="s">
        <v>137</v>
      </c>
      <c r="D69" s="5" t="s">
        <v>20</v>
      </c>
      <c r="E69" s="2" t="s">
        <v>138</v>
      </c>
    </row>
    <row r="70" ht="30.1" customHeight="1" spans="1:5" x14ac:dyDescent="0.25">
      <c r="A70" s="5" t="s">
        <v>86</v>
      </c>
      <c r="B70" s="5">
        <v>2</v>
      </c>
      <c r="C70" s="5" t="s">
        <v>139</v>
      </c>
      <c r="D70" s="5" t="s">
        <v>20</v>
      </c>
      <c r="E70" s="2" t="s">
        <v>140</v>
      </c>
    </row>
    <row r="71" ht="30.1" customHeight="1" spans="1:5" x14ac:dyDescent="0.25">
      <c r="A71" s="5" t="s">
        <v>86</v>
      </c>
      <c r="B71" s="5">
        <v>2</v>
      </c>
      <c r="C71" s="5" t="s">
        <v>141</v>
      </c>
      <c r="D71" s="5" t="s">
        <v>20</v>
      </c>
      <c r="E71" s="2" t="s">
        <v>142</v>
      </c>
    </row>
    <row r="72" ht="30.1" customHeight="1" spans="1:5" x14ac:dyDescent="0.25">
      <c r="A72" s="5" t="s">
        <v>86</v>
      </c>
      <c r="B72" s="5">
        <v>2</v>
      </c>
      <c r="C72" s="5" t="s">
        <v>143</v>
      </c>
      <c r="D72" s="5" t="s">
        <v>20</v>
      </c>
      <c r="E72" s="2" t="s">
        <v>144</v>
      </c>
    </row>
    <row r="73" ht="30.1" customHeight="1" spans="1:5" x14ac:dyDescent="0.25">
      <c r="A73" s="5" t="s">
        <v>86</v>
      </c>
      <c r="B73" s="5">
        <v>2</v>
      </c>
      <c r="C73" s="5" t="s">
        <v>145</v>
      </c>
      <c r="D73" s="5" t="s">
        <v>20</v>
      </c>
      <c r="E73" s="2" t="s">
        <v>146</v>
      </c>
    </row>
    <row r="74" ht="30.1" customHeight="1" spans="1:5" x14ac:dyDescent="0.25">
      <c r="A74" s="5" t="s">
        <v>86</v>
      </c>
      <c r="B74" s="5">
        <v>2</v>
      </c>
      <c r="C74" s="5" t="s">
        <v>147</v>
      </c>
      <c r="D74" s="5" t="s">
        <v>20</v>
      </c>
      <c r="E74" s="2" t="s">
        <v>148</v>
      </c>
    </row>
    <row r="75" ht="90.35" customHeight="1" spans="1:5" x14ac:dyDescent="0.25">
      <c r="A75" s="5" t="s">
        <v>149</v>
      </c>
      <c r="B75" s="5">
        <v>3</v>
      </c>
      <c r="C75" s="5" t="s">
        <v>150</v>
      </c>
      <c r="D75" s="5" t="s">
        <v>151</v>
      </c>
      <c r="E75" s="2" t="s">
        <v>152</v>
      </c>
    </row>
    <row r="76" spans="1:5" x14ac:dyDescent="0.25">
      <c r="A76" t="s">
        <v>153</v>
      </c>
      <c r="B76">
        <v>4</v>
      </c>
      <c r="C76" t="s">
        <v>150</v>
      </c>
      <c r="D76" t="s">
        <v>151</v>
      </c>
      <c r="E76" t="s">
        <v>154</v>
      </c>
    </row>
    <row r="77" spans="1:6" x14ac:dyDescent="0.25">
      <c r="A77" t="s">
        <v>155</v>
      </c>
      <c r="B77">
        <v>5</v>
      </c>
      <c r="C77" t="s">
        <v>150</v>
      </c>
      <c r="D77" t="s">
        <v>151</v>
      </c>
      <c r="E77" t="s">
        <v>156</v>
      </c>
    </row>
    <row r="78" spans="1:6" x14ac:dyDescent="0.25">
      <c r="A78" t="s">
        <v>157</v>
      </c>
      <c r="B78">
        <v>6</v>
      </c>
      <c r="C78" t="s">
        <v>150</v>
      </c>
      <c r="D78" t="s">
        <v>151</v>
      </c>
      <c r="E78" t="s">
        <v>158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 zoomScale="100" zoomScaleNormal="100">
      <selection activeCell="A1" sqref="A1"/>
    </sheetView>
  </sheetViews>
  <sheetFormatPr defaultRowHeight="15.05" outlineLevelRow="0" outlineLevelCol="4" x14ac:dyDescent="0" defaultColWidth="9" customHeight="1"/>
  <cols>
    <col min="1" max="1" width="16.1949152542373" customWidth="1"/>
    <col min="2" max="2" width="30" customWidth="1"/>
    <col min="3" max="3" width="24" customWidth="1"/>
    <col min="4" max="4" width="90" customWidth="1"/>
    <col min="5" max="5" width="55" customWidth="1"/>
  </cols>
  <sheetData>
    <row r="1" ht="17" customHeight="1" spans="1:1" x14ac:dyDescent="0.25">
      <c r="A1" s="1" t="s">
        <v>159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5</v>
      </c>
      <c r="B4" s="3" t="s">
        <v>6</v>
      </c>
    </row>
    <row r="5" ht="62.2" customHeight="1" spans="1:2" x14ac:dyDescent="0.25">
      <c r="A5" s="2" t="s">
        <v>160</v>
      </c>
      <c r="B5" s="6" t="s">
        <v>161</v>
      </c>
    </row>
    <row r="8" spans="1:5" x14ac:dyDescent="0.25">
      <c r="A8" s="4" t="s">
        <v>162</v>
      </c>
      <c r="B8" s="4" t="s">
        <v>163</v>
      </c>
      <c r="C8" s="4" t="s">
        <v>164</v>
      </c>
      <c r="D8" s="4" t="s">
        <v>165</v>
      </c>
      <c r="E8" s="4" t="s">
        <v>166</v>
      </c>
    </row>
    <row r="9" ht="45.15" customHeight="1" spans="1:6" x14ac:dyDescent="0.25">
      <c r="A9" s="5">
        <v>1</v>
      </c>
      <c r="B9" s="2" t="s">
        <v>19</v>
      </c>
      <c r="C9" s="2" t="s">
        <v>19</v>
      </c>
      <c r="D9" s="2" t="s">
        <v>167</v>
      </c>
      <c r="E9" s="2" t="s">
        <v>168</v>
      </c>
    </row>
    <row r="10" ht="30.1" customHeight="1" spans="1:6" x14ac:dyDescent="0.25">
      <c r="A10" s="5">
        <v>2</v>
      </c>
      <c r="B10" s="2" t="s">
        <v>169</v>
      </c>
      <c r="C10" s="2" t="s">
        <v>22</v>
      </c>
      <c r="D10" s="2" t="s">
        <v>170</v>
      </c>
      <c r="E10" s="2" t="s">
        <v>171</v>
      </c>
    </row>
    <row r="11" ht="30.1" customHeight="1" spans="1:6" x14ac:dyDescent="0.25">
      <c r="A11" s="5">
        <v>3</v>
      </c>
      <c r="B11" s="2" t="s">
        <v>172</v>
      </c>
      <c r="C11" s="2" t="s">
        <v>24</v>
      </c>
      <c r="D11" s="2" t="s">
        <v>173</v>
      </c>
      <c r="E11" s="2" t="s">
        <v>174</v>
      </c>
    </row>
    <row r="12" ht="30.1" customHeight="1" spans="1:6" x14ac:dyDescent="0.25">
      <c r="A12" s="5">
        <v>4</v>
      </c>
      <c r="B12" s="2" t="s">
        <v>175</v>
      </c>
      <c r="C12" s="2" t="s">
        <v>26</v>
      </c>
      <c r="D12" s="2" t="s">
        <v>176</v>
      </c>
      <c r="E12" s="2" t="s">
        <v>177</v>
      </c>
    </row>
    <row r="13" ht="30.1" customHeight="1" spans="1:6" x14ac:dyDescent="0.25">
      <c r="A13" s="5">
        <v>5</v>
      </c>
      <c r="B13" s="2" t="s">
        <v>178</v>
      </c>
      <c r="C13" s="2" t="s">
        <v>28</v>
      </c>
      <c r="D13" s="2" t="s">
        <v>179</v>
      </c>
      <c r="E13" s="2" t="s">
        <v>180</v>
      </c>
    </row>
    <row r="14" ht="30.1" customHeight="1" spans="1:6" x14ac:dyDescent="0.25">
      <c r="A14" s="5">
        <v>6</v>
      </c>
      <c r="B14" s="2" t="s">
        <v>181</v>
      </c>
      <c r="C14" s="2" t="s">
        <v>30</v>
      </c>
      <c r="D14" s="2" t="s">
        <v>182</v>
      </c>
      <c r="E14" s="2" t="s">
        <v>183</v>
      </c>
    </row>
    <row r="15" ht="45.15" customHeight="1" spans="1:6" x14ac:dyDescent="0.25">
      <c r="A15" s="5">
        <v>7</v>
      </c>
      <c r="B15" s="2" t="s">
        <v>184</v>
      </c>
      <c r="C15" s="2" t="s">
        <v>32</v>
      </c>
      <c r="D15" s="2" t="s">
        <v>185</v>
      </c>
      <c r="E15" s="2" t="s">
        <v>186</v>
      </c>
    </row>
    <row r="16" ht="30.1" customHeight="1" spans="1:6" x14ac:dyDescent="0.25">
      <c r="A16" s="5">
        <v>8</v>
      </c>
      <c r="B16" s="2" t="s">
        <v>187</v>
      </c>
      <c r="C16" s="2" t="s">
        <v>34</v>
      </c>
      <c r="D16" s="2" t="s">
        <v>188</v>
      </c>
      <c r="E16" s="2" t="s">
        <v>189</v>
      </c>
    </row>
    <row r="17" ht="30.1" customHeight="1" spans="1:6" x14ac:dyDescent="0.25">
      <c r="A17" s="5">
        <v>9</v>
      </c>
      <c r="B17" s="2" t="s">
        <v>190</v>
      </c>
      <c r="C17" s="2" t="s">
        <v>36</v>
      </c>
      <c r="D17" s="2" t="s">
        <v>191</v>
      </c>
      <c r="E17" s="2" t="s">
        <v>192</v>
      </c>
    </row>
    <row r="18" ht="45.15" customHeight="1" spans="1:6" x14ac:dyDescent="0.25">
      <c r="A18" s="5">
        <v>10</v>
      </c>
      <c r="B18" s="2" t="s">
        <v>193</v>
      </c>
      <c r="C18" s="2" t="s">
        <v>38</v>
      </c>
      <c r="D18" s="2" t="s">
        <v>194</v>
      </c>
      <c r="E18" s="2" t="s">
        <v>195</v>
      </c>
    </row>
    <row r="19" ht="30.1" customHeight="1" spans="1:6" x14ac:dyDescent="0.25">
      <c r="A19" s="5">
        <v>11</v>
      </c>
      <c r="B19" s="2" t="s">
        <v>196</v>
      </c>
      <c r="C19" s="2" t="s">
        <v>40</v>
      </c>
      <c r="D19" s="2" t="s">
        <v>197</v>
      </c>
      <c r="E19" s="2" t="s">
        <v>198</v>
      </c>
    </row>
    <row r="20" ht="45.15" customHeight="1" spans="1:6" x14ac:dyDescent="0.25">
      <c r="A20" s="5">
        <v>12</v>
      </c>
      <c r="B20" s="2" t="s">
        <v>199</v>
      </c>
      <c r="C20" s="2" t="s">
        <v>42</v>
      </c>
      <c r="D20" s="2" t="s">
        <v>200</v>
      </c>
      <c r="E20" s="2" t="s">
        <v>201</v>
      </c>
    </row>
    <row r="21" ht="45.15" customHeight="1" spans="1:6" x14ac:dyDescent="0.25">
      <c r="A21" s="5">
        <v>13</v>
      </c>
      <c r="B21" s="2" t="s">
        <v>202</v>
      </c>
      <c r="C21" s="2" t="s">
        <v>44</v>
      </c>
      <c r="D21" s="2" t="s">
        <v>203</v>
      </c>
      <c r="E21" s="2" t="s">
        <v>204</v>
      </c>
    </row>
    <row r="22" ht="45.15" customHeight="1" spans="1:6" x14ac:dyDescent="0.25">
      <c r="A22" s="5">
        <v>14</v>
      </c>
      <c r="B22" s="2" t="s">
        <v>205</v>
      </c>
      <c r="C22" s="2" t="s">
        <v>46</v>
      </c>
      <c r="D22" s="2" t="s">
        <v>206</v>
      </c>
      <c r="E22" s="2" t="s">
        <v>207</v>
      </c>
    </row>
    <row r="23" ht="30.1" customHeight="1" spans="1:6" x14ac:dyDescent="0.25">
      <c r="A23" s="5">
        <v>15</v>
      </c>
      <c r="B23" s="2" t="s">
        <v>208</v>
      </c>
      <c r="C23" s="2" t="s">
        <v>50</v>
      </c>
      <c r="D23" s="2" t="s">
        <v>209</v>
      </c>
      <c r="E23" s="2" t="s">
        <v>210</v>
      </c>
    </row>
    <row r="24" ht="45.15" customHeight="1" spans="1:6" x14ac:dyDescent="0.25">
      <c r="A24" s="5">
        <v>16</v>
      </c>
      <c r="B24" s="2" t="s">
        <v>211</v>
      </c>
      <c r="C24" s="2" t="s">
        <v>52</v>
      </c>
      <c r="D24" s="2" t="s">
        <v>212</v>
      </c>
      <c r="E24" s="2" t="s">
        <v>213</v>
      </c>
    </row>
    <row r="25" ht="45.15" customHeight="1" spans="1:6" x14ac:dyDescent="0.25">
      <c r="A25" s="5">
        <v>17</v>
      </c>
      <c r="B25" s="2" t="s">
        <v>214</v>
      </c>
      <c r="C25" s="2" t="s">
        <v>54</v>
      </c>
      <c r="D25" s="2" t="s">
        <v>215</v>
      </c>
      <c r="E25" s="2" t="s">
        <v>216</v>
      </c>
    </row>
    <row r="26" ht="45.15" customHeight="1" spans="1:6" x14ac:dyDescent="0.25">
      <c r="A26" s="5">
        <v>18</v>
      </c>
      <c r="B26" s="2" t="s">
        <v>217</v>
      </c>
      <c r="C26" s="2" t="s">
        <v>56</v>
      </c>
      <c r="D26" s="2" t="s">
        <v>218</v>
      </c>
      <c r="E26" s="2" t="s">
        <v>219</v>
      </c>
    </row>
    <row r="27" ht="45.15" customHeight="1" spans="1:6" x14ac:dyDescent="0.25">
      <c r="A27" s="5">
        <v>19</v>
      </c>
      <c r="B27" s="2" t="s">
        <v>220</v>
      </c>
      <c r="C27" s="2" t="s">
        <v>58</v>
      </c>
      <c r="D27" s="2" t="s">
        <v>221</v>
      </c>
      <c r="E27" s="2" t="s">
        <v>222</v>
      </c>
    </row>
    <row r="28" ht="30.1" customHeight="1" spans="1:6" x14ac:dyDescent="0.25">
      <c r="A28" s="5">
        <v>20</v>
      </c>
      <c r="B28" s="2" t="s">
        <v>223</v>
      </c>
      <c r="C28" s="2" t="s">
        <v>60</v>
      </c>
      <c r="D28" s="2" t="s">
        <v>224</v>
      </c>
      <c r="E28" s="2" t="s">
        <v>225</v>
      </c>
    </row>
    <row r="29" ht="45.15" customHeight="1" spans="1:6" x14ac:dyDescent="0.25">
      <c r="A29" s="5">
        <v>21</v>
      </c>
      <c r="B29" s="2" t="s">
        <v>226</v>
      </c>
      <c r="C29" s="2" t="s">
        <v>62</v>
      </c>
      <c r="D29" s="2" t="s">
        <v>227</v>
      </c>
      <c r="E29" s="2" t="s">
        <v>228</v>
      </c>
    </row>
    <row r="30" ht="30.1" customHeight="1" spans="1:6" x14ac:dyDescent="0.25">
      <c r="A30" s="5">
        <v>22</v>
      </c>
      <c r="B30" s="2" t="s">
        <v>229</v>
      </c>
      <c r="C30" s="2" t="s">
        <v>64</v>
      </c>
      <c r="D30" s="2" t="s">
        <v>230</v>
      </c>
      <c r="E30" s="2" t="s">
        <v>231</v>
      </c>
    </row>
    <row r="31" ht="45.15" customHeight="1" spans="1:6" x14ac:dyDescent="0.25">
      <c r="A31" s="5">
        <v>23</v>
      </c>
      <c r="B31" s="2" t="s">
        <v>232</v>
      </c>
      <c r="C31" s="2" t="s">
        <v>66</v>
      </c>
      <c r="D31" s="2" t="s">
        <v>233</v>
      </c>
      <c r="E31" s="2" t="s">
        <v>234</v>
      </c>
    </row>
    <row r="32" ht="45.15" customHeight="1" spans="1:6" x14ac:dyDescent="0.25">
      <c r="A32" s="5">
        <v>24</v>
      </c>
      <c r="B32" s="2" t="s">
        <v>235</v>
      </c>
      <c r="C32" s="2" t="s">
        <v>68</v>
      </c>
      <c r="D32" s="2" t="s">
        <v>236</v>
      </c>
      <c r="E32" s="2" t="s">
        <v>237</v>
      </c>
    </row>
    <row r="33" ht="45.15" customHeight="1" spans="1:6" x14ac:dyDescent="0.25">
      <c r="A33" s="5">
        <v>25</v>
      </c>
      <c r="B33" s="2" t="s">
        <v>238</v>
      </c>
      <c r="C33" s="2" t="s">
        <v>70</v>
      </c>
      <c r="D33" s="2" t="s">
        <v>239</v>
      </c>
      <c r="E33" s="2" t="s">
        <v>240</v>
      </c>
    </row>
    <row r="34" ht="60.2" customHeight="1" spans="1:6" x14ac:dyDescent="0.25">
      <c r="A34" s="5">
        <v>26</v>
      </c>
      <c r="B34" s="2" t="s">
        <v>241</v>
      </c>
      <c r="C34" s="2" t="s">
        <v>72</v>
      </c>
      <c r="D34" s="2" t="s">
        <v>242</v>
      </c>
      <c r="E34" s="2" t="s">
        <v>243</v>
      </c>
    </row>
    <row r="35" ht="45.15" customHeight="1" spans="1:6" x14ac:dyDescent="0.25">
      <c r="A35" s="5">
        <v>27</v>
      </c>
      <c r="B35" s="2" t="s">
        <v>244</v>
      </c>
      <c r="C35" s="2" t="s">
        <v>74</v>
      </c>
      <c r="D35" s="2" t="s">
        <v>245</v>
      </c>
      <c r="E35" s="2" t="s">
        <v>246</v>
      </c>
    </row>
    <row r="36" ht="45.15" customHeight="1" spans="1:6" x14ac:dyDescent="0.25">
      <c r="A36" s="5">
        <v>28</v>
      </c>
      <c r="B36" s="2" t="s">
        <v>247</v>
      </c>
      <c r="C36" s="2" t="s">
        <v>76</v>
      </c>
      <c r="D36" s="2" t="s">
        <v>248</v>
      </c>
      <c r="E36" s="2" t="s">
        <v>249</v>
      </c>
    </row>
    <row r="37" ht="45.15" customHeight="1" spans="1:6" x14ac:dyDescent="0.25">
      <c r="A37" s="5">
        <v>29</v>
      </c>
      <c r="B37" s="2" t="s">
        <v>250</v>
      </c>
      <c r="C37" s="2" t="s">
        <v>78</v>
      </c>
      <c r="D37" s="2" t="s">
        <v>251</v>
      </c>
      <c r="E37" s="2" t="s">
        <v>249</v>
      </c>
    </row>
    <row r="38" ht="45.15" customHeight="1" spans="1:6" x14ac:dyDescent="0.25">
      <c r="A38" s="5">
        <v>30</v>
      </c>
      <c r="B38" s="2" t="s">
        <v>252</v>
      </c>
      <c r="C38" s="2" t="s">
        <v>80</v>
      </c>
      <c r="D38" s="2" t="s">
        <v>253</v>
      </c>
      <c r="E38" s="2" t="s">
        <v>254</v>
      </c>
    </row>
    <row r="39" ht="60.2" customHeight="1" spans="1:6" x14ac:dyDescent="0.25">
      <c r="A39" s="5">
        <v>31</v>
      </c>
      <c r="B39" s="2" t="s">
        <v>255</v>
      </c>
      <c r="C39" s="2" t="s">
        <v>82</v>
      </c>
      <c r="D39" s="2" t="s">
        <v>256</v>
      </c>
      <c r="E39" s="2" t="s">
        <v>257</v>
      </c>
    </row>
    <row r="40" ht="60.2" customHeight="1" spans="1:6" x14ac:dyDescent="0.25">
      <c r="A40" s="5">
        <v>32</v>
      </c>
      <c r="B40" s="2" t="s">
        <v>258</v>
      </c>
      <c r="C40" s="2" t="s">
        <v>84</v>
      </c>
      <c r="D40" s="2" t="s">
        <v>259</v>
      </c>
      <c r="E40" s="2" t="s">
        <v>260</v>
      </c>
    </row>
    <row r="41" ht="45.15" customHeight="1" spans="1:6" x14ac:dyDescent="0.25">
      <c r="A41" s="5">
        <v>33</v>
      </c>
      <c r="B41" s="2" t="s">
        <v>261</v>
      </c>
      <c r="C41" s="2" t="s">
        <v>87</v>
      </c>
      <c r="D41" s="2" t="s">
        <v>262</v>
      </c>
      <c r="E41" s="2" t="s">
        <v>263</v>
      </c>
    </row>
    <row r="42" ht="60.2" customHeight="1" spans="1:6" x14ac:dyDescent="0.25">
      <c r="A42" s="5">
        <v>34</v>
      </c>
      <c r="B42" s="2" t="s">
        <v>264</v>
      </c>
      <c r="C42" s="2" t="s">
        <v>89</v>
      </c>
      <c r="D42" s="2" t="s">
        <v>265</v>
      </c>
      <c r="E42" s="2" t="s">
        <v>266</v>
      </c>
    </row>
    <row r="43" ht="45.15" customHeight="1" spans="1:6" x14ac:dyDescent="0.25">
      <c r="A43" s="5">
        <v>35</v>
      </c>
      <c r="B43" s="2" t="s">
        <v>267</v>
      </c>
      <c r="C43" s="2" t="s">
        <v>93</v>
      </c>
      <c r="D43" s="2" t="s">
        <v>268</v>
      </c>
      <c r="E43" s="2" t="s">
        <v>269</v>
      </c>
    </row>
    <row r="44" ht="45.15" customHeight="1" spans="1:6" x14ac:dyDescent="0.25">
      <c r="A44" s="5">
        <v>36</v>
      </c>
      <c r="B44" s="2" t="s">
        <v>270</v>
      </c>
      <c r="C44" s="2" t="s">
        <v>95</v>
      </c>
      <c r="D44" s="2" t="s">
        <v>271</v>
      </c>
      <c r="E44" s="2" t="s">
        <v>272</v>
      </c>
    </row>
    <row r="45" ht="60.2" customHeight="1" spans="1:6" x14ac:dyDescent="0.25">
      <c r="A45" s="5">
        <v>37</v>
      </c>
      <c r="B45" s="2" t="s">
        <v>273</v>
      </c>
      <c r="C45" s="2" t="s">
        <v>97</v>
      </c>
      <c r="D45" s="2" t="s">
        <v>274</v>
      </c>
      <c r="E45" s="2" t="s">
        <v>275</v>
      </c>
    </row>
    <row r="46" ht="45.15" customHeight="1" spans="1:6" x14ac:dyDescent="0.25">
      <c r="A46" s="5">
        <v>38</v>
      </c>
      <c r="B46" s="2" t="s">
        <v>276</v>
      </c>
      <c r="C46" s="2" t="s">
        <v>99</v>
      </c>
      <c r="D46" s="2" t="s">
        <v>277</v>
      </c>
      <c r="E46" s="2" t="s">
        <v>278</v>
      </c>
    </row>
    <row r="47" ht="60.2" customHeight="1" spans="1:6" x14ac:dyDescent="0.25">
      <c r="A47" s="5">
        <v>39</v>
      </c>
      <c r="B47" s="2" t="s">
        <v>279</v>
      </c>
      <c r="C47" s="2" t="s">
        <v>101</v>
      </c>
      <c r="D47" s="2" t="s">
        <v>280</v>
      </c>
      <c r="E47" s="2" t="s">
        <v>281</v>
      </c>
    </row>
    <row r="48" ht="45.15" customHeight="1" spans="1:6" x14ac:dyDescent="0.25">
      <c r="A48" s="5">
        <v>40</v>
      </c>
      <c r="B48" s="2" t="s">
        <v>282</v>
      </c>
      <c r="C48" s="2" t="s">
        <v>103</v>
      </c>
      <c r="D48" s="2" t="s">
        <v>283</v>
      </c>
      <c r="E48" s="2" t="s">
        <v>284</v>
      </c>
    </row>
    <row r="49" ht="45.15" customHeight="1" spans="1:6" x14ac:dyDescent="0.25">
      <c r="A49" s="5">
        <v>41</v>
      </c>
      <c r="B49" s="2" t="s">
        <v>285</v>
      </c>
      <c r="C49" s="2" t="s">
        <v>105</v>
      </c>
      <c r="D49" s="2" t="s">
        <v>286</v>
      </c>
      <c r="E49" s="2" t="s">
        <v>287</v>
      </c>
    </row>
    <row r="50" ht="45.15" customHeight="1" spans="1:6" x14ac:dyDescent="0.25">
      <c r="A50" s="5">
        <v>42</v>
      </c>
      <c r="B50" s="2" t="s">
        <v>288</v>
      </c>
      <c r="C50" s="2" t="s">
        <v>107</v>
      </c>
      <c r="D50" s="2" t="s">
        <v>289</v>
      </c>
      <c r="E50" s="2" t="s">
        <v>290</v>
      </c>
    </row>
    <row r="51" ht="45.15" customHeight="1" spans="1:6" x14ac:dyDescent="0.25">
      <c r="A51" s="5">
        <v>43</v>
      </c>
      <c r="B51" s="2" t="s">
        <v>291</v>
      </c>
      <c r="C51" s="2" t="s">
        <v>109</v>
      </c>
      <c r="D51" s="2" t="s">
        <v>292</v>
      </c>
      <c r="E51" s="2" t="s">
        <v>293</v>
      </c>
    </row>
    <row r="52" ht="45.15" customHeight="1" spans="1:6" x14ac:dyDescent="0.25">
      <c r="A52" s="5">
        <v>44</v>
      </c>
      <c r="B52" s="2" t="s">
        <v>294</v>
      </c>
      <c r="C52" s="2" t="s">
        <v>111</v>
      </c>
      <c r="D52" s="2" t="s">
        <v>295</v>
      </c>
      <c r="E52" s="2" t="s">
        <v>296</v>
      </c>
    </row>
    <row r="53" ht="45.15" customHeight="1" spans="1:6" x14ac:dyDescent="0.25">
      <c r="A53" s="5">
        <v>45</v>
      </c>
      <c r="B53" s="2" t="s">
        <v>297</v>
      </c>
      <c r="C53" s="2" t="s">
        <v>113</v>
      </c>
      <c r="D53" s="2" t="s">
        <v>298</v>
      </c>
      <c r="E53" s="2" t="s">
        <v>299</v>
      </c>
    </row>
    <row r="54" ht="60.2" customHeight="1" spans="1:6" x14ac:dyDescent="0.25">
      <c r="A54" s="5">
        <v>46</v>
      </c>
      <c r="B54" s="2" t="s">
        <v>300</v>
      </c>
      <c r="C54" s="2" t="s">
        <v>115</v>
      </c>
      <c r="D54" s="2" t="s">
        <v>301</v>
      </c>
      <c r="E54" s="2" t="s">
        <v>302</v>
      </c>
    </row>
    <row r="55" ht="60.2" customHeight="1" spans="1:6" x14ac:dyDescent="0.25">
      <c r="A55" s="5">
        <v>47</v>
      </c>
      <c r="B55" s="2" t="s">
        <v>303</v>
      </c>
      <c r="C55" s="2" t="s">
        <v>117</v>
      </c>
      <c r="D55" s="2" t="s">
        <v>304</v>
      </c>
      <c r="E55" s="2" t="s">
        <v>305</v>
      </c>
    </row>
    <row r="56" ht="75.25" customHeight="1" spans="1:6" x14ac:dyDescent="0.25">
      <c r="A56" s="5">
        <v>48</v>
      </c>
      <c r="B56" s="2" t="s">
        <v>306</v>
      </c>
      <c r="C56" s="2" t="s">
        <v>119</v>
      </c>
      <c r="D56" s="2" t="s">
        <v>307</v>
      </c>
      <c r="E56" s="2" t="s">
        <v>308</v>
      </c>
    </row>
    <row r="57" ht="30.1" customHeight="1" spans="1:6" x14ac:dyDescent="0.25">
      <c r="A57" s="5">
        <v>49</v>
      </c>
      <c r="B57" s="2" t="s">
        <v>309</v>
      </c>
      <c r="C57" s="2" t="s">
        <v>121</v>
      </c>
      <c r="D57" s="2" t="s">
        <v>310</v>
      </c>
      <c r="E57" s="2" t="s">
        <v>311</v>
      </c>
    </row>
    <row r="58" ht="45.15" customHeight="1" spans="1:6" x14ac:dyDescent="0.25">
      <c r="A58" s="5">
        <v>50</v>
      </c>
      <c r="B58" s="2" t="s">
        <v>312</v>
      </c>
      <c r="C58" s="2" t="s">
        <v>123</v>
      </c>
      <c r="D58" s="2" t="s">
        <v>313</v>
      </c>
      <c r="E58" s="2" t="s">
        <v>314</v>
      </c>
    </row>
    <row r="59" ht="30.1" customHeight="1" spans="1:6" x14ac:dyDescent="0.25">
      <c r="A59" s="5">
        <v>51</v>
      </c>
      <c r="B59" s="2" t="s">
        <v>315</v>
      </c>
      <c r="C59" s="2" t="s">
        <v>125</v>
      </c>
      <c r="D59" s="2" t="s">
        <v>316</v>
      </c>
      <c r="E59" s="2" t="s">
        <v>317</v>
      </c>
    </row>
    <row r="60" ht="30.1" customHeight="1" spans="1:6" x14ac:dyDescent="0.25">
      <c r="A60" s="5">
        <v>52</v>
      </c>
      <c r="B60" s="2" t="s">
        <v>318</v>
      </c>
      <c r="C60" s="2" t="s">
        <v>127</v>
      </c>
      <c r="D60" s="2" t="s">
        <v>319</v>
      </c>
      <c r="E60" s="2" t="s">
        <v>320</v>
      </c>
    </row>
    <row r="61" ht="30.1" customHeight="1" spans="1:6" x14ac:dyDescent="0.25">
      <c r="A61" s="5">
        <v>53</v>
      </c>
      <c r="B61" s="2" t="s">
        <v>321</v>
      </c>
      <c r="C61" s="2" t="s">
        <v>129</v>
      </c>
      <c r="D61" s="2" t="s">
        <v>322</v>
      </c>
      <c r="E61" s="2" t="s">
        <v>323</v>
      </c>
    </row>
    <row r="62" ht="30.1" customHeight="1" spans="1:6" x14ac:dyDescent="0.25">
      <c r="A62" s="5">
        <v>54</v>
      </c>
      <c r="B62" s="2" t="s">
        <v>324</v>
      </c>
      <c r="C62" s="2" t="s">
        <v>131</v>
      </c>
      <c r="D62" s="2" t="s">
        <v>325</v>
      </c>
      <c r="E62" s="2" t="s">
        <v>326</v>
      </c>
    </row>
    <row r="63" ht="45.15" customHeight="1" spans="1:6" x14ac:dyDescent="0.25">
      <c r="A63" s="5">
        <v>55</v>
      </c>
      <c r="B63" s="2" t="s">
        <v>327</v>
      </c>
      <c r="C63" s="2" t="s">
        <v>133</v>
      </c>
      <c r="D63" s="2" t="s">
        <v>328</v>
      </c>
      <c r="E63" s="2" t="s">
        <v>329</v>
      </c>
    </row>
    <row r="64" ht="30.1" customHeight="1" spans="1:6" x14ac:dyDescent="0.25">
      <c r="A64" s="5">
        <v>56</v>
      </c>
      <c r="B64" s="2" t="s">
        <v>330</v>
      </c>
      <c r="C64" s="2" t="s">
        <v>135</v>
      </c>
      <c r="D64" s="2" t="s">
        <v>331</v>
      </c>
      <c r="E64" s="2" t="s">
        <v>332</v>
      </c>
    </row>
    <row r="65" ht="60.2" customHeight="1" spans="1:6" x14ac:dyDescent="0.25">
      <c r="A65" s="5">
        <v>57</v>
      </c>
      <c r="B65" s="2" t="s">
        <v>333</v>
      </c>
      <c r="C65" s="2" t="s">
        <v>137</v>
      </c>
      <c r="D65" s="2" t="s">
        <v>334</v>
      </c>
      <c r="E65" s="2" t="s">
        <v>335</v>
      </c>
    </row>
    <row r="66" ht="30.1" customHeight="1" spans="1:6" x14ac:dyDescent="0.25">
      <c r="A66" s="5">
        <v>58</v>
      </c>
      <c r="B66" s="2" t="s">
        <v>336</v>
      </c>
      <c r="C66" s="2" t="s">
        <v>139</v>
      </c>
      <c r="D66" s="2" t="s">
        <v>337</v>
      </c>
      <c r="E66" s="2" t="s">
        <v>338</v>
      </c>
    </row>
    <row r="67" ht="45.15" customHeight="1" spans="1:6" x14ac:dyDescent="0.25">
      <c r="A67" s="5">
        <v>59</v>
      </c>
      <c r="B67" s="2" t="s">
        <v>339</v>
      </c>
      <c r="C67" s="2" t="s">
        <v>141</v>
      </c>
      <c r="D67" s="2" t="s">
        <v>340</v>
      </c>
      <c r="E67" s="2" t="s">
        <v>341</v>
      </c>
    </row>
    <row r="68" ht="45.15" customHeight="1" spans="1:6" x14ac:dyDescent="0.25">
      <c r="A68" s="5">
        <v>60</v>
      </c>
      <c r="B68" s="2" t="s">
        <v>342</v>
      </c>
      <c r="C68" s="2" t="s">
        <v>143</v>
      </c>
      <c r="D68" s="2" t="s">
        <v>343</v>
      </c>
      <c r="E68" s="2" t="s">
        <v>344</v>
      </c>
    </row>
    <row r="69" ht="45.15" customHeight="1" spans="1:6" x14ac:dyDescent="0.25">
      <c r="A69" s="5">
        <v>61</v>
      </c>
      <c r="B69" s="2" t="s">
        <v>345</v>
      </c>
      <c r="C69" s="2" t="s">
        <v>145</v>
      </c>
      <c r="D69" s="2" t="s">
        <v>346</v>
      </c>
      <c r="E69" s="2" t="s">
        <v>347</v>
      </c>
    </row>
    <row r="70" ht="30.1" customHeight="1" spans="1:6" x14ac:dyDescent="0.25">
      <c r="A70" s="5">
        <v>62</v>
      </c>
      <c r="B70" s="2" t="s">
        <v>348</v>
      </c>
      <c r="C70" s="2" t="s">
        <v>147</v>
      </c>
      <c r="D70" s="2" t="s">
        <v>349</v>
      </c>
      <c r="E70" s="2" t="s">
        <v>350</v>
      </c>
    </row>
    <row r="71" spans="1:6" x14ac:dyDescent="0.25"/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19</v>
      </c>
      <c r="C1" s="8"/>
      <c r="D1" s="8"/>
    </row>
    <row r="2" spans="1:4" x14ac:dyDescent="0.25">
      <c r="A2" s="9" t="s">
        <v>351</v>
      </c>
      <c r="B2" s="10" t="s">
        <v>167</v>
      </c>
      <c r="C2" s="10"/>
      <c r="D2" s="10"/>
    </row>
    <row r="3" spans="1:4" x14ac:dyDescent="0.25">
      <c r="A3" s="9" t="s">
        <v>352</v>
      </c>
      <c r="B3" s="11">
        <f>SUM(B5:D5)</f>
        <v>8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8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8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8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369</v>
      </c>
      <c r="B11" s="2" t="s">
        <v>370</v>
      </c>
      <c r="C11" s="2" t="s">
        <v>371</v>
      </c>
      <c r="D11" s="2" t="s">
        <v>372</v>
      </c>
      <c r="E11" s="2" t="s">
        <v>168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375</v>
      </c>
      <c r="B12" s="2" t="s">
        <v>376</v>
      </c>
      <c r="C12" s="2" t="s">
        <v>377</v>
      </c>
      <c r="D12" s="2" t="s">
        <v>378</v>
      </c>
      <c r="E12" s="2" t="s">
        <v>168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379</v>
      </c>
      <c r="B13" s="2" t="s">
        <v>380</v>
      </c>
      <c r="C13" s="2" t="s">
        <v>381</v>
      </c>
      <c r="D13" s="2" t="s">
        <v>382</v>
      </c>
      <c r="E13" s="2" t="s">
        <v>168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383</v>
      </c>
      <c r="B14" s="2" t="s">
        <v>384</v>
      </c>
      <c r="C14" s="2" t="s">
        <v>385</v>
      </c>
      <c r="D14" s="2" t="s">
        <v>386</v>
      </c>
      <c r="E14" s="2" t="s">
        <v>168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60.2" customHeight="1" spans="1:15" x14ac:dyDescent="0.25">
      <c r="A15" s="5" t="s">
        <v>387</v>
      </c>
      <c r="B15" s="2" t="s">
        <v>388</v>
      </c>
      <c r="C15" s="2" t="s">
        <v>389</v>
      </c>
      <c r="D15" s="2" t="s">
        <v>390</v>
      </c>
      <c r="E15" s="2" t="s">
        <v>168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60.2" customHeight="1" spans="1:15" x14ac:dyDescent="0.25">
      <c r="A16" s="5" t="s">
        <v>391</v>
      </c>
      <c r="B16" s="2" t="s">
        <v>392</v>
      </c>
      <c r="C16" s="2" t="s">
        <v>393</v>
      </c>
      <c r="D16" s="2" t="s">
        <v>394</v>
      </c>
      <c r="E16" s="2" t="s">
        <v>168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60.2" customHeight="1" spans="1:15" x14ac:dyDescent="0.25">
      <c r="A17" s="5" t="s">
        <v>395</v>
      </c>
      <c r="B17" s="2" t="s">
        <v>396</v>
      </c>
      <c r="C17" s="2" t="s">
        <v>397</v>
      </c>
      <c r="D17" s="2" t="s">
        <v>398</v>
      </c>
      <c r="E17" s="2" t="s">
        <v>168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60.2" customHeight="1" spans="1:15" x14ac:dyDescent="0.25">
      <c r="A18" s="5" t="s">
        <v>399</v>
      </c>
      <c r="B18" s="2" t="s">
        <v>400</v>
      </c>
      <c r="C18" s="2" t="s">
        <v>401</v>
      </c>
      <c r="D18" s="2" t="s">
        <v>402</v>
      </c>
      <c r="E18" s="2" t="s">
        <v>168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169</v>
      </c>
      <c r="C1" s="8"/>
      <c r="D1" s="8"/>
    </row>
    <row r="2" spans="1:4" x14ac:dyDescent="0.25">
      <c r="A2" s="9" t="s">
        <v>351</v>
      </c>
      <c r="B2" s="10" t="s">
        <v>170</v>
      </c>
      <c r="C2" s="10"/>
      <c r="D2" s="10"/>
    </row>
    <row r="3" spans="1:4" x14ac:dyDescent="0.25">
      <c r="A3" s="9" t="s">
        <v>352</v>
      </c>
      <c r="B3" s="11">
        <v>10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v>10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v>10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v>10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403</v>
      </c>
      <c r="B11" s="2" t="s">
        <v>404</v>
      </c>
      <c r="C11" s="2" t="s">
        <v>405</v>
      </c>
      <c r="D11" s="2" t="s">
        <v>406</v>
      </c>
      <c r="E11" s="2" t="s">
        <v>171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407</v>
      </c>
      <c r="B12" s="2" t="s">
        <v>408</v>
      </c>
      <c r="C12" s="2" t="s">
        <v>409</v>
      </c>
      <c r="D12" s="2" t="s">
        <v>410</v>
      </c>
      <c r="E12" s="2" t="s">
        <v>171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411</v>
      </c>
      <c r="B13" s="2" t="s">
        <v>412</v>
      </c>
      <c r="C13" s="2" t="s">
        <v>413</v>
      </c>
      <c r="D13" s="2" t="s">
        <v>414</v>
      </c>
      <c r="E13" s="2" t="s">
        <v>171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415</v>
      </c>
      <c r="B14" s="2" t="s">
        <v>416</v>
      </c>
      <c r="C14" s="2" t="s">
        <v>417</v>
      </c>
      <c r="D14" s="2" t="s">
        <v>418</v>
      </c>
      <c r="E14" s="2" t="s">
        <v>171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60.2" customHeight="1" spans="1:15" x14ac:dyDescent="0.25">
      <c r="A15" s="5" t="s">
        <v>419</v>
      </c>
      <c r="B15" s="2" t="s">
        <v>420</v>
      </c>
      <c r="C15" s="2" t="s">
        <v>421</v>
      </c>
      <c r="D15" s="2" t="s">
        <v>422</v>
      </c>
      <c r="E15" s="2" t="s">
        <v>171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60.2" customHeight="1" spans="1:15" x14ac:dyDescent="0.25">
      <c r="A16" s="5" t="s">
        <v>423</v>
      </c>
      <c r="B16" s="2" t="s">
        <v>424</v>
      </c>
      <c r="C16" s="2" t="s">
        <v>425</v>
      </c>
      <c r="D16" s="2" t="s">
        <v>426</v>
      </c>
      <c r="E16" s="2" t="s">
        <v>171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60.2" customHeight="1" spans="1:15" x14ac:dyDescent="0.25">
      <c r="A17" s="5" t="s">
        <v>427</v>
      </c>
      <c r="B17" s="2" t="s">
        <v>428</v>
      </c>
      <c r="C17" s="2" t="s">
        <v>429</v>
      </c>
      <c r="D17" s="2" t="s">
        <v>430</v>
      </c>
      <c r="E17" s="2" t="s">
        <v>171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60.2" customHeight="1" spans="1:15" x14ac:dyDescent="0.25">
      <c r="A18" s="5" t="s">
        <v>431</v>
      </c>
      <c r="B18" s="2" t="s">
        <v>432</v>
      </c>
      <c r="C18" s="2" t="s">
        <v>433</v>
      </c>
      <c r="D18" s="2" t="s">
        <v>434</v>
      </c>
      <c r="E18" s="2" t="s">
        <v>171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  <row r="19" ht="60.2" customHeight="1" spans="1:15" x14ac:dyDescent="0.25">
      <c r="A19" s="5" t="s">
        <v>435</v>
      </c>
      <c r="B19" s="2" t="s">
        <v>436</v>
      </c>
      <c r="C19" s="2" t="s">
        <v>437</v>
      </c>
      <c r="D19" s="2" t="s">
        <v>438</v>
      </c>
      <c r="E19" s="2" t="s">
        <v>171</v>
      </c>
      <c r="F19" s="5" t="s">
        <v>354</v>
      </c>
      <c r="G19" s="14" t="s">
        <v>149</v>
      </c>
      <c r="H19" s="2" t="s">
        <v>373</v>
      </c>
      <c r="I19" s="5" t="s">
        <v>354</v>
      </c>
      <c r="J19" s="5" t="s">
        <v>149</v>
      </c>
      <c r="K19" s="5" t="s">
        <v>373</v>
      </c>
      <c r="L19" s="5" t="s">
        <v>354</v>
      </c>
      <c r="M19" s="5" t="s">
        <v>149</v>
      </c>
      <c r="N19" s="5" t="s">
        <v>373</v>
      </c>
      <c r="O19" s="2" t="s">
        <v>374</v>
      </c>
    </row>
    <row r="20" ht="60.2" customHeight="1" spans="1:15" x14ac:dyDescent="0.25">
      <c r="A20" s="5" t="s">
        <v>439</v>
      </c>
      <c r="B20" s="2" t="s">
        <v>440</v>
      </c>
      <c r="C20" s="2" t="s">
        <v>441</v>
      </c>
      <c r="D20" s="2" t="s">
        <v>442</v>
      </c>
      <c r="E20" s="2" t="s">
        <v>171</v>
      </c>
      <c r="F20" s="5" t="s">
        <v>354</v>
      </c>
      <c r="G20" s="14" t="s">
        <v>149</v>
      </c>
      <c r="H20" s="2" t="s">
        <v>373</v>
      </c>
      <c r="I20" s="5" t="s">
        <v>354</v>
      </c>
      <c r="J20" s="5" t="s">
        <v>149</v>
      </c>
      <c r="K20" s="5" t="s">
        <v>373</v>
      </c>
      <c r="L20" s="5" t="s">
        <v>354</v>
      </c>
      <c r="M20" s="5" t="s">
        <v>149</v>
      </c>
      <c r="N20" s="5" t="s">
        <v>373</v>
      </c>
      <c r="O20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172</v>
      </c>
      <c r="C1" s="8"/>
      <c r="D1" s="8"/>
    </row>
    <row r="2" spans="1:4" x14ac:dyDescent="0.25">
      <c r="A2" s="9" t="s">
        <v>351</v>
      </c>
      <c r="B2" s="10" t="s">
        <v>173</v>
      </c>
      <c r="C2" s="10"/>
      <c r="D2" s="10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443</v>
      </c>
      <c r="B11" s="2" t="s">
        <v>444</v>
      </c>
      <c r="C11" s="2" t="s">
        <v>445</v>
      </c>
      <c r="D11" s="2" t="s">
        <v>446</v>
      </c>
      <c r="E11" s="2" t="s">
        <v>174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447</v>
      </c>
      <c r="B12" s="2" t="s">
        <v>448</v>
      </c>
      <c r="C12" s="2" t="s">
        <v>449</v>
      </c>
      <c r="D12" s="2" t="s">
        <v>450</v>
      </c>
      <c r="E12" s="2" t="s">
        <v>174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451</v>
      </c>
      <c r="B13" s="2" t="s">
        <v>452</v>
      </c>
      <c r="C13" s="2" t="s">
        <v>453</v>
      </c>
      <c r="D13" s="2" t="s">
        <v>454</v>
      </c>
      <c r="E13" s="2" t="s">
        <v>174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455</v>
      </c>
      <c r="B14" s="2" t="s">
        <v>456</v>
      </c>
      <c r="C14" s="2" t="s">
        <v>457</v>
      </c>
      <c r="D14" s="2" t="s">
        <v>458</v>
      </c>
      <c r="E14" s="2" t="s">
        <v>174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60.2" customHeight="1" spans="1:15" x14ac:dyDescent="0.25">
      <c r="A15" s="5" t="s">
        <v>459</v>
      </c>
      <c r="B15" s="2" t="s">
        <v>460</v>
      </c>
      <c r="C15" s="2" t="s">
        <v>461</v>
      </c>
      <c r="D15" s="2" t="s">
        <v>462</v>
      </c>
      <c r="E15" s="2" t="s">
        <v>174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175</v>
      </c>
      <c r="C1" s="8"/>
      <c r="D1" s="8"/>
    </row>
    <row r="2" spans="1:4" x14ac:dyDescent="0.25">
      <c r="A2" s="9" t="s">
        <v>351</v>
      </c>
      <c r="B2" s="10" t="s">
        <v>176</v>
      </c>
      <c r="C2" s="10"/>
      <c r="D2" s="10"/>
    </row>
    <row r="3" spans="1:4" x14ac:dyDescent="0.25">
      <c r="A3" s="9" t="s">
        <v>352</v>
      </c>
      <c r="B3" s="11">
        <f>SUM(B5:D5)</f>
        <v>9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9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9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9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5.15" customHeight="1" spans="1:15" x14ac:dyDescent="0.25">
      <c r="A11" s="5" t="s">
        <v>463</v>
      </c>
      <c r="B11" s="2" t="s">
        <v>464</v>
      </c>
      <c r="C11" s="2" t="s">
        <v>465</v>
      </c>
      <c r="D11" s="2" t="s">
        <v>466</v>
      </c>
      <c r="E11" s="2" t="s">
        <v>177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45.15" customHeight="1" spans="1:15" x14ac:dyDescent="0.25">
      <c r="A12" s="5" t="s">
        <v>467</v>
      </c>
      <c r="B12" s="2" t="s">
        <v>468</v>
      </c>
      <c r="C12" s="2" t="s">
        <v>469</v>
      </c>
      <c r="D12" s="2" t="s">
        <v>470</v>
      </c>
      <c r="E12" s="2" t="s">
        <v>177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45.15" customHeight="1" spans="1:15" x14ac:dyDescent="0.25">
      <c r="A13" s="5" t="s">
        <v>471</v>
      </c>
      <c r="B13" s="2" t="s">
        <v>472</v>
      </c>
      <c r="C13" s="2" t="s">
        <v>473</v>
      </c>
      <c r="D13" s="2" t="s">
        <v>474</v>
      </c>
      <c r="E13" s="2" t="s">
        <v>177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45.15" customHeight="1" spans="1:15" x14ac:dyDescent="0.25">
      <c r="A14" s="5" t="s">
        <v>475</v>
      </c>
      <c r="B14" s="2" t="s">
        <v>476</v>
      </c>
      <c r="C14" s="2" t="s">
        <v>477</v>
      </c>
      <c r="D14" s="2" t="s">
        <v>478</v>
      </c>
      <c r="E14" s="2" t="s">
        <v>177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45.15" customHeight="1" spans="1:15" x14ac:dyDescent="0.25">
      <c r="A15" s="5" t="s">
        <v>479</v>
      </c>
      <c r="B15" s="2" t="s">
        <v>480</v>
      </c>
      <c r="C15" s="2" t="s">
        <v>481</v>
      </c>
      <c r="D15" s="2" t="s">
        <v>482</v>
      </c>
      <c r="E15" s="2" t="s">
        <v>177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45.15" customHeight="1" spans="1:15" x14ac:dyDescent="0.25">
      <c r="A16" s="5" t="s">
        <v>483</v>
      </c>
      <c r="B16" s="2" t="s">
        <v>484</v>
      </c>
      <c r="C16" s="2" t="s">
        <v>485</v>
      </c>
      <c r="D16" s="2" t="s">
        <v>486</v>
      </c>
      <c r="E16" s="2" t="s">
        <v>177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45.15" customHeight="1" spans="1:15" x14ac:dyDescent="0.25">
      <c r="A17" s="5" t="s">
        <v>487</v>
      </c>
      <c r="B17" s="2" t="s">
        <v>488</v>
      </c>
      <c r="C17" s="2" t="s">
        <v>489</v>
      </c>
      <c r="D17" s="2" t="s">
        <v>490</v>
      </c>
      <c r="E17" s="2" t="s">
        <v>177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45.15" customHeight="1" spans="1:15" x14ac:dyDescent="0.25">
      <c r="A18" s="5" t="s">
        <v>491</v>
      </c>
      <c r="B18" s="2" t="s">
        <v>492</v>
      </c>
      <c r="C18" s="2" t="s">
        <v>493</v>
      </c>
      <c r="D18" s="2" t="s">
        <v>494</v>
      </c>
      <c r="E18" s="2" t="s">
        <v>177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  <row r="19" ht="45.15" customHeight="1" spans="1:15" x14ac:dyDescent="0.25">
      <c r="A19" s="5" t="s">
        <v>495</v>
      </c>
      <c r="B19" s="2" t="s">
        <v>496</v>
      </c>
      <c r="C19" s="2" t="s">
        <v>497</v>
      </c>
      <c r="D19" s="2" t="s">
        <v>498</v>
      </c>
      <c r="E19" s="2" t="s">
        <v>177</v>
      </c>
      <c r="F19" s="5" t="s">
        <v>354</v>
      </c>
      <c r="G19" s="14" t="s">
        <v>18</v>
      </c>
      <c r="H19" s="2" t="s">
        <v>373</v>
      </c>
      <c r="I19" s="5" t="s">
        <v>354</v>
      </c>
      <c r="J19" s="5" t="s">
        <v>18</v>
      </c>
      <c r="K19" s="5" t="s">
        <v>373</v>
      </c>
      <c r="L19" s="5" t="s">
        <v>354</v>
      </c>
      <c r="M19" s="5" t="s">
        <v>18</v>
      </c>
      <c r="N19" s="5" t="s">
        <v>373</v>
      </c>
      <c r="O19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178</v>
      </c>
      <c r="C1" s="8"/>
      <c r="D1" s="8"/>
    </row>
    <row r="2" spans="1:4" x14ac:dyDescent="0.25">
      <c r="A2" s="9" t="s">
        <v>351</v>
      </c>
      <c r="B2" s="10" t="s">
        <v>179</v>
      </c>
      <c r="C2" s="10"/>
      <c r="D2" s="10"/>
    </row>
    <row r="3" spans="1:4" x14ac:dyDescent="0.25">
      <c r="A3" s="9" t="s">
        <v>352</v>
      </c>
      <c r="B3" s="11">
        <f>SUM(B5:D5)</f>
        <v>9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9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9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9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5.15" customHeight="1" spans="1:15" x14ac:dyDescent="0.25">
      <c r="A11" s="5" t="s">
        <v>499</v>
      </c>
      <c r="B11" s="2" t="s">
        <v>464</v>
      </c>
      <c r="C11" s="2" t="s">
        <v>500</v>
      </c>
      <c r="D11" s="2" t="s">
        <v>466</v>
      </c>
      <c r="E11" s="2" t="s">
        <v>180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45.15" customHeight="1" spans="1:15" x14ac:dyDescent="0.25">
      <c r="A12" s="5" t="s">
        <v>501</v>
      </c>
      <c r="B12" s="2" t="s">
        <v>502</v>
      </c>
      <c r="C12" s="2" t="s">
        <v>503</v>
      </c>
      <c r="D12" s="2" t="s">
        <v>504</v>
      </c>
      <c r="E12" s="2" t="s">
        <v>180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45.15" customHeight="1" spans="1:15" x14ac:dyDescent="0.25">
      <c r="A13" s="5" t="s">
        <v>505</v>
      </c>
      <c r="B13" s="2" t="s">
        <v>468</v>
      </c>
      <c r="C13" s="2" t="s">
        <v>506</v>
      </c>
      <c r="D13" s="2" t="s">
        <v>470</v>
      </c>
      <c r="E13" s="2" t="s">
        <v>180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45.15" customHeight="1" spans="1:15" x14ac:dyDescent="0.25">
      <c r="A14" s="5" t="s">
        <v>507</v>
      </c>
      <c r="B14" s="2" t="s">
        <v>472</v>
      </c>
      <c r="C14" s="2" t="s">
        <v>508</v>
      </c>
      <c r="D14" s="2" t="s">
        <v>474</v>
      </c>
      <c r="E14" s="2" t="s">
        <v>180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45.15" customHeight="1" spans="1:15" x14ac:dyDescent="0.25">
      <c r="A15" s="5" t="s">
        <v>509</v>
      </c>
      <c r="B15" s="2" t="s">
        <v>476</v>
      </c>
      <c r="C15" s="2" t="s">
        <v>510</v>
      </c>
      <c r="D15" s="2" t="s">
        <v>478</v>
      </c>
      <c r="E15" s="2" t="s">
        <v>180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45.15" customHeight="1" spans="1:15" x14ac:dyDescent="0.25">
      <c r="A16" s="5" t="s">
        <v>511</v>
      </c>
      <c r="B16" s="2" t="s">
        <v>480</v>
      </c>
      <c r="C16" s="2" t="s">
        <v>512</v>
      </c>
      <c r="D16" s="2" t="s">
        <v>482</v>
      </c>
      <c r="E16" s="2" t="s">
        <v>180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45.15" customHeight="1" spans="1:15" x14ac:dyDescent="0.25">
      <c r="A17" s="5" t="s">
        <v>513</v>
      </c>
      <c r="B17" s="2" t="s">
        <v>514</v>
      </c>
      <c r="C17" s="2" t="s">
        <v>515</v>
      </c>
      <c r="D17" s="2" t="s">
        <v>516</v>
      </c>
      <c r="E17" s="2" t="s">
        <v>180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45.15" customHeight="1" spans="1:15" x14ac:dyDescent="0.25">
      <c r="A18" s="5" t="s">
        <v>517</v>
      </c>
      <c r="B18" s="2" t="s">
        <v>492</v>
      </c>
      <c r="C18" s="2" t="s">
        <v>518</v>
      </c>
      <c r="D18" s="2" t="s">
        <v>494</v>
      </c>
      <c r="E18" s="2" t="s">
        <v>180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  <row r="19" ht="45.15" customHeight="1" spans="1:15" x14ac:dyDescent="0.25">
      <c r="A19" s="5" t="s">
        <v>519</v>
      </c>
      <c r="B19" s="2" t="s">
        <v>496</v>
      </c>
      <c r="C19" s="2" t="s">
        <v>520</v>
      </c>
      <c r="D19" s="2" t="s">
        <v>498</v>
      </c>
      <c r="E19" s="2" t="s">
        <v>180</v>
      </c>
      <c r="F19" s="5" t="s">
        <v>354</v>
      </c>
      <c r="G19" s="14" t="s">
        <v>18</v>
      </c>
      <c r="H19" s="2" t="s">
        <v>373</v>
      </c>
      <c r="I19" s="5" t="s">
        <v>354</v>
      </c>
      <c r="J19" s="5" t="s">
        <v>18</v>
      </c>
      <c r="K19" s="5" t="s">
        <v>373</v>
      </c>
      <c r="L19" s="5" t="s">
        <v>354</v>
      </c>
      <c r="M19" s="5" t="s">
        <v>18</v>
      </c>
      <c r="N19" s="5" t="s">
        <v>373</v>
      </c>
      <c r="O19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181</v>
      </c>
      <c r="C1" s="8"/>
      <c r="D1" s="8"/>
    </row>
    <row r="2" spans="1:4" x14ac:dyDescent="0.25">
      <c r="A2" s="9" t="s">
        <v>351</v>
      </c>
      <c r="B2" s="10" t="s">
        <v>182</v>
      </c>
      <c r="C2" s="10"/>
      <c r="D2" s="10"/>
    </row>
    <row r="3" spans="1:4" x14ac:dyDescent="0.25">
      <c r="A3" s="9" t="s">
        <v>352</v>
      </c>
      <c r="B3" s="11">
        <f>SUM(B5:D5)</f>
        <v>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521</v>
      </c>
      <c r="B11" s="2" t="s">
        <v>522</v>
      </c>
      <c r="C11" s="2" t="s">
        <v>523</v>
      </c>
      <c r="D11" s="2" t="s">
        <v>524</v>
      </c>
      <c r="E11" s="2" t="s">
        <v>183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525</v>
      </c>
      <c r="B12" s="2" t="s">
        <v>526</v>
      </c>
      <c r="C12" s="2" t="s">
        <v>527</v>
      </c>
      <c r="D12" s="2" t="s">
        <v>528</v>
      </c>
      <c r="E12" s="2" t="s">
        <v>183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529</v>
      </c>
      <c r="B13" s="2" t="s">
        <v>530</v>
      </c>
      <c r="C13" s="2" t="s">
        <v>531</v>
      </c>
      <c r="D13" s="2" t="s">
        <v>532</v>
      </c>
      <c r="E13" s="2" t="s">
        <v>183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533</v>
      </c>
      <c r="B14" s="2" t="s">
        <v>534</v>
      </c>
      <c r="C14" s="2" t="s">
        <v>535</v>
      </c>
      <c r="D14" s="2" t="s">
        <v>536</v>
      </c>
      <c r="E14" s="2" t="s">
        <v>183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184</v>
      </c>
      <c r="C1" s="8"/>
      <c r="D1" s="8"/>
    </row>
    <row r="2" spans="1:4" x14ac:dyDescent="0.25">
      <c r="A2" s="9" t="s">
        <v>351</v>
      </c>
      <c r="B2" s="10" t="s">
        <v>185</v>
      </c>
      <c r="C2" s="10"/>
      <c r="D2" s="10"/>
    </row>
    <row r="3" spans="1:4" x14ac:dyDescent="0.25">
      <c r="A3" s="9" t="s">
        <v>352</v>
      </c>
      <c r="B3" s="11">
        <f>SUM(B5:D5)</f>
        <v>8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8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8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8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537</v>
      </c>
      <c r="B11" s="2" t="s">
        <v>538</v>
      </c>
      <c r="C11" s="2" t="s">
        <v>539</v>
      </c>
      <c r="D11" s="2" t="s">
        <v>540</v>
      </c>
      <c r="E11" s="2" t="s">
        <v>186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75.25" customHeight="1" spans="1:15" x14ac:dyDescent="0.25">
      <c r="A12" s="5" t="s">
        <v>541</v>
      </c>
      <c r="B12" s="2" t="s">
        <v>542</v>
      </c>
      <c r="C12" s="2" t="s">
        <v>543</v>
      </c>
      <c r="D12" s="2" t="s">
        <v>544</v>
      </c>
      <c r="E12" s="2" t="s">
        <v>186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75.25" customHeight="1" spans="1:15" x14ac:dyDescent="0.25">
      <c r="A13" s="5" t="s">
        <v>545</v>
      </c>
      <c r="B13" s="2" t="s">
        <v>546</v>
      </c>
      <c r="C13" s="2" t="s">
        <v>547</v>
      </c>
      <c r="D13" s="2" t="s">
        <v>548</v>
      </c>
      <c r="E13" s="2" t="s">
        <v>186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75.25" customHeight="1" spans="1:15" x14ac:dyDescent="0.25">
      <c r="A14" s="5" t="s">
        <v>549</v>
      </c>
      <c r="B14" s="2" t="s">
        <v>550</v>
      </c>
      <c r="C14" s="2" t="s">
        <v>551</v>
      </c>
      <c r="D14" s="2" t="s">
        <v>552</v>
      </c>
      <c r="E14" s="2" t="s">
        <v>186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75.25" customHeight="1" spans="1:15" x14ac:dyDescent="0.25">
      <c r="A15" s="5" t="s">
        <v>553</v>
      </c>
      <c r="B15" s="2" t="s">
        <v>554</v>
      </c>
      <c r="C15" s="2" t="s">
        <v>555</v>
      </c>
      <c r="D15" s="2" t="s">
        <v>556</v>
      </c>
      <c r="E15" s="2" t="s">
        <v>186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75.25" customHeight="1" spans="1:15" x14ac:dyDescent="0.25">
      <c r="A16" s="5" t="s">
        <v>557</v>
      </c>
      <c r="B16" s="2" t="s">
        <v>558</v>
      </c>
      <c r="C16" s="2" t="s">
        <v>559</v>
      </c>
      <c r="D16" s="2" t="s">
        <v>560</v>
      </c>
      <c r="E16" s="2" t="s">
        <v>186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75.25" customHeight="1" spans="1:15" x14ac:dyDescent="0.25">
      <c r="A17" s="5" t="s">
        <v>561</v>
      </c>
      <c r="B17" s="2" t="s">
        <v>562</v>
      </c>
      <c r="C17" s="2" t="s">
        <v>563</v>
      </c>
      <c r="D17" s="2" t="s">
        <v>564</v>
      </c>
      <c r="E17" s="2" t="s">
        <v>186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75.25" customHeight="1" spans="1:15" x14ac:dyDescent="0.25">
      <c r="A18" s="5" t="s">
        <v>565</v>
      </c>
      <c r="B18" s="2" t="s">
        <v>566</v>
      </c>
      <c r="C18" s="2" t="s">
        <v>567</v>
      </c>
      <c r="D18" s="2" t="s">
        <v>568</v>
      </c>
      <c r="E18" s="2" t="s">
        <v>186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187</v>
      </c>
      <c r="C1" s="8"/>
      <c r="D1" s="8"/>
    </row>
    <row r="2" spans="1:4" x14ac:dyDescent="0.25">
      <c r="A2" s="9" t="s">
        <v>351</v>
      </c>
      <c r="B2" s="10" t="s">
        <v>188</v>
      </c>
      <c r="C2" s="10"/>
      <c r="D2" s="10"/>
    </row>
    <row r="3" spans="1:4" x14ac:dyDescent="0.25">
      <c r="A3" s="9" t="s">
        <v>352</v>
      </c>
      <c r="B3" s="11">
        <f>SUM(B5:D5)</f>
        <v>2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2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2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2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5.15" customHeight="1" spans="1:15" x14ac:dyDescent="0.25">
      <c r="A11" s="5" t="s">
        <v>569</v>
      </c>
      <c r="B11" s="2" t="s">
        <v>570</v>
      </c>
      <c r="C11" s="2" t="s">
        <v>571</v>
      </c>
      <c r="D11" s="2" t="s">
        <v>572</v>
      </c>
      <c r="E11" s="2" t="s">
        <v>189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45.15" customHeight="1" spans="1:15" x14ac:dyDescent="0.25">
      <c r="A12" s="5" t="s">
        <v>573</v>
      </c>
      <c r="B12" s="2" t="s">
        <v>574</v>
      </c>
      <c r="C12" s="2" t="s">
        <v>575</v>
      </c>
      <c r="D12" s="2" t="s">
        <v>576</v>
      </c>
      <c r="E12" s="2" t="s">
        <v>189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190</v>
      </c>
      <c r="C1" s="8"/>
      <c r="D1" s="8"/>
    </row>
    <row r="2" spans="1:4" x14ac:dyDescent="0.25">
      <c r="A2" s="9" t="s">
        <v>351</v>
      </c>
      <c r="B2" s="10" t="s">
        <v>191</v>
      </c>
      <c r="C2" s="10"/>
      <c r="D2" s="10"/>
    </row>
    <row r="3" spans="1:4" x14ac:dyDescent="0.25">
      <c r="A3" s="9" t="s">
        <v>352</v>
      </c>
      <c r="B3" s="11">
        <f>SUM(B5:D5)</f>
        <v>8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8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8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8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5.15" customHeight="1" spans="1:15" x14ac:dyDescent="0.25">
      <c r="A11" s="5" t="s">
        <v>577</v>
      </c>
      <c r="B11" s="2" t="s">
        <v>578</v>
      </c>
      <c r="C11" s="2" t="s">
        <v>579</v>
      </c>
      <c r="D11" s="2" t="s">
        <v>580</v>
      </c>
      <c r="E11" s="2" t="s">
        <v>192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45.15" customHeight="1" spans="1:15" x14ac:dyDescent="0.25">
      <c r="A12" s="5" t="s">
        <v>581</v>
      </c>
      <c r="B12" s="2" t="s">
        <v>582</v>
      </c>
      <c r="C12" s="2" t="s">
        <v>583</v>
      </c>
      <c r="D12" s="2" t="s">
        <v>584</v>
      </c>
      <c r="E12" s="2" t="s">
        <v>192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45.15" customHeight="1" spans="1:15" x14ac:dyDescent="0.25">
      <c r="A13" s="5" t="s">
        <v>585</v>
      </c>
      <c r="B13" s="2" t="s">
        <v>586</v>
      </c>
      <c r="C13" s="2" t="s">
        <v>587</v>
      </c>
      <c r="D13" s="2" t="s">
        <v>588</v>
      </c>
      <c r="E13" s="2" t="s">
        <v>192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45.15" customHeight="1" spans="1:15" x14ac:dyDescent="0.25">
      <c r="A14" s="5" t="s">
        <v>589</v>
      </c>
      <c r="B14" s="2" t="s">
        <v>590</v>
      </c>
      <c r="C14" s="2" t="s">
        <v>591</v>
      </c>
      <c r="D14" s="2" t="s">
        <v>592</v>
      </c>
      <c r="E14" s="2" t="s">
        <v>192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45.15" customHeight="1" spans="1:15" x14ac:dyDescent="0.25">
      <c r="A15" s="5" t="s">
        <v>593</v>
      </c>
      <c r="B15" s="2" t="s">
        <v>594</v>
      </c>
      <c r="C15" s="2" t="s">
        <v>595</v>
      </c>
      <c r="D15" s="2" t="s">
        <v>596</v>
      </c>
      <c r="E15" s="2" t="s">
        <v>192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45.15" customHeight="1" spans="1:15" x14ac:dyDescent="0.25">
      <c r="A16" s="5" t="s">
        <v>597</v>
      </c>
      <c r="B16" s="2" t="s">
        <v>598</v>
      </c>
      <c r="C16" s="2" t="s">
        <v>599</v>
      </c>
      <c r="D16" s="2" t="s">
        <v>600</v>
      </c>
      <c r="E16" s="2" t="s">
        <v>192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45.15" customHeight="1" spans="1:15" x14ac:dyDescent="0.25">
      <c r="A17" s="5" t="s">
        <v>601</v>
      </c>
      <c r="B17" s="2" t="s">
        <v>602</v>
      </c>
      <c r="C17" s="2" t="s">
        <v>603</v>
      </c>
      <c r="D17" s="2" t="s">
        <v>604</v>
      </c>
      <c r="E17" s="2" t="s">
        <v>192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45.15" customHeight="1" spans="1:15" x14ac:dyDescent="0.25">
      <c r="A18" s="5" t="s">
        <v>605</v>
      </c>
      <c r="B18" s="2" t="s">
        <v>606</v>
      </c>
      <c r="C18" s="2" t="s">
        <v>607</v>
      </c>
      <c r="D18" s="2" t="s">
        <v>608</v>
      </c>
      <c r="E18" s="2" t="s">
        <v>192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193</v>
      </c>
      <c r="C1" s="8"/>
      <c r="D1" s="8"/>
    </row>
    <row r="2" spans="1:4" x14ac:dyDescent="0.25">
      <c r="A2" s="9" t="s">
        <v>351</v>
      </c>
      <c r="B2" s="10" t="s">
        <v>194</v>
      </c>
      <c r="C2" s="10"/>
      <c r="D2" s="10"/>
    </row>
    <row r="3" spans="1:4" x14ac:dyDescent="0.25">
      <c r="A3" s="9" t="s">
        <v>352</v>
      </c>
      <c r="B3" s="11">
        <f>SUM(B5:D5)</f>
        <v>11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11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11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11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609</v>
      </c>
      <c r="B11" s="2" t="s">
        <v>610</v>
      </c>
      <c r="C11" s="2" t="s">
        <v>611</v>
      </c>
      <c r="D11" s="2" t="s">
        <v>612</v>
      </c>
      <c r="E11" s="2" t="s">
        <v>195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75.25" customHeight="1" spans="1:15" x14ac:dyDescent="0.25">
      <c r="A12" s="5" t="s">
        <v>613</v>
      </c>
      <c r="B12" s="2" t="s">
        <v>614</v>
      </c>
      <c r="C12" s="2" t="s">
        <v>615</v>
      </c>
      <c r="D12" s="2" t="s">
        <v>616</v>
      </c>
      <c r="E12" s="2" t="s">
        <v>195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75.25" customHeight="1" spans="1:15" x14ac:dyDescent="0.25">
      <c r="A13" s="5" t="s">
        <v>617</v>
      </c>
      <c r="B13" s="2" t="s">
        <v>618</v>
      </c>
      <c r="C13" s="2" t="s">
        <v>619</v>
      </c>
      <c r="D13" s="2" t="s">
        <v>620</v>
      </c>
      <c r="E13" s="2" t="s">
        <v>195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75.25" customHeight="1" spans="1:15" x14ac:dyDescent="0.25">
      <c r="A14" s="5" t="s">
        <v>621</v>
      </c>
      <c r="B14" s="2" t="s">
        <v>622</v>
      </c>
      <c r="C14" s="2" t="s">
        <v>623</v>
      </c>
      <c r="D14" s="2" t="s">
        <v>624</v>
      </c>
      <c r="E14" s="2" t="s">
        <v>195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75.25" customHeight="1" spans="1:15" x14ac:dyDescent="0.25">
      <c r="A15" s="5" t="s">
        <v>625</v>
      </c>
      <c r="B15" s="2" t="s">
        <v>626</v>
      </c>
      <c r="C15" s="2" t="s">
        <v>627</v>
      </c>
      <c r="D15" s="2" t="s">
        <v>628</v>
      </c>
      <c r="E15" s="2" t="s">
        <v>195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75.25" customHeight="1" spans="1:15" x14ac:dyDescent="0.25">
      <c r="A16" s="5" t="s">
        <v>629</v>
      </c>
      <c r="B16" s="2" t="s">
        <v>630</v>
      </c>
      <c r="C16" s="2" t="s">
        <v>631</v>
      </c>
      <c r="D16" s="2" t="s">
        <v>632</v>
      </c>
      <c r="E16" s="2" t="s">
        <v>195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75.25" customHeight="1" spans="1:15" x14ac:dyDescent="0.25">
      <c r="A17" s="5" t="s">
        <v>633</v>
      </c>
      <c r="B17" s="2" t="s">
        <v>634</v>
      </c>
      <c r="C17" s="2" t="s">
        <v>635</v>
      </c>
      <c r="D17" s="2" t="s">
        <v>636</v>
      </c>
      <c r="E17" s="2" t="s">
        <v>195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75.25" customHeight="1" spans="1:15" x14ac:dyDescent="0.25">
      <c r="A18" s="5" t="s">
        <v>637</v>
      </c>
      <c r="B18" s="2" t="s">
        <v>638</v>
      </c>
      <c r="C18" s="2" t="s">
        <v>639</v>
      </c>
      <c r="D18" s="2" t="s">
        <v>640</v>
      </c>
      <c r="E18" s="2" t="s">
        <v>195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641</v>
      </c>
    </row>
    <row r="19" ht="75.25" customHeight="1" spans="1:15" x14ac:dyDescent="0.25">
      <c r="A19" s="5" t="s">
        <v>642</v>
      </c>
      <c r="B19" s="2" t="s">
        <v>643</v>
      </c>
      <c r="C19" s="2" t="s">
        <v>644</v>
      </c>
      <c r="D19" s="2" t="s">
        <v>645</v>
      </c>
      <c r="E19" s="2" t="s">
        <v>195</v>
      </c>
      <c r="F19" s="5" t="s">
        <v>354</v>
      </c>
      <c r="G19" s="14" t="s">
        <v>18</v>
      </c>
      <c r="H19" s="2" t="s">
        <v>373</v>
      </c>
      <c r="I19" s="5" t="s">
        <v>354</v>
      </c>
      <c r="J19" s="5" t="s">
        <v>18</v>
      </c>
      <c r="K19" s="5" t="s">
        <v>373</v>
      </c>
      <c r="L19" s="5" t="s">
        <v>354</v>
      </c>
      <c r="M19" s="5" t="s">
        <v>18</v>
      </c>
      <c r="N19" s="5" t="s">
        <v>373</v>
      </c>
      <c r="O19" s="2" t="s">
        <v>374</v>
      </c>
    </row>
    <row r="20" ht="75.25" customHeight="1" spans="1:15" x14ac:dyDescent="0.25">
      <c r="A20" s="5" t="s">
        <v>646</v>
      </c>
      <c r="B20" s="2" t="s">
        <v>647</v>
      </c>
      <c r="C20" s="2" t="s">
        <v>648</v>
      </c>
      <c r="D20" s="2" t="s">
        <v>649</v>
      </c>
      <c r="E20" s="2" t="s">
        <v>195</v>
      </c>
      <c r="F20" s="5" t="s">
        <v>354</v>
      </c>
      <c r="G20" s="14" t="s">
        <v>18</v>
      </c>
      <c r="H20" s="2" t="s">
        <v>373</v>
      </c>
      <c r="I20" s="5" t="s">
        <v>354</v>
      </c>
      <c r="J20" s="5" t="s">
        <v>18</v>
      </c>
      <c r="K20" s="5" t="s">
        <v>373</v>
      </c>
      <c r="L20" s="5" t="s">
        <v>354</v>
      </c>
      <c r="M20" s="5" t="s">
        <v>18</v>
      </c>
      <c r="N20" s="5" t="s">
        <v>373</v>
      </c>
      <c r="O20" s="2" t="s">
        <v>374</v>
      </c>
    </row>
    <row r="21" ht="75.25" customHeight="1" spans="1:15" x14ac:dyDescent="0.25">
      <c r="A21" s="5" t="s">
        <v>650</v>
      </c>
      <c r="B21" s="2" t="s">
        <v>651</v>
      </c>
      <c r="C21" s="2" t="s">
        <v>652</v>
      </c>
      <c r="D21" s="2" t="s">
        <v>653</v>
      </c>
      <c r="E21" s="2" t="s">
        <v>195</v>
      </c>
      <c r="F21" s="5" t="s">
        <v>354</v>
      </c>
      <c r="G21" s="14" t="s">
        <v>18</v>
      </c>
      <c r="H21" s="2" t="s">
        <v>373</v>
      </c>
      <c r="I21" s="5" t="s">
        <v>354</v>
      </c>
      <c r="J21" s="5" t="s">
        <v>18</v>
      </c>
      <c r="K21" s="5" t="s">
        <v>373</v>
      </c>
      <c r="L21" s="5" t="s">
        <v>354</v>
      </c>
      <c r="M21" s="5" t="s">
        <v>18</v>
      </c>
      <c r="N21" s="5" t="s">
        <v>373</v>
      </c>
      <c r="O21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196</v>
      </c>
      <c r="C1" s="8"/>
      <c r="D1" s="8"/>
    </row>
    <row r="2" spans="1:4" x14ac:dyDescent="0.25">
      <c r="A2" s="9" t="s">
        <v>351</v>
      </c>
      <c r="B2" s="10" t="s">
        <v>197</v>
      </c>
      <c r="C2" s="10"/>
      <c r="D2" s="10"/>
    </row>
    <row r="3" spans="1:4" x14ac:dyDescent="0.25">
      <c r="A3" s="9" t="s">
        <v>352</v>
      </c>
      <c r="B3" s="11">
        <f>SUM(B5:D5)</f>
        <v>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654</v>
      </c>
      <c r="B11" s="2" t="s">
        <v>655</v>
      </c>
      <c r="C11" s="2" t="s">
        <v>656</v>
      </c>
      <c r="D11" s="2" t="s">
        <v>657</v>
      </c>
      <c r="E11" s="2" t="s">
        <v>198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658</v>
      </c>
    </row>
    <row r="12" ht="60.2" customHeight="1" spans="1:15" x14ac:dyDescent="0.25">
      <c r="A12" s="5" t="s">
        <v>659</v>
      </c>
      <c r="B12" s="2" t="s">
        <v>659</v>
      </c>
      <c r="C12" s="2" t="s">
        <v>660</v>
      </c>
      <c r="D12" s="2" t="s">
        <v>661</v>
      </c>
      <c r="E12" s="2" t="s">
        <v>198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662</v>
      </c>
      <c r="B13" s="2" t="s">
        <v>662</v>
      </c>
      <c r="C13" s="2" t="s">
        <v>663</v>
      </c>
      <c r="D13" s="2" t="s">
        <v>664</v>
      </c>
      <c r="E13" s="2" t="s">
        <v>198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665</v>
      </c>
      <c r="B14" s="2" t="s">
        <v>665</v>
      </c>
      <c r="C14" s="2" t="s">
        <v>666</v>
      </c>
      <c r="D14" s="2" t="s">
        <v>667</v>
      </c>
      <c r="E14" s="2" t="s">
        <v>198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199</v>
      </c>
      <c r="C1" s="8"/>
      <c r="D1" s="8"/>
    </row>
    <row r="2" spans="1:4" x14ac:dyDescent="0.25">
      <c r="A2" s="9" t="s">
        <v>351</v>
      </c>
      <c r="B2" s="10" t="s">
        <v>200</v>
      </c>
      <c r="C2" s="10"/>
      <c r="D2" s="10"/>
    </row>
    <row r="3" spans="1:4" x14ac:dyDescent="0.25">
      <c r="A3" s="9" t="s">
        <v>352</v>
      </c>
      <c r="B3" s="11">
        <f>SUM(B5:D5)</f>
        <v>6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6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6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6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668</v>
      </c>
      <c r="B11" s="2" t="s">
        <v>669</v>
      </c>
      <c r="C11" s="2" t="s">
        <v>670</v>
      </c>
      <c r="D11" s="2" t="s">
        <v>671</v>
      </c>
      <c r="E11" s="2" t="s">
        <v>201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672</v>
      </c>
      <c r="B12" s="2" t="s">
        <v>673</v>
      </c>
      <c r="C12" s="2" t="s">
        <v>674</v>
      </c>
      <c r="D12" s="2" t="s">
        <v>675</v>
      </c>
      <c r="E12" s="2" t="s">
        <v>201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676</v>
      </c>
      <c r="B13" s="2" t="s">
        <v>677</v>
      </c>
      <c r="C13" s="2" t="s">
        <v>678</v>
      </c>
      <c r="D13" s="2" t="s">
        <v>679</v>
      </c>
      <c r="E13" s="2" t="s">
        <v>201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680</v>
      </c>
      <c r="B14" s="2" t="s">
        <v>681</v>
      </c>
      <c r="C14" s="2" t="s">
        <v>682</v>
      </c>
      <c r="D14" s="2" t="s">
        <v>683</v>
      </c>
      <c r="E14" s="2" t="s">
        <v>201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60.2" customHeight="1" spans="1:15" x14ac:dyDescent="0.25">
      <c r="A15" s="5" t="s">
        <v>684</v>
      </c>
      <c r="B15" s="2" t="s">
        <v>685</v>
      </c>
      <c r="C15" s="2" t="s">
        <v>686</v>
      </c>
      <c r="D15" s="2" t="s">
        <v>687</v>
      </c>
      <c r="E15" s="2" t="s">
        <v>201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60.2" customHeight="1" spans="1:15" x14ac:dyDescent="0.25">
      <c r="A16" s="5" t="s">
        <v>688</v>
      </c>
      <c r="B16" s="2" t="s">
        <v>689</v>
      </c>
      <c r="C16" s="2" t="s">
        <v>690</v>
      </c>
      <c r="D16" s="2" t="s">
        <v>691</v>
      </c>
      <c r="E16" s="2" t="s">
        <v>201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202</v>
      </c>
      <c r="C1" s="8"/>
      <c r="D1" s="8"/>
    </row>
    <row r="2" spans="1:4" x14ac:dyDescent="0.25">
      <c r="A2" s="9" t="s">
        <v>351</v>
      </c>
      <c r="B2" s="10" t="s">
        <v>692</v>
      </c>
      <c r="C2" s="10"/>
      <c r="D2" s="10"/>
    </row>
    <row r="3" spans="1:4" x14ac:dyDescent="0.25">
      <c r="A3" s="9" t="s">
        <v>352</v>
      </c>
      <c r="B3" s="11">
        <f>SUM(B5:D5)</f>
        <v>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v>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v>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v>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693</v>
      </c>
      <c r="B11" s="2" t="s">
        <v>694</v>
      </c>
      <c r="C11" s="2" t="s">
        <v>695</v>
      </c>
      <c r="D11" s="2" t="s">
        <v>696</v>
      </c>
      <c r="E11" s="2" t="s">
        <v>204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697</v>
      </c>
      <c r="B12" s="2" t="s">
        <v>698</v>
      </c>
      <c r="C12" s="2" t="s">
        <v>699</v>
      </c>
      <c r="D12" s="2" t="s">
        <v>700</v>
      </c>
      <c r="E12" s="2" t="s">
        <v>204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701</v>
      </c>
      <c r="B13" s="2" t="s">
        <v>702</v>
      </c>
      <c r="C13" s="2" t="s">
        <v>703</v>
      </c>
      <c r="D13" s="2" t="s">
        <v>704</v>
      </c>
      <c r="E13" s="2" t="s">
        <v>204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705</v>
      </c>
      <c r="B14" s="2" t="s">
        <v>706</v>
      </c>
      <c r="C14" s="2" t="s">
        <v>707</v>
      </c>
      <c r="D14" s="2" t="s">
        <v>708</v>
      </c>
      <c r="E14" s="2" t="s">
        <v>204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205</v>
      </c>
      <c r="C1" s="8"/>
      <c r="D1" s="8"/>
    </row>
    <row r="2" spans="1:4" x14ac:dyDescent="0.25">
      <c r="A2" s="9" t="s">
        <v>351</v>
      </c>
      <c r="B2" s="10" t="s">
        <v>709</v>
      </c>
      <c r="C2" s="10"/>
      <c r="D2" s="10"/>
    </row>
    <row r="3" spans="1:4" x14ac:dyDescent="0.25">
      <c r="A3" s="9" t="s">
        <v>352</v>
      </c>
      <c r="B3" s="11">
        <v>13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v>13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v>13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v>13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710</v>
      </c>
      <c r="B11" s="2" t="s">
        <v>711</v>
      </c>
      <c r="C11" s="2" t="s">
        <v>712</v>
      </c>
      <c r="D11" s="2" t="s">
        <v>713</v>
      </c>
      <c r="E11" s="2" t="s">
        <v>207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75.25" customHeight="1" spans="1:15" x14ac:dyDescent="0.25">
      <c r="A12" s="5" t="s">
        <v>714</v>
      </c>
      <c r="B12" s="2" t="s">
        <v>715</v>
      </c>
      <c r="C12" s="2" t="s">
        <v>716</v>
      </c>
      <c r="D12" s="2" t="s">
        <v>717</v>
      </c>
      <c r="E12" s="2" t="s">
        <v>207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75.25" customHeight="1" spans="1:15" x14ac:dyDescent="0.25">
      <c r="A13" s="5" t="s">
        <v>718</v>
      </c>
      <c r="B13" s="2" t="s">
        <v>719</v>
      </c>
      <c r="C13" s="2" t="s">
        <v>720</v>
      </c>
      <c r="D13" s="2" t="s">
        <v>721</v>
      </c>
      <c r="E13" s="2" t="s">
        <v>207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75.25" customHeight="1" spans="1:15" x14ac:dyDescent="0.25">
      <c r="A14" s="5" t="s">
        <v>722</v>
      </c>
      <c r="B14" s="2" t="s">
        <v>723</v>
      </c>
      <c r="C14" s="2" t="s">
        <v>724</v>
      </c>
      <c r="D14" s="2" t="s">
        <v>725</v>
      </c>
      <c r="E14" s="2" t="s">
        <v>207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75.25" customHeight="1" spans="1:15" x14ac:dyDescent="0.25">
      <c r="A15" s="5" t="s">
        <v>726</v>
      </c>
      <c r="B15" s="2" t="s">
        <v>727</v>
      </c>
      <c r="C15" s="2" t="s">
        <v>728</v>
      </c>
      <c r="D15" s="2" t="s">
        <v>729</v>
      </c>
      <c r="E15" s="2" t="s">
        <v>207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75.25" customHeight="1" spans="1:15" x14ac:dyDescent="0.25">
      <c r="A16" s="5" t="s">
        <v>730</v>
      </c>
      <c r="B16" s="2" t="s">
        <v>731</v>
      </c>
      <c r="C16" s="2" t="s">
        <v>732</v>
      </c>
      <c r="D16" s="2" t="s">
        <v>733</v>
      </c>
      <c r="E16" s="2" t="s">
        <v>207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75.25" customHeight="1" spans="1:15" x14ac:dyDescent="0.25">
      <c r="A17" s="5" t="s">
        <v>734</v>
      </c>
      <c r="B17" s="2" t="s">
        <v>735</v>
      </c>
      <c r="C17" s="2" t="s">
        <v>736</v>
      </c>
      <c r="D17" s="2" t="s">
        <v>737</v>
      </c>
      <c r="E17" s="2" t="s">
        <v>207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75.25" customHeight="1" spans="1:15" x14ac:dyDescent="0.25">
      <c r="A18" s="5" t="s">
        <v>738</v>
      </c>
      <c r="B18" s="2" t="s">
        <v>739</v>
      </c>
      <c r="C18" s="2" t="s">
        <v>740</v>
      </c>
      <c r="D18" s="2" t="s">
        <v>741</v>
      </c>
      <c r="E18" s="2" t="s">
        <v>207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  <row r="19" ht="75.25" customHeight="1" spans="1:15" x14ac:dyDescent="0.25">
      <c r="A19" s="5" t="s">
        <v>742</v>
      </c>
      <c r="B19" s="2" t="s">
        <v>743</v>
      </c>
      <c r="C19" s="2" t="s">
        <v>744</v>
      </c>
      <c r="D19" s="2" t="s">
        <v>745</v>
      </c>
      <c r="E19" s="2" t="s">
        <v>207</v>
      </c>
      <c r="F19" s="5" t="s">
        <v>354</v>
      </c>
      <c r="G19" s="14" t="s">
        <v>18</v>
      </c>
      <c r="H19" s="2" t="s">
        <v>373</v>
      </c>
      <c r="I19" s="5" t="s">
        <v>354</v>
      </c>
      <c r="J19" s="5" t="s">
        <v>18</v>
      </c>
      <c r="K19" s="5" t="s">
        <v>373</v>
      </c>
      <c r="L19" s="5" t="s">
        <v>354</v>
      </c>
      <c r="M19" s="5" t="s">
        <v>18</v>
      </c>
      <c r="N19" s="5" t="s">
        <v>373</v>
      </c>
      <c r="O19" s="2" t="s">
        <v>374</v>
      </c>
    </row>
    <row r="20" ht="75.25" customHeight="1" spans="1:15" x14ac:dyDescent="0.25">
      <c r="A20" s="5" t="s">
        <v>746</v>
      </c>
      <c r="B20" s="2" t="s">
        <v>747</v>
      </c>
      <c r="C20" s="2" t="s">
        <v>748</v>
      </c>
      <c r="D20" s="2" t="s">
        <v>749</v>
      </c>
      <c r="E20" s="2" t="s">
        <v>207</v>
      </c>
      <c r="F20" s="5" t="s">
        <v>354</v>
      </c>
      <c r="G20" s="14" t="s">
        <v>18</v>
      </c>
      <c r="H20" s="2" t="s">
        <v>373</v>
      </c>
      <c r="I20" s="5" t="s">
        <v>354</v>
      </c>
      <c r="J20" s="5" t="s">
        <v>18</v>
      </c>
      <c r="K20" s="5" t="s">
        <v>373</v>
      </c>
      <c r="L20" s="5" t="s">
        <v>354</v>
      </c>
      <c r="M20" s="5" t="s">
        <v>18</v>
      </c>
      <c r="N20" s="5" t="s">
        <v>373</v>
      </c>
      <c r="O20" s="2" t="s">
        <v>374</v>
      </c>
    </row>
    <row r="21" ht="75.25" customHeight="1" spans="1:15" x14ac:dyDescent="0.25">
      <c r="A21" s="5" t="s">
        <v>750</v>
      </c>
      <c r="B21" s="2" t="s">
        <v>751</v>
      </c>
      <c r="C21" s="2" t="s">
        <v>752</v>
      </c>
      <c r="D21" s="2" t="s">
        <v>753</v>
      </c>
      <c r="E21" s="2" t="s">
        <v>207</v>
      </c>
      <c r="F21" s="5" t="s">
        <v>354</v>
      </c>
      <c r="G21" s="14" t="s">
        <v>18</v>
      </c>
      <c r="H21" s="2" t="s">
        <v>373</v>
      </c>
      <c r="I21" s="5" t="s">
        <v>354</v>
      </c>
      <c r="J21" s="5" t="s">
        <v>18</v>
      </c>
      <c r="K21" s="5" t="s">
        <v>373</v>
      </c>
      <c r="L21" s="5" t="s">
        <v>354</v>
      </c>
      <c r="M21" s="5" t="s">
        <v>18</v>
      </c>
      <c r="N21" s="5" t="s">
        <v>373</v>
      </c>
      <c r="O21" s="2" t="s">
        <v>374</v>
      </c>
    </row>
    <row r="22" ht="75.25" customHeight="1" spans="1:15" x14ac:dyDescent="0.25">
      <c r="A22" s="5" t="s">
        <v>754</v>
      </c>
      <c r="B22" s="2" t="s">
        <v>755</v>
      </c>
      <c r="C22" s="2" t="s">
        <v>756</v>
      </c>
      <c r="D22" s="2" t="s">
        <v>757</v>
      </c>
      <c r="E22" s="2" t="s">
        <v>207</v>
      </c>
      <c r="F22" s="5" t="s">
        <v>354</v>
      </c>
      <c r="G22" s="14" t="s">
        <v>18</v>
      </c>
      <c r="H22" s="2" t="s">
        <v>373</v>
      </c>
      <c r="I22" s="5" t="s">
        <v>354</v>
      </c>
      <c r="J22" s="5" t="s">
        <v>18</v>
      </c>
      <c r="K22" s="5" t="s">
        <v>373</v>
      </c>
      <c r="L22" s="5" t="s">
        <v>354</v>
      </c>
      <c r="M22" s="5" t="s">
        <v>18</v>
      </c>
      <c r="N22" s="5" t="s">
        <v>373</v>
      </c>
      <c r="O22" s="2" t="s">
        <v>374</v>
      </c>
    </row>
    <row r="23" ht="45.15" customHeight="1" spans="1:15" x14ac:dyDescent="0.25">
      <c r="A23" s="5" t="s">
        <v>758</v>
      </c>
      <c r="B23" s="2" t="s">
        <v>759</v>
      </c>
      <c r="C23" s="2" t="s">
        <v>760</v>
      </c>
      <c r="D23" s="2" t="s">
        <v>761</v>
      </c>
      <c r="E23" s="2" t="s">
        <v>762</v>
      </c>
      <c r="F23" s="5" t="s">
        <v>354</v>
      </c>
      <c r="G23" s="14" t="s">
        <v>149</v>
      </c>
      <c r="H23" s="2" t="s">
        <v>373</v>
      </c>
      <c r="I23" s="5" t="s">
        <v>354</v>
      </c>
      <c r="J23" s="5" t="s">
        <v>149</v>
      </c>
      <c r="K23" s="5" t="s">
        <v>373</v>
      </c>
      <c r="L23" s="5" t="s">
        <v>354</v>
      </c>
      <c r="M23" s="5" t="s">
        <v>149</v>
      </c>
      <c r="N23" s="5" t="s">
        <v>373</v>
      </c>
      <c r="O23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208</v>
      </c>
      <c r="C1" s="8"/>
      <c r="D1" s="8"/>
    </row>
    <row r="2" spans="1:4" x14ac:dyDescent="0.25">
      <c r="A2" s="9" t="s">
        <v>351</v>
      </c>
      <c r="B2" s="10" t="s">
        <v>209</v>
      </c>
      <c r="C2" s="10"/>
      <c r="D2" s="10"/>
    </row>
    <row r="3" spans="1:4" x14ac:dyDescent="0.25">
      <c r="A3" s="9" t="s">
        <v>352</v>
      </c>
      <c r="B3" s="11">
        <f>SUM(B5:D5)</f>
        <v>3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3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3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3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763</v>
      </c>
      <c r="B11" s="2" t="s">
        <v>764</v>
      </c>
      <c r="C11" s="2" t="s">
        <v>765</v>
      </c>
      <c r="D11" s="2" t="s">
        <v>766</v>
      </c>
      <c r="E11" s="2" t="s">
        <v>210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767</v>
      </c>
      <c r="B12" s="2" t="s">
        <v>768</v>
      </c>
      <c r="C12" s="2" t="s">
        <v>769</v>
      </c>
      <c r="D12" s="2" t="s">
        <v>770</v>
      </c>
      <c r="E12" s="2" t="s">
        <v>210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771</v>
      </c>
      <c r="B13" s="2" t="s">
        <v>772</v>
      </c>
      <c r="C13" s="2" t="s">
        <v>773</v>
      </c>
      <c r="D13" s="2" t="s">
        <v>774</v>
      </c>
      <c r="E13" s="2" t="s">
        <v>210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211</v>
      </c>
      <c r="C1" s="8"/>
      <c r="D1" s="8"/>
    </row>
    <row r="2" spans="1:4" x14ac:dyDescent="0.25">
      <c r="A2" s="9" t="s">
        <v>351</v>
      </c>
      <c r="B2" s="10" t="s">
        <v>775</v>
      </c>
      <c r="C2" s="10"/>
      <c r="D2" s="10"/>
    </row>
    <row r="3" spans="1:4" x14ac:dyDescent="0.25">
      <c r="A3" s="9" t="s">
        <v>352</v>
      </c>
      <c r="B3" s="11">
        <f>SUM(B5:D5)</f>
        <v>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v>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v>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v>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776</v>
      </c>
      <c r="B11" s="2" t="s">
        <v>777</v>
      </c>
      <c r="C11" s="2" t="s">
        <v>778</v>
      </c>
      <c r="D11" s="2" t="s">
        <v>779</v>
      </c>
      <c r="E11" s="2" t="s">
        <v>213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75.25" customHeight="1" spans="1:15" x14ac:dyDescent="0.25">
      <c r="A12" s="5" t="s">
        <v>780</v>
      </c>
      <c r="B12" s="2" t="s">
        <v>781</v>
      </c>
      <c r="C12" s="2" t="s">
        <v>782</v>
      </c>
      <c r="D12" s="2" t="s">
        <v>783</v>
      </c>
      <c r="E12" s="2" t="s">
        <v>213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75.25" customHeight="1" spans="1:15" x14ac:dyDescent="0.25">
      <c r="A13" s="5" t="s">
        <v>784</v>
      </c>
      <c r="B13" s="2" t="s">
        <v>785</v>
      </c>
      <c r="C13" s="2" t="s">
        <v>786</v>
      </c>
      <c r="D13" s="2" t="s">
        <v>787</v>
      </c>
      <c r="E13" s="2" t="s">
        <v>213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641</v>
      </c>
    </row>
    <row r="14" ht="75.25" customHeight="1" spans="1:15" x14ac:dyDescent="0.25">
      <c r="A14" s="5" t="s">
        <v>788</v>
      </c>
      <c r="B14" s="2" t="s">
        <v>789</v>
      </c>
      <c r="C14" s="2" t="s">
        <v>790</v>
      </c>
      <c r="D14" s="2" t="s">
        <v>791</v>
      </c>
      <c r="E14" s="2" t="s">
        <v>213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214</v>
      </c>
      <c r="C1" s="8"/>
      <c r="D1" s="8"/>
    </row>
    <row r="2" spans="1:4" x14ac:dyDescent="0.25">
      <c r="A2" s="9" t="s">
        <v>351</v>
      </c>
      <c r="B2" s="10" t="s">
        <v>215</v>
      </c>
      <c r="C2" s="10"/>
      <c r="D2" s="10"/>
    </row>
    <row r="3" spans="1:4" x14ac:dyDescent="0.25">
      <c r="A3" s="9" t="s">
        <v>352</v>
      </c>
      <c r="B3" s="11">
        <v>9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v>9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v>9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v>9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792</v>
      </c>
      <c r="B11" s="2" t="s">
        <v>793</v>
      </c>
      <c r="C11" s="2" t="s">
        <v>794</v>
      </c>
      <c r="D11" s="2" t="s">
        <v>795</v>
      </c>
      <c r="E11" s="2" t="s">
        <v>216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796</v>
      </c>
      <c r="B12" s="2" t="s">
        <v>797</v>
      </c>
      <c r="C12" s="2" t="s">
        <v>798</v>
      </c>
      <c r="D12" s="2" t="s">
        <v>799</v>
      </c>
      <c r="E12" s="2" t="s">
        <v>216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800</v>
      </c>
      <c r="B13" s="2" t="s">
        <v>801</v>
      </c>
      <c r="C13" s="2" t="s">
        <v>802</v>
      </c>
      <c r="D13" s="2" t="s">
        <v>803</v>
      </c>
      <c r="E13" s="2" t="s">
        <v>216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804</v>
      </c>
      <c r="B14" s="2" t="s">
        <v>805</v>
      </c>
      <c r="C14" s="2" t="s">
        <v>806</v>
      </c>
      <c r="D14" s="2" t="s">
        <v>807</v>
      </c>
      <c r="E14" s="2" t="s">
        <v>216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60.2" customHeight="1" spans="1:15" x14ac:dyDescent="0.25">
      <c r="A15" s="5" t="s">
        <v>808</v>
      </c>
      <c r="B15" s="2" t="s">
        <v>809</v>
      </c>
      <c r="C15" s="2" t="s">
        <v>810</v>
      </c>
      <c r="D15" s="2" t="s">
        <v>811</v>
      </c>
      <c r="E15" s="2" t="s">
        <v>216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/>
    </row>
    <row r="16" ht="60.2" customHeight="1" spans="1:15" x14ac:dyDescent="0.25">
      <c r="A16" s="5" t="s">
        <v>812</v>
      </c>
      <c r="B16" s="2" t="s">
        <v>813</v>
      </c>
      <c r="C16" s="2" t="s">
        <v>814</v>
      </c>
      <c r="D16" s="2" t="s">
        <v>815</v>
      </c>
      <c r="E16" s="2" t="s">
        <v>216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/>
    </row>
    <row r="17" ht="60.2" customHeight="1" spans="1:15" x14ac:dyDescent="0.25">
      <c r="A17" s="5" t="s">
        <v>816</v>
      </c>
      <c r="B17" s="2" t="s">
        <v>817</v>
      </c>
      <c r="C17" s="2" t="s">
        <v>818</v>
      </c>
      <c r="D17" s="2" t="s">
        <v>819</v>
      </c>
      <c r="E17" s="2" t="s">
        <v>216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/>
    </row>
    <row r="18" ht="75.25" customHeight="1" spans="1:15" x14ac:dyDescent="0.25">
      <c r="A18" s="5" t="s">
        <v>820</v>
      </c>
      <c r="B18" s="2" t="s">
        <v>821</v>
      </c>
      <c r="C18" s="2" t="s">
        <v>822</v>
      </c>
      <c r="D18" s="2" t="s">
        <v>823</v>
      </c>
      <c r="E18" s="2" t="s">
        <v>216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641</v>
      </c>
    </row>
    <row r="19" ht="45.15" customHeight="1" spans="1:15" x14ac:dyDescent="0.25">
      <c r="A19" s="5" t="s">
        <v>824</v>
      </c>
      <c r="B19" s="2" t="s">
        <v>825</v>
      </c>
      <c r="C19" s="2" t="s">
        <v>826</v>
      </c>
      <c r="D19" s="2" t="s">
        <v>827</v>
      </c>
      <c r="E19" s="2" t="s">
        <v>762</v>
      </c>
      <c r="F19" s="5" t="s">
        <v>354</v>
      </c>
      <c r="G19" s="14" t="s">
        <v>149</v>
      </c>
      <c r="H19" s="2" t="s">
        <v>373</v>
      </c>
      <c r="I19" s="5" t="s">
        <v>354</v>
      </c>
      <c r="J19" s="5" t="s">
        <v>149</v>
      </c>
      <c r="K19" s="5" t="s">
        <v>373</v>
      </c>
      <c r="L19" s="5" t="s">
        <v>354</v>
      </c>
      <c r="M19" s="5" t="s">
        <v>149</v>
      </c>
      <c r="N19" s="5" t="s">
        <v>373</v>
      </c>
      <c r="O19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217</v>
      </c>
      <c r="C1" s="8"/>
      <c r="D1" s="8"/>
    </row>
    <row r="2" spans="1:4" x14ac:dyDescent="0.25">
      <c r="A2" s="9" t="s">
        <v>351</v>
      </c>
      <c r="B2" s="10" t="s">
        <v>218</v>
      </c>
      <c r="C2" s="10"/>
      <c r="D2" s="10"/>
    </row>
    <row r="3" spans="1:4" x14ac:dyDescent="0.25">
      <c r="A3" s="9" t="s">
        <v>352</v>
      </c>
      <c r="B3" s="11">
        <v>3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v>3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v>3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v>3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828</v>
      </c>
      <c r="B11" s="2" t="s">
        <v>829</v>
      </c>
      <c r="C11" s="2" t="s">
        <v>830</v>
      </c>
      <c r="D11" s="2" t="s">
        <v>831</v>
      </c>
      <c r="E11" s="2" t="s">
        <v>219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75.25" customHeight="1" spans="1:15" x14ac:dyDescent="0.25">
      <c r="A12" s="5" t="s">
        <v>832</v>
      </c>
      <c r="B12" s="2" t="s">
        <v>833</v>
      </c>
      <c r="C12" s="2" t="s">
        <v>834</v>
      </c>
      <c r="D12" s="2" t="s">
        <v>835</v>
      </c>
      <c r="E12" s="2" t="s">
        <v>219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45.15" customHeight="1" spans="1:15" x14ac:dyDescent="0.25">
      <c r="A13" s="5" t="s">
        <v>836</v>
      </c>
      <c r="B13" s="2" t="s">
        <v>837</v>
      </c>
      <c r="C13" s="2" t="s">
        <v>838</v>
      </c>
      <c r="D13" s="2" t="s">
        <v>839</v>
      </c>
      <c r="E13" s="2" t="s">
        <v>840</v>
      </c>
      <c r="F13" s="5" t="s">
        <v>354</v>
      </c>
      <c r="G13" s="14" t="s">
        <v>149</v>
      </c>
      <c r="H13" s="2" t="s">
        <v>373</v>
      </c>
      <c r="I13" s="5" t="s">
        <v>354</v>
      </c>
      <c r="J13" s="5" t="s">
        <v>149</v>
      </c>
      <c r="K13" s="5" t="s">
        <v>373</v>
      </c>
      <c r="L13" s="5" t="s">
        <v>354</v>
      </c>
      <c r="M13" s="5" t="s">
        <v>149</v>
      </c>
      <c r="N13" s="5" t="s">
        <v>373</v>
      </c>
      <c r="O13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220</v>
      </c>
      <c r="C1" s="8"/>
      <c r="D1" s="8"/>
    </row>
    <row r="2" spans="1:4" x14ac:dyDescent="0.25">
      <c r="A2" s="9" t="s">
        <v>351</v>
      </c>
      <c r="B2" s="10" t="s">
        <v>221</v>
      </c>
      <c r="C2" s="10"/>
      <c r="D2" s="10"/>
    </row>
    <row r="3" spans="1:4" x14ac:dyDescent="0.25">
      <c r="A3" s="9" t="s">
        <v>352</v>
      </c>
      <c r="B3" s="11">
        <f>SUM(B5:D5)</f>
        <v>11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11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11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11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841</v>
      </c>
      <c r="B11" s="2" t="s">
        <v>842</v>
      </c>
      <c r="C11" s="2" t="s">
        <v>843</v>
      </c>
      <c r="D11" s="2" t="s">
        <v>844</v>
      </c>
      <c r="E11" s="2" t="s">
        <v>222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845</v>
      </c>
      <c r="B12" s="2" t="s">
        <v>846</v>
      </c>
      <c r="C12" s="2" t="s">
        <v>847</v>
      </c>
      <c r="D12" s="2" t="s">
        <v>848</v>
      </c>
      <c r="E12" s="2" t="s">
        <v>222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849</v>
      </c>
      <c r="B13" s="2" t="s">
        <v>850</v>
      </c>
      <c r="C13" s="2" t="s">
        <v>851</v>
      </c>
      <c r="D13" s="2" t="s">
        <v>852</v>
      </c>
      <c r="E13" s="2" t="s">
        <v>222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853</v>
      </c>
      <c r="B14" s="2" t="s">
        <v>854</v>
      </c>
      <c r="C14" s="2" t="s">
        <v>855</v>
      </c>
      <c r="D14" s="2" t="s">
        <v>856</v>
      </c>
      <c r="E14" s="2" t="s">
        <v>222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60.2" customHeight="1" spans="1:15" x14ac:dyDescent="0.25">
      <c r="A15" s="5" t="s">
        <v>857</v>
      </c>
      <c r="B15" s="2" t="s">
        <v>858</v>
      </c>
      <c r="C15" s="2" t="s">
        <v>859</v>
      </c>
      <c r="D15" s="2" t="s">
        <v>860</v>
      </c>
      <c r="E15" s="2" t="s">
        <v>222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60.2" customHeight="1" spans="1:15" x14ac:dyDescent="0.25">
      <c r="A16" s="5" t="s">
        <v>861</v>
      </c>
      <c r="B16" s="2" t="s">
        <v>862</v>
      </c>
      <c r="C16" s="2" t="s">
        <v>863</v>
      </c>
      <c r="D16" s="2" t="s">
        <v>864</v>
      </c>
      <c r="E16" s="2" t="s">
        <v>222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60.2" customHeight="1" spans="1:15" x14ac:dyDescent="0.25">
      <c r="A17" s="5" t="s">
        <v>865</v>
      </c>
      <c r="B17" s="2" t="s">
        <v>866</v>
      </c>
      <c r="C17" s="2" t="s">
        <v>867</v>
      </c>
      <c r="D17" s="2" t="s">
        <v>868</v>
      </c>
      <c r="E17" s="2" t="s">
        <v>222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60.2" customHeight="1" spans="1:15" x14ac:dyDescent="0.25">
      <c r="A18" s="5" t="s">
        <v>869</v>
      </c>
      <c r="B18" s="2" t="s">
        <v>870</v>
      </c>
      <c r="C18" s="2" t="s">
        <v>871</v>
      </c>
      <c r="D18" s="2" t="s">
        <v>872</v>
      </c>
      <c r="E18" s="2" t="s">
        <v>222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  <row r="19" ht="60.2" customHeight="1" spans="1:15" x14ac:dyDescent="0.25">
      <c r="A19" s="5" t="s">
        <v>873</v>
      </c>
      <c r="B19" s="2" t="s">
        <v>874</v>
      </c>
      <c r="C19" s="2" t="s">
        <v>875</v>
      </c>
      <c r="D19" s="2" t="s">
        <v>876</v>
      </c>
      <c r="E19" s="2" t="s">
        <v>222</v>
      </c>
      <c r="F19" s="5" t="s">
        <v>354</v>
      </c>
      <c r="G19" s="14" t="s">
        <v>18</v>
      </c>
      <c r="H19" s="2" t="s">
        <v>373</v>
      </c>
      <c r="I19" s="5" t="s">
        <v>354</v>
      </c>
      <c r="J19" s="5" t="s">
        <v>18</v>
      </c>
      <c r="K19" s="5" t="s">
        <v>373</v>
      </c>
      <c r="L19" s="5" t="s">
        <v>354</v>
      </c>
      <c r="M19" s="5" t="s">
        <v>18</v>
      </c>
      <c r="N19" s="5" t="s">
        <v>373</v>
      </c>
      <c r="O19" s="2" t="s">
        <v>374</v>
      </c>
    </row>
    <row r="20" ht="60.2" customHeight="1" spans="1:15" x14ac:dyDescent="0.25">
      <c r="A20" s="5" t="s">
        <v>877</v>
      </c>
      <c r="B20" s="2" t="s">
        <v>878</v>
      </c>
      <c r="C20" s="2" t="s">
        <v>879</v>
      </c>
      <c r="D20" s="2" t="s">
        <v>880</v>
      </c>
      <c r="E20" s="2" t="s">
        <v>222</v>
      </c>
      <c r="F20" s="5" t="s">
        <v>354</v>
      </c>
      <c r="G20" s="14" t="s">
        <v>18</v>
      </c>
      <c r="H20" s="2" t="s">
        <v>373</v>
      </c>
      <c r="I20" s="5" t="s">
        <v>354</v>
      </c>
      <c r="J20" s="5" t="s">
        <v>18</v>
      </c>
      <c r="K20" s="5" t="s">
        <v>373</v>
      </c>
      <c r="L20" s="5" t="s">
        <v>354</v>
      </c>
      <c r="M20" s="5" t="s">
        <v>18</v>
      </c>
      <c r="N20" s="5" t="s">
        <v>373</v>
      </c>
      <c r="O20" s="2" t="s">
        <v>374</v>
      </c>
    </row>
    <row r="21" ht="60.2" customHeight="1" spans="1:15" x14ac:dyDescent="0.25">
      <c r="A21" s="5" t="s">
        <v>881</v>
      </c>
      <c r="B21" s="2" t="s">
        <v>882</v>
      </c>
      <c r="C21" s="2" t="s">
        <v>883</v>
      </c>
      <c r="D21" s="2" t="s">
        <v>884</v>
      </c>
      <c r="E21" s="2" t="s">
        <v>222</v>
      </c>
      <c r="F21" s="5" t="s">
        <v>354</v>
      </c>
      <c r="G21" s="14" t="s">
        <v>18</v>
      </c>
      <c r="H21" s="2" t="s">
        <v>373</v>
      </c>
      <c r="I21" s="5" t="s">
        <v>354</v>
      </c>
      <c r="J21" s="5" t="s">
        <v>18</v>
      </c>
      <c r="K21" s="5" t="s">
        <v>373</v>
      </c>
      <c r="L21" s="5" t="s">
        <v>354</v>
      </c>
      <c r="M21" s="5" t="s">
        <v>18</v>
      </c>
      <c r="N21" s="5" t="s">
        <v>373</v>
      </c>
      <c r="O21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223</v>
      </c>
      <c r="C1" s="8"/>
      <c r="D1" s="8"/>
    </row>
    <row r="2" spans="1:4" x14ac:dyDescent="0.25">
      <c r="A2" s="9" t="s">
        <v>351</v>
      </c>
      <c r="B2" s="10" t="s">
        <v>224</v>
      </c>
      <c r="C2" s="10"/>
      <c r="D2" s="10"/>
    </row>
    <row r="3" spans="1:4" x14ac:dyDescent="0.25">
      <c r="A3" s="9" t="s">
        <v>352</v>
      </c>
      <c r="B3" s="11">
        <f>SUM(B5:D5)</f>
        <v>3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3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3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3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885</v>
      </c>
      <c r="B11" s="2" t="s">
        <v>886</v>
      </c>
      <c r="C11" s="2" t="s">
        <v>887</v>
      </c>
      <c r="D11" s="2" t="s">
        <v>888</v>
      </c>
      <c r="E11" s="2" t="s">
        <v>225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889</v>
      </c>
      <c r="B12" s="2" t="s">
        <v>890</v>
      </c>
      <c r="C12" s="2" t="s">
        <v>891</v>
      </c>
      <c r="D12" s="2" t="s">
        <v>892</v>
      </c>
      <c r="E12" s="2" t="s">
        <v>225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893</v>
      </c>
      <c r="B13" s="2" t="s">
        <v>894</v>
      </c>
      <c r="C13" s="2" t="s">
        <v>895</v>
      </c>
      <c r="D13" s="2" t="s">
        <v>896</v>
      </c>
      <c r="E13" s="2" t="s">
        <v>225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226</v>
      </c>
      <c r="C1" s="8"/>
      <c r="D1" s="8"/>
    </row>
    <row r="2" spans="1:4" x14ac:dyDescent="0.25">
      <c r="A2" s="9" t="s">
        <v>351</v>
      </c>
      <c r="B2" s="10" t="s">
        <v>227</v>
      </c>
      <c r="C2" s="10"/>
      <c r="D2" s="10"/>
    </row>
    <row r="3" spans="1:4" x14ac:dyDescent="0.25">
      <c r="A3" s="9" t="s">
        <v>352</v>
      </c>
      <c r="B3" s="11">
        <f>SUM(B5:D5)</f>
        <v>2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2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2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2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897</v>
      </c>
      <c r="B11" s="2" t="s">
        <v>898</v>
      </c>
      <c r="C11" s="2" t="s">
        <v>899</v>
      </c>
      <c r="D11" s="2" t="s">
        <v>900</v>
      </c>
      <c r="E11" s="2" t="s">
        <v>228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75.25" customHeight="1" spans="1:15" x14ac:dyDescent="0.25">
      <c r="A12" s="5" t="s">
        <v>901</v>
      </c>
      <c r="B12" s="2" t="s">
        <v>902</v>
      </c>
      <c r="C12" s="2" t="s">
        <v>903</v>
      </c>
      <c r="D12" s="2" t="s">
        <v>904</v>
      </c>
      <c r="E12" s="2" t="s">
        <v>228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229</v>
      </c>
      <c r="C1" s="8"/>
      <c r="D1" s="8"/>
    </row>
    <row r="2" spans="1:4" x14ac:dyDescent="0.25">
      <c r="A2" s="9" t="s">
        <v>351</v>
      </c>
      <c r="B2" s="10" t="s">
        <v>230</v>
      </c>
      <c r="C2" s="10"/>
      <c r="D2" s="10"/>
    </row>
    <row r="3" spans="1:4" x14ac:dyDescent="0.25">
      <c r="A3" s="9" t="s">
        <v>352</v>
      </c>
      <c r="B3" s="11">
        <f>SUM(B5:D5)</f>
        <v>1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5.15" customHeight="1" spans="1:15" x14ac:dyDescent="0.25">
      <c r="A11" s="5" t="s">
        <v>905</v>
      </c>
      <c r="B11" s="2" t="s">
        <v>906</v>
      </c>
      <c r="C11" s="2" t="s">
        <v>907</v>
      </c>
      <c r="D11" s="2" t="s">
        <v>908</v>
      </c>
      <c r="E11" s="2" t="s">
        <v>231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232</v>
      </c>
      <c r="C1" s="8"/>
      <c r="D1" s="8"/>
    </row>
    <row r="2" spans="1:4" x14ac:dyDescent="0.25">
      <c r="A2" s="9" t="s">
        <v>351</v>
      </c>
      <c r="B2" s="10" t="s">
        <v>233</v>
      </c>
      <c r="C2" s="10"/>
      <c r="D2" s="10"/>
    </row>
    <row r="3" spans="1:4" x14ac:dyDescent="0.25">
      <c r="A3" s="9" t="s">
        <v>352</v>
      </c>
      <c r="B3" s="11">
        <f>SUM(B5:D5)</f>
        <v>1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909</v>
      </c>
      <c r="B11" s="2" t="s">
        <v>910</v>
      </c>
      <c r="C11" s="2" t="s">
        <v>911</v>
      </c>
      <c r="D11" s="2" t="s">
        <v>912</v>
      </c>
      <c r="E11" s="2" t="s">
        <v>234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641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235</v>
      </c>
      <c r="C1" s="8"/>
      <c r="D1" s="8"/>
    </row>
    <row r="2" spans="1:4" x14ac:dyDescent="0.25">
      <c r="A2" s="9" t="s">
        <v>351</v>
      </c>
      <c r="B2" s="10" t="s">
        <v>236</v>
      </c>
      <c r="C2" s="10"/>
      <c r="D2" s="10"/>
    </row>
    <row r="3" spans="1:4" x14ac:dyDescent="0.25">
      <c r="A3" s="9" t="s">
        <v>352</v>
      </c>
      <c r="B3" s="11">
        <f>SUM(B5:D5)</f>
        <v>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913</v>
      </c>
      <c r="B11" s="2" t="s">
        <v>914</v>
      </c>
      <c r="C11" s="2" t="s">
        <v>915</v>
      </c>
      <c r="D11" s="2" t="s">
        <v>916</v>
      </c>
      <c r="E11" s="2" t="s">
        <v>237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917</v>
      </c>
      <c r="B12" s="2" t="s">
        <v>918</v>
      </c>
      <c r="C12" s="2" t="s">
        <v>919</v>
      </c>
      <c r="D12" s="2" t="s">
        <v>920</v>
      </c>
      <c r="E12" s="2" t="s">
        <v>237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921</v>
      </c>
      <c r="B13" s="2" t="s">
        <v>922</v>
      </c>
      <c r="C13" s="2" t="s">
        <v>923</v>
      </c>
      <c r="D13" s="2" t="s">
        <v>924</v>
      </c>
      <c r="E13" s="2" t="s">
        <v>237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60.2" customHeight="1" spans="1:15" x14ac:dyDescent="0.25">
      <c r="A14" s="5" t="s">
        <v>925</v>
      </c>
      <c r="B14" s="2" t="s">
        <v>926</v>
      </c>
      <c r="C14" s="2" t="s">
        <v>927</v>
      </c>
      <c r="D14" s="2" t="s">
        <v>928</v>
      </c>
      <c r="E14" s="2" t="s">
        <v>237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238</v>
      </c>
      <c r="C1" s="8"/>
      <c r="D1" s="8"/>
    </row>
    <row r="2" spans="1:4" x14ac:dyDescent="0.25">
      <c r="A2" s="9" t="s">
        <v>351</v>
      </c>
      <c r="B2" s="10" t="s">
        <v>239</v>
      </c>
      <c r="C2" s="10"/>
      <c r="D2" s="10"/>
    </row>
    <row r="3" spans="1:4" x14ac:dyDescent="0.25">
      <c r="A3" s="9" t="s">
        <v>352</v>
      </c>
      <c r="B3" s="11">
        <f>SUM(B5:D5)</f>
        <v>2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2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2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2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5.25" customHeight="1" spans="1:15" x14ac:dyDescent="0.25">
      <c r="A11" s="5" t="s">
        <v>929</v>
      </c>
      <c r="B11" s="2" t="s">
        <v>930</v>
      </c>
      <c r="C11" s="2" t="s">
        <v>931</v>
      </c>
      <c r="D11" s="2" t="s">
        <v>932</v>
      </c>
      <c r="E11" s="2" t="s">
        <v>240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75.25" customHeight="1" spans="1:15" x14ac:dyDescent="0.25">
      <c r="A12" s="5" t="s">
        <v>933</v>
      </c>
      <c r="B12" s="2" t="s">
        <v>934</v>
      </c>
      <c r="C12" s="2" t="s">
        <v>935</v>
      </c>
      <c r="D12" s="2" t="s">
        <v>936</v>
      </c>
      <c r="E12" s="2" t="s">
        <v>240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241</v>
      </c>
      <c r="C1" s="8"/>
      <c r="D1" s="8"/>
    </row>
    <row r="2" spans="1:4" x14ac:dyDescent="0.25">
      <c r="A2" s="9" t="s">
        <v>351</v>
      </c>
      <c r="B2" s="10" t="s">
        <v>242</v>
      </c>
      <c r="C2" s="10"/>
      <c r="D2" s="10"/>
    </row>
    <row r="3" spans="1:4" x14ac:dyDescent="0.25">
      <c r="A3" s="9" t="s">
        <v>352</v>
      </c>
      <c r="B3" s="11">
        <f>SUM(B5:D5)</f>
        <v>1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90.35" customHeight="1" spans="1:15" x14ac:dyDescent="0.25">
      <c r="A11" s="5" t="s">
        <v>897</v>
      </c>
      <c r="B11" s="2" t="s">
        <v>937</v>
      </c>
      <c r="C11" s="2" t="s">
        <v>938</v>
      </c>
      <c r="D11" s="2" t="s">
        <v>939</v>
      </c>
      <c r="E11" s="2" t="s">
        <v>243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244</v>
      </c>
      <c r="C1" s="8"/>
      <c r="D1" s="8"/>
    </row>
    <row r="2" spans="1:4" x14ac:dyDescent="0.25">
      <c r="A2" s="9" t="s">
        <v>351</v>
      </c>
      <c r="B2" s="10" t="s">
        <v>245</v>
      </c>
      <c r="C2" s="10"/>
      <c r="D2" s="10"/>
    </row>
    <row r="3" spans="1:4" x14ac:dyDescent="0.25">
      <c r="A3" s="9" t="s">
        <v>352</v>
      </c>
      <c r="B3" s="11">
        <f>SUM(B5:D5)</f>
        <v>2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2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2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2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940</v>
      </c>
      <c r="B11" s="2" t="s">
        <v>941</v>
      </c>
      <c r="C11" s="2" t="s">
        <v>942</v>
      </c>
      <c r="D11" s="2" t="s">
        <v>943</v>
      </c>
      <c r="E11" s="2" t="s">
        <v>246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60.2" customHeight="1" spans="1:15" x14ac:dyDescent="0.25">
      <c r="A12" s="5" t="s">
        <v>944</v>
      </c>
      <c r="B12" s="2" t="s">
        <v>945</v>
      </c>
      <c r="C12" s="2" t="s">
        <v>946</v>
      </c>
      <c r="D12" s="2" t="s">
        <v>947</v>
      </c>
      <c r="E12" s="2" t="s">
        <v>246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247</v>
      </c>
      <c r="C1" s="8"/>
      <c r="D1" s="8"/>
    </row>
    <row r="2" spans="1:4" x14ac:dyDescent="0.25">
      <c r="A2" s="9" t="s">
        <v>351</v>
      </c>
      <c r="B2" s="10" t="s">
        <v>948</v>
      </c>
      <c r="C2" s="10"/>
      <c r="D2" s="10"/>
    </row>
    <row r="3" spans="1:4" x14ac:dyDescent="0.25">
      <c r="A3" s="9" t="s">
        <v>352</v>
      </c>
      <c r="B3" s="11">
        <f>SUM(B5:D5)</f>
        <v>44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30.1" customHeight="1" spans="1:15" x14ac:dyDescent="0.25">
      <c r="A11" s="5" t="s">
        <v>949</v>
      </c>
      <c r="B11" s="2" t="s">
        <v>949</v>
      </c>
      <c r="C11" s="2" t="s">
        <v>950</v>
      </c>
      <c r="D11" s="2" t="s">
        <v>951</v>
      </c>
      <c r="E11" s="2" t="s">
        <v>249</v>
      </c>
      <c r="F11" s="5" t="s">
        <v>354</v>
      </c>
      <c r="G11" s="14" t="s">
        <v>157</v>
      </c>
      <c r="H11" s="2" t="s">
        <v>373</v>
      </c>
      <c r="I11" s="5" t="s">
        <v>354</v>
      </c>
      <c r="J11" s="5" t="s">
        <v>157</v>
      </c>
      <c r="K11" s="5" t="s">
        <v>373</v>
      </c>
      <c r="L11" s="5" t="s">
        <v>354</v>
      </c>
      <c r="M11" s="5" t="s">
        <v>157</v>
      </c>
      <c r="N11" s="5" t="s">
        <v>373</v>
      </c>
      <c r="O11" s="2"/>
    </row>
    <row r="12" ht="30.1" customHeight="1" spans="1:15" x14ac:dyDescent="0.25">
      <c r="A12" s="5" t="s">
        <v>952</v>
      </c>
      <c r="B12" s="2" t="s">
        <v>952</v>
      </c>
      <c r="C12" s="2" t="s">
        <v>950</v>
      </c>
      <c r="D12" s="2" t="s">
        <v>953</v>
      </c>
      <c r="E12" s="2" t="s">
        <v>249</v>
      </c>
      <c r="F12" s="5" t="s">
        <v>354</v>
      </c>
      <c r="G12" s="14" t="s">
        <v>157</v>
      </c>
      <c r="H12" s="2" t="s">
        <v>373</v>
      </c>
      <c r="I12" s="5" t="s">
        <v>354</v>
      </c>
      <c r="J12" s="5" t="s">
        <v>157</v>
      </c>
      <c r="K12" s="5" t="s">
        <v>373</v>
      </c>
      <c r="L12" s="5" t="s">
        <v>354</v>
      </c>
      <c r="M12" s="5" t="s">
        <v>157</v>
      </c>
      <c r="N12" s="5" t="s">
        <v>373</v>
      </c>
      <c r="O12" s="2"/>
    </row>
    <row r="13" ht="30.1" customHeight="1" spans="1:15" x14ac:dyDescent="0.25">
      <c r="A13" s="5" t="s">
        <v>954</v>
      </c>
      <c r="B13" s="2" t="s">
        <v>954</v>
      </c>
      <c r="C13" s="2" t="s">
        <v>950</v>
      </c>
      <c r="D13" s="2" t="s">
        <v>955</v>
      </c>
      <c r="E13" s="2" t="s">
        <v>249</v>
      </c>
      <c r="F13" s="5" t="s">
        <v>354</v>
      </c>
      <c r="G13" s="14" t="s">
        <v>157</v>
      </c>
      <c r="H13" s="2" t="s">
        <v>373</v>
      </c>
      <c r="I13" s="5" t="s">
        <v>354</v>
      </c>
      <c r="J13" s="5" t="s">
        <v>157</v>
      </c>
      <c r="K13" s="5" t="s">
        <v>373</v>
      </c>
      <c r="L13" s="5" t="s">
        <v>354</v>
      </c>
      <c r="M13" s="5" t="s">
        <v>157</v>
      </c>
      <c r="N13" s="5" t="s">
        <v>373</v>
      </c>
      <c r="O13" s="2"/>
    </row>
    <row r="14" ht="30.1" customHeight="1" spans="1:15" x14ac:dyDescent="0.25">
      <c r="A14" s="5" t="s">
        <v>956</v>
      </c>
      <c r="B14" s="2" t="s">
        <v>956</v>
      </c>
      <c r="C14" s="2" t="s">
        <v>950</v>
      </c>
      <c r="D14" s="2" t="s">
        <v>957</v>
      </c>
      <c r="E14" s="2" t="s">
        <v>249</v>
      </c>
      <c r="F14" s="5" t="s">
        <v>354</v>
      </c>
      <c r="G14" s="14" t="s">
        <v>157</v>
      </c>
      <c r="H14" s="2" t="s">
        <v>373</v>
      </c>
      <c r="I14" s="5" t="s">
        <v>354</v>
      </c>
      <c r="J14" s="5" t="s">
        <v>157</v>
      </c>
      <c r="K14" s="5" t="s">
        <v>373</v>
      </c>
      <c r="L14" s="5" t="s">
        <v>354</v>
      </c>
      <c r="M14" s="5" t="s">
        <v>157</v>
      </c>
      <c r="N14" s="5" t="s">
        <v>373</v>
      </c>
      <c r="O14" s="2"/>
    </row>
    <row r="15" ht="30.1" customHeight="1" spans="1:15" x14ac:dyDescent="0.25">
      <c r="A15" s="5" t="s">
        <v>958</v>
      </c>
      <c r="B15" s="2" t="s">
        <v>958</v>
      </c>
      <c r="C15" s="2" t="s">
        <v>950</v>
      </c>
      <c r="D15" s="2" t="s">
        <v>959</v>
      </c>
      <c r="E15" s="2" t="s">
        <v>249</v>
      </c>
      <c r="F15" s="5" t="s">
        <v>354</v>
      </c>
      <c r="G15" s="14" t="s">
        <v>157</v>
      </c>
      <c r="H15" s="2" t="s">
        <v>373</v>
      </c>
      <c r="I15" s="5" t="s">
        <v>354</v>
      </c>
      <c r="J15" s="5" t="s">
        <v>157</v>
      </c>
      <c r="K15" s="5" t="s">
        <v>373</v>
      </c>
      <c r="L15" s="5" t="s">
        <v>354</v>
      </c>
      <c r="M15" s="5" t="s">
        <v>157</v>
      </c>
      <c r="N15" s="5" t="s">
        <v>373</v>
      </c>
      <c r="O15" s="2"/>
    </row>
    <row r="16" ht="30.1" customHeight="1" spans="1:15" x14ac:dyDescent="0.25">
      <c r="A16" s="5" t="s">
        <v>960</v>
      </c>
      <c r="B16" s="2" t="s">
        <v>960</v>
      </c>
      <c r="C16" s="2" t="s">
        <v>950</v>
      </c>
      <c r="D16" s="2" t="s">
        <v>961</v>
      </c>
      <c r="E16" s="2" t="s">
        <v>249</v>
      </c>
      <c r="F16" s="5" t="s">
        <v>354</v>
      </c>
      <c r="G16" s="14" t="s">
        <v>157</v>
      </c>
      <c r="H16" s="2" t="s">
        <v>373</v>
      </c>
      <c r="I16" s="5" t="s">
        <v>354</v>
      </c>
      <c r="J16" s="5" t="s">
        <v>157</v>
      </c>
      <c r="K16" s="5" t="s">
        <v>373</v>
      </c>
      <c r="L16" s="5" t="s">
        <v>354</v>
      </c>
      <c r="M16" s="5" t="s">
        <v>157</v>
      </c>
      <c r="N16" s="5" t="s">
        <v>373</v>
      </c>
      <c r="O16" s="2"/>
    </row>
    <row r="17" ht="30.1" customHeight="1" spans="1:15" x14ac:dyDescent="0.25">
      <c r="A17" s="5" t="s">
        <v>962</v>
      </c>
      <c r="B17" s="2" t="s">
        <v>962</v>
      </c>
      <c r="C17" s="2" t="s">
        <v>950</v>
      </c>
      <c r="D17" s="2" t="s">
        <v>963</v>
      </c>
      <c r="E17" s="2" t="s">
        <v>249</v>
      </c>
      <c r="F17" s="5" t="s">
        <v>354</v>
      </c>
      <c r="G17" s="14" t="s">
        <v>157</v>
      </c>
      <c r="H17" s="2" t="s">
        <v>373</v>
      </c>
      <c r="I17" s="5" t="s">
        <v>354</v>
      </c>
      <c r="J17" s="5" t="s">
        <v>157</v>
      </c>
      <c r="K17" s="5" t="s">
        <v>373</v>
      </c>
      <c r="L17" s="5" t="s">
        <v>354</v>
      </c>
      <c r="M17" s="5" t="s">
        <v>157</v>
      </c>
      <c r="N17" s="5" t="s">
        <v>373</v>
      </c>
      <c r="O17" s="2"/>
    </row>
    <row r="18" ht="30.1" customHeight="1" spans="1:15" x14ac:dyDescent="0.25">
      <c r="A18" s="5" t="s">
        <v>964</v>
      </c>
      <c r="B18" s="2" t="s">
        <v>964</v>
      </c>
      <c r="C18" s="2" t="s">
        <v>950</v>
      </c>
      <c r="D18" s="2" t="s">
        <v>965</v>
      </c>
      <c r="E18" s="2" t="s">
        <v>249</v>
      </c>
      <c r="F18" s="5" t="s">
        <v>354</v>
      </c>
      <c r="G18" s="14" t="s">
        <v>157</v>
      </c>
      <c r="H18" s="2" t="s">
        <v>373</v>
      </c>
      <c r="I18" s="5" t="s">
        <v>354</v>
      </c>
      <c r="J18" s="5" t="s">
        <v>157</v>
      </c>
      <c r="K18" s="5" t="s">
        <v>373</v>
      </c>
      <c r="L18" s="5" t="s">
        <v>354</v>
      </c>
      <c r="M18" s="5" t="s">
        <v>157</v>
      </c>
      <c r="N18" s="5" t="s">
        <v>373</v>
      </c>
      <c r="O18" s="2"/>
    </row>
    <row r="19" ht="30.1" customHeight="1" spans="1:15" x14ac:dyDescent="0.25">
      <c r="A19" s="5" t="s">
        <v>966</v>
      </c>
      <c r="B19" s="2" t="s">
        <v>966</v>
      </c>
      <c r="C19" s="2" t="s">
        <v>950</v>
      </c>
      <c r="D19" s="2" t="s">
        <v>967</v>
      </c>
      <c r="E19" s="2" t="s">
        <v>249</v>
      </c>
      <c r="F19" s="5" t="s">
        <v>354</v>
      </c>
      <c r="G19" s="14" t="s">
        <v>157</v>
      </c>
      <c r="H19" s="2" t="s">
        <v>373</v>
      </c>
      <c r="I19" s="5" t="s">
        <v>354</v>
      </c>
      <c r="J19" s="5" t="s">
        <v>157</v>
      </c>
      <c r="K19" s="5" t="s">
        <v>373</v>
      </c>
      <c r="L19" s="5" t="s">
        <v>354</v>
      </c>
      <c r="M19" s="5" t="s">
        <v>157</v>
      </c>
      <c r="N19" s="5" t="s">
        <v>373</v>
      </c>
      <c r="O19" s="2"/>
    </row>
    <row r="20" ht="30.1" customHeight="1" spans="1:15" x14ac:dyDescent="0.25">
      <c r="A20" s="5" t="s">
        <v>968</v>
      </c>
      <c r="B20" s="2" t="s">
        <v>968</v>
      </c>
      <c r="C20" s="2" t="s">
        <v>950</v>
      </c>
      <c r="D20" s="2" t="s">
        <v>969</v>
      </c>
      <c r="E20" s="2" t="s">
        <v>249</v>
      </c>
      <c r="F20" s="5" t="s">
        <v>354</v>
      </c>
      <c r="G20" s="14" t="s">
        <v>157</v>
      </c>
      <c r="H20" s="2" t="s">
        <v>373</v>
      </c>
      <c r="I20" s="5" t="s">
        <v>354</v>
      </c>
      <c r="J20" s="5" t="s">
        <v>157</v>
      </c>
      <c r="K20" s="5" t="s">
        <v>373</v>
      </c>
      <c r="L20" s="5" t="s">
        <v>354</v>
      </c>
      <c r="M20" s="5" t="s">
        <v>157</v>
      </c>
      <c r="N20" s="5" t="s">
        <v>373</v>
      </c>
      <c r="O20" s="2"/>
    </row>
    <row r="21" ht="30.1" customHeight="1" spans="1:15" x14ac:dyDescent="0.25">
      <c r="A21" s="5" t="s">
        <v>970</v>
      </c>
      <c r="B21" s="2" t="s">
        <v>970</v>
      </c>
      <c r="C21" s="2" t="s">
        <v>950</v>
      </c>
      <c r="D21" s="2" t="s">
        <v>971</v>
      </c>
      <c r="E21" s="2" t="s">
        <v>249</v>
      </c>
      <c r="F21" s="5" t="s">
        <v>354</v>
      </c>
      <c r="G21" s="14" t="s">
        <v>157</v>
      </c>
      <c r="H21" s="2" t="s">
        <v>373</v>
      </c>
      <c r="I21" s="5" t="s">
        <v>354</v>
      </c>
      <c r="J21" s="5" t="s">
        <v>157</v>
      </c>
      <c r="K21" s="5" t="s">
        <v>373</v>
      </c>
      <c r="L21" s="5" t="s">
        <v>354</v>
      </c>
      <c r="M21" s="5" t="s">
        <v>157</v>
      </c>
      <c r="N21" s="5" t="s">
        <v>373</v>
      </c>
      <c r="O21" s="2"/>
    </row>
    <row r="22" ht="30.1" customHeight="1" spans="1:15" x14ac:dyDescent="0.25">
      <c r="A22" s="5" t="s">
        <v>972</v>
      </c>
      <c r="B22" s="2" t="s">
        <v>972</v>
      </c>
      <c r="C22" s="2" t="s">
        <v>950</v>
      </c>
      <c r="D22" s="2" t="s">
        <v>973</v>
      </c>
      <c r="E22" s="2" t="s">
        <v>249</v>
      </c>
      <c r="F22" s="5" t="s">
        <v>354</v>
      </c>
      <c r="G22" s="14" t="s">
        <v>157</v>
      </c>
      <c r="H22" s="2" t="s">
        <v>373</v>
      </c>
      <c r="I22" s="5" t="s">
        <v>354</v>
      </c>
      <c r="J22" s="5" t="s">
        <v>157</v>
      </c>
      <c r="K22" s="5" t="s">
        <v>373</v>
      </c>
      <c r="L22" s="5" t="s">
        <v>354</v>
      </c>
      <c r="M22" s="5" t="s">
        <v>157</v>
      </c>
      <c r="N22" s="5" t="s">
        <v>373</v>
      </c>
      <c r="O22" s="2"/>
    </row>
    <row r="23" ht="30.1" customHeight="1" spans="1:15" x14ac:dyDescent="0.25">
      <c r="A23" s="5" t="s">
        <v>974</v>
      </c>
      <c r="B23" s="2" t="s">
        <v>974</v>
      </c>
      <c r="C23" s="2" t="s">
        <v>950</v>
      </c>
      <c r="D23" s="2" t="s">
        <v>975</v>
      </c>
      <c r="E23" s="2" t="s">
        <v>249</v>
      </c>
      <c r="F23" s="5" t="s">
        <v>354</v>
      </c>
      <c r="G23" s="14" t="s">
        <v>157</v>
      </c>
      <c r="H23" s="2" t="s">
        <v>373</v>
      </c>
      <c r="I23" s="5" t="s">
        <v>354</v>
      </c>
      <c r="J23" s="5" t="s">
        <v>157</v>
      </c>
      <c r="K23" s="5" t="s">
        <v>373</v>
      </c>
      <c r="L23" s="5" t="s">
        <v>354</v>
      </c>
      <c r="M23" s="5" t="s">
        <v>157</v>
      </c>
      <c r="N23" s="5" t="s">
        <v>373</v>
      </c>
      <c r="O23" s="2"/>
    </row>
    <row r="24" ht="30.1" customHeight="1" spans="1:15" x14ac:dyDescent="0.25">
      <c r="A24" s="5" t="s">
        <v>976</v>
      </c>
      <c r="B24" s="2" t="s">
        <v>976</v>
      </c>
      <c r="C24" s="2" t="s">
        <v>950</v>
      </c>
      <c r="D24" s="2" t="s">
        <v>977</v>
      </c>
      <c r="E24" s="2" t="s">
        <v>249</v>
      </c>
      <c r="F24" s="5" t="s">
        <v>354</v>
      </c>
      <c r="G24" s="14" t="s">
        <v>157</v>
      </c>
      <c r="H24" s="2" t="s">
        <v>373</v>
      </c>
      <c r="I24" s="5" t="s">
        <v>354</v>
      </c>
      <c r="J24" s="5" t="s">
        <v>157</v>
      </c>
      <c r="K24" s="5" t="s">
        <v>373</v>
      </c>
      <c r="L24" s="5" t="s">
        <v>354</v>
      </c>
      <c r="M24" s="5" t="s">
        <v>157</v>
      </c>
      <c r="N24" s="5" t="s">
        <v>373</v>
      </c>
      <c r="O24" s="2"/>
    </row>
    <row r="25" ht="30.1" customHeight="1" spans="1:15" x14ac:dyDescent="0.25">
      <c r="A25" s="5" t="s">
        <v>978</v>
      </c>
      <c r="B25" s="2" t="s">
        <v>978</v>
      </c>
      <c r="C25" s="2" t="s">
        <v>950</v>
      </c>
      <c r="D25" s="2" t="s">
        <v>979</v>
      </c>
      <c r="E25" s="2" t="s">
        <v>249</v>
      </c>
      <c r="F25" s="5" t="s">
        <v>354</v>
      </c>
      <c r="G25" s="14" t="s">
        <v>157</v>
      </c>
      <c r="H25" s="2" t="s">
        <v>373</v>
      </c>
      <c r="I25" s="5" t="s">
        <v>354</v>
      </c>
      <c r="J25" s="5" t="s">
        <v>157</v>
      </c>
      <c r="K25" s="5" t="s">
        <v>373</v>
      </c>
      <c r="L25" s="5" t="s">
        <v>354</v>
      </c>
      <c r="M25" s="5" t="s">
        <v>157</v>
      </c>
      <c r="N25" s="5" t="s">
        <v>373</v>
      </c>
      <c r="O25" s="2"/>
    </row>
    <row r="26" ht="30.1" customHeight="1" spans="1:15" x14ac:dyDescent="0.25">
      <c r="A26" s="5" t="s">
        <v>980</v>
      </c>
      <c r="B26" s="2" t="s">
        <v>980</v>
      </c>
      <c r="C26" s="2" t="s">
        <v>950</v>
      </c>
      <c r="D26" s="2" t="s">
        <v>981</v>
      </c>
      <c r="E26" s="2" t="s">
        <v>249</v>
      </c>
      <c r="F26" s="5" t="s">
        <v>354</v>
      </c>
      <c r="G26" s="14" t="s">
        <v>157</v>
      </c>
      <c r="H26" s="2" t="s">
        <v>373</v>
      </c>
      <c r="I26" s="5" t="s">
        <v>354</v>
      </c>
      <c r="J26" s="5" t="s">
        <v>157</v>
      </c>
      <c r="K26" s="5" t="s">
        <v>373</v>
      </c>
      <c r="L26" s="5" t="s">
        <v>354</v>
      </c>
      <c r="M26" s="5" t="s">
        <v>157</v>
      </c>
      <c r="N26" s="5" t="s">
        <v>373</v>
      </c>
      <c r="O26" s="2"/>
    </row>
    <row r="27" ht="30.1" customHeight="1" spans="1:15" x14ac:dyDescent="0.25">
      <c r="A27" s="5" t="s">
        <v>982</v>
      </c>
      <c r="B27" s="2" t="s">
        <v>982</v>
      </c>
      <c r="C27" s="2" t="s">
        <v>950</v>
      </c>
      <c r="D27" s="2" t="s">
        <v>983</v>
      </c>
      <c r="E27" s="2" t="s">
        <v>249</v>
      </c>
      <c r="F27" s="5" t="s">
        <v>354</v>
      </c>
      <c r="G27" s="14" t="s">
        <v>157</v>
      </c>
      <c r="H27" s="2" t="s">
        <v>373</v>
      </c>
      <c r="I27" s="5" t="s">
        <v>354</v>
      </c>
      <c r="J27" s="5" t="s">
        <v>157</v>
      </c>
      <c r="K27" s="5" t="s">
        <v>373</v>
      </c>
      <c r="L27" s="5" t="s">
        <v>354</v>
      </c>
      <c r="M27" s="5" t="s">
        <v>157</v>
      </c>
      <c r="N27" s="5" t="s">
        <v>373</v>
      </c>
      <c r="O27" s="2"/>
    </row>
    <row r="28" ht="30.1" customHeight="1" spans="1:15" x14ac:dyDescent="0.25">
      <c r="A28" s="5" t="s">
        <v>984</v>
      </c>
      <c r="B28" s="2" t="s">
        <v>984</v>
      </c>
      <c r="C28" s="2" t="s">
        <v>950</v>
      </c>
      <c r="D28" s="2" t="s">
        <v>985</v>
      </c>
      <c r="E28" s="2" t="s">
        <v>249</v>
      </c>
      <c r="F28" s="5" t="s">
        <v>354</v>
      </c>
      <c r="G28" s="14" t="s">
        <v>157</v>
      </c>
      <c r="H28" s="2" t="s">
        <v>373</v>
      </c>
      <c r="I28" s="5" t="s">
        <v>354</v>
      </c>
      <c r="J28" s="5" t="s">
        <v>157</v>
      </c>
      <c r="K28" s="5" t="s">
        <v>373</v>
      </c>
      <c r="L28" s="5" t="s">
        <v>354</v>
      </c>
      <c r="M28" s="5" t="s">
        <v>157</v>
      </c>
      <c r="N28" s="5" t="s">
        <v>373</v>
      </c>
      <c r="O28" s="2"/>
    </row>
    <row r="29" ht="30.1" customHeight="1" spans="1:15" x14ac:dyDescent="0.25">
      <c r="A29" s="5" t="s">
        <v>986</v>
      </c>
      <c r="B29" s="2" t="s">
        <v>986</v>
      </c>
      <c r="C29" s="2" t="s">
        <v>950</v>
      </c>
      <c r="D29" s="2" t="s">
        <v>987</v>
      </c>
      <c r="E29" s="2" t="s">
        <v>249</v>
      </c>
      <c r="F29" s="5" t="s">
        <v>354</v>
      </c>
      <c r="G29" s="14" t="s">
        <v>157</v>
      </c>
      <c r="H29" s="2" t="s">
        <v>373</v>
      </c>
      <c r="I29" s="5" t="s">
        <v>354</v>
      </c>
      <c r="J29" s="5" t="s">
        <v>157</v>
      </c>
      <c r="K29" s="5" t="s">
        <v>373</v>
      </c>
      <c r="L29" s="5" t="s">
        <v>354</v>
      </c>
      <c r="M29" s="5" t="s">
        <v>157</v>
      </c>
      <c r="N29" s="5" t="s">
        <v>373</v>
      </c>
      <c r="O29" s="2"/>
    </row>
    <row r="30" ht="30.1" customHeight="1" spans="1:15" x14ac:dyDescent="0.25">
      <c r="A30" s="5" t="s">
        <v>988</v>
      </c>
      <c r="B30" s="2" t="s">
        <v>988</v>
      </c>
      <c r="C30" s="2" t="s">
        <v>950</v>
      </c>
      <c r="D30" s="2" t="s">
        <v>989</v>
      </c>
      <c r="E30" s="2" t="s">
        <v>249</v>
      </c>
      <c r="F30" s="5" t="s">
        <v>354</v>
      </c>
      <c r="G30" s="14" t="s">
        <v>157</v>
      </c>
      <c r="H30" s="2" t="s">
        <v>373</v>
      </c>
      <c r="I30" s="5" t="s">
        <v>354</v>
      </c>
      <c r="J30" s="5" t="s">
        <v>157</v>
      </c>
      <c r="K30" s="5" t="s">
        <v>373</v>
      </c>
      <c r="L30" s="5" t="s">
        <v>354</v>
      </c>
      <c r="M30" s="5" t="s">
        <v>157</v>
      </c>
      <c r="N30" s="5" t="s">
        <v>373</v>
      </c>
      <c r="O30" s="2"/>
    </row>
    <row r="31" ht="30.1" customHeight="1" spans="1:15" x14ac:dyDescent="0.25">
      <c r="A31" s="5" t="s">
        <v>990</v>
      </c>
      <c r="B31" s="2" t="s">
        <v>990</v>
      </c>
      <c r="C31" s="2" t="s">
        <v>950</v>
      </c>
      <c r="D31" s="2" t="s">
        <v>991</v>
      </c>
      <c r="E31" s="2" t="s">
        <v>249</v>
      </c>
      <c r="F31" s="5" t="s">
        <v>354</v>
      </c>
      <c r="G31" s="14" t="s">
        <v>157</v>
      </c>
      <c r="H31" s="2" t="s">
        <v>373</v>
      </c>
      <c r="I31" s="5" t="s">
        <v>354</v>
      </c>
      <c r="J31" s="5" t="s">
        <v>157</v>
      </c>
      <c r="K31" s="5" t="s">
        <v>373</v>
      </c>
      <c r="L31" s="5" t="s">
        <v>354</v>
      </c>
      <c r="M31" s="5" t="s">
        <v>157</v>
      </c>
      <c r="N31" s="5" t="s">
        <v>373</v>
      </c>
      <c r="O31" s="2"/>
    </row>
    <row r="32" ht="30.1" customHeight="1" spans="1:15" x14ac:dyDescent="0.25">
      <c r="A32" s="5" t="s">
        <v>992</v>
      </c>
      <c r="B32" s="2" t="s">
        <v>992</v>
      </c>
      <c r="C32" s="2" t="s">
        <v>950</v>
      </c>
      <c r="D32" s="2" t="s">
        <v>993</v>
      </c>
      <c r="E32" s="2" t="s">
        <v>249</v>
      </c>
      <c r="F32" s="5" t="s">
        <v>354</v>
      </c>
      <c r="G32" s="14" t="s">
        <v>157</v>
      </c>
      <c r="H32" s="2" t="s">
        <v>373</v>
      </c>
      <c r="I32" s="5" t="s">
        <v>354</v>
      </c>
      <c r="J32" s="5" t="s">
        <v>157</v>
      </c>
      <c r="K32" s="5" t="s">
        <v>373</v>
      </c>
      <c r="L32" s="5" t="s">
        <v>354</v>
      </c>
      <c r="M32" s="5" t="s">
        <v>157</v>
      </c>
      <c r="N32" s="5" t="s">
        <v>373</v>
      </c>
      <c r="O32" s="2"/>
    </row>
    <row r="33" ht="30.1" customHeight="1" spans="1:15" x14ac:dyDescent="0.25">
      <c r="A33" s="5" t="s">
        <v>994</v>
      </c>
      <c r="B33" s="2" t="s">
        <v>994</v>
      </c>
      <c r="C33" s="2" t="s">
        <v>950</v>
      </c>
      <c r="D33" s="2" t="s">
        <v>995</v>
      </c>
      <c r="E33" s="2" t="s">
        <v>249</v>
      </c>
      <c r="F33" s="5" t="s">
        <v>354</v>
      </c>
      <c r="G33" s="14" t="s">
        <v>157</v>
      </c>
      <c r="H33" s="2" t="s">
        <v>373</v>
      </c>
      <c r="I33" s="5" t="s">
        <v>354</v>
      </c>
      <c r="J33" s="5" t="s">
        <v>157</v>
      </c>
      <c r="K33" s="5" t="s">
        <v>373</v>
      </c>
      <c r="L33" s="5" t="s">
        <v>354</v>
      </c>
      <c r="M33" s="5" t="s">
        <v>157</v>
      </c>
      <c r="N33" s="5" t="s">
        <v>373</v>
      </c>
      <c r="O33" s="2"/>
    </row>
    <row r="34" ht="30.1" customHeight="1" spans="1:15" x14ac:dyDescent="0.25">
      <c r="A34" s="5" t="s">
        <v>996</v>
      </c>
      <c r="B34" s="2" t="s">
        <v>996</v>
      </c>
      <c r="C34" s="2" t="s">
        <v>950</v>
      </c>
      <c r="D34" s="2" t="s">
        <v>997</v>
      </c>
      <c r="E34" s="2" t="s">
        <v>249</v>
      </c>
      <c r="F34" s="5" t="s">
        <v>354</v>
      </c>
      <c r="G34" s="14" t="s">
        <v>157</v>
      </c>
      <c r="H34" s="2" t="s">
        <v>373</v>
      </c>
      <c r="I34" s="5" t="s">
        <v>354</v>
      </c>
      <c r="J34" s="5" t="s">
        <v>157</v>
      </c>
      <c r="K34" s="5" t="s">
        <v>373</v>
      </c>
      <c r="L34" s="5" t="s">
        <v>354</v>
      </c>
      <c r="M34" s="5" t="s">
        <v>157</v>
      </c>
      <c r="N34" s="5" t="s">
        <v>373</v>
      </c>
      <c r="O34" s="2"/>
    </row>
    <row r="35" ht="30.1" customHeight="1" spans="1:15" x14ac:dyDescent="0.25">
      <c r="A35" s="5" t="s">
        <v>998</v>
      </c>
      <c r="B35" s="2" t="s">
        <v>998</v>
      </c>
      <c r="C35" s="2" t="s">
        <v>950</v>
      </c>
      <c r="D35" s="2" t="s">
        <v>999</v>
      </c>
      <c r="E35" s="2" t="s">
        <v>249</v>
      </c>
      <c r="F35" s="5" t="s">
        <v>354</v>
      </c>
      <c r="G35" s="14" t="s">
        <v>157</v>
      </c>
      <c r="H35" s="2" t="s">
        <v>373</v>
      </c>
      <c r="I35" s="5" t="s">
        <v>354</v>
      </c>
      <c r="J35" s="5" t="s">
        <v>157</v>
      </c>
      <c r="K35" s="5" t="s">
        <v>373</v>
      </c>
      <c r="L35" s="5" t="s">
        <v>354</v>
      </c>
      <c r="M35" s="5" t="s">
        <v>157</v>
      </c>
      <c r="N35" s="5" t="s">
        <v>373</v>
      </c>
      <c r="O35" s="2"/>
    </row>
    <row r="36" ht="30.1" customHeight="1" spans="1:15" x14ac:dyDescent="0.25">
      <c r="A36" s="5" t="s">
        <v>1000</v>
      </c>
      <c r="B36" s="2" t="s">
        <v>1000</v>
      </c>
      <c r="C36" s="2" t="s">
        <v>950</v>
      </c>
      <c r="D36" s="2" t="s">
        <v>1001</v>
      </c>
      <c r="E36" s="2" t="s">
        <v>249</v>
      </c>
      <c r="F36" s="5" t="s">
        <v>354</v>
      </c>
      <c r="G36" s="14" t="s">
        <v>157</v>
      </c>
      <c r="H36" s="2" t="s">
        <v>373</v>
      </c>
      <c r="I36" s="5" t="s">
        <v>354</v>
      </c>
      <c r="J36" s="5" t="s">
        <v>157</v>
      </c>
      <c r="K36" s="5" t="s">
        <v>373</v>
      </c>
      <c r="L36" s="5" t="s">
        <v>354</v>
      </c>
      <c r="M36" s="5" t="s">
        <v>157</v>
      </c>
      <c r="N36" s="5" t="s">
        <v>373</v>
      </c>
      <c r="O36" s="2"/>
    </row>
    <row r="37" ht="30.1" customHeight="1" spans="1:15" x14ac:dyDescent="0.25">
      <c r="A37" s="5" t="s">
        <v>1002</v>
      </c>
      <c r="B37" s="2" t="s">
        <v>1002</v>
      </c>
      <c r="C37" s="2" t="s">
        <v>950</v>
      </c>
      <c r="D37" s="2" t="s">
        <v>1003</v>
      </c>
      <c r="E37" s="2" t="s">
        <v>249</v>
      </c>
      <c r="F37" s="5" t="s">
        <v>354</v>
      </c>
      <c r="G37" s="14" t="s">
        <v>157</v>
      </c>
      <c r="H37" s="2" t="s">
        <v>373</v>
      </c>
      <c r="I37" s="5" t="s">
        <v>354</v>
      </c>
      <c r="J37" s="5" t="s">
        <v>157</v>
      </c>
      <c r="K37" s="5" t="s">
        <v>373</v>
      </c>
      <c r="L37" s="5" t="s">
        <v>354</v>
      </c>
      <c r="M37" s="5" t="s">
        <v>157</v>
      </c>
      <c r="N37" s="5" t="s">
        <v>373</v>
      </c>
      <c r="O37" s="2"/>
    </row>
    <row r="38" ht="30.1" customHeight="1" spans="1:15" x14ac:dyDescent="0.25">
      <c r="A38" s="5" t="s">
        <v>1004</v>
      </c>
      <c r="B38" s="2" t="s">
        <v>1004</v>
      </c>
      <c r="C38" s="2" t="s">
        <v>950</v>
      </c>
      <c r="D38" s="2" t="s">
        <v>1005</v>
      </c>
      <c r="E38" s="2" t="s">
        <v>249</v>
      </c>
      <c r="F38" s="5" t="s">
        <v>354</v>
      </c>
      <c r="G38" s="14" t="s">
        <v>157</v>
      </c>
      <c r="H38" s="2" t="s">
        <v>373</v>
      </c>
      <c r="I38" s="5" t="s">
        <v>354</v>
      </c>
      <c r="J38" s="5" t="s">
        <v>157</v>
      </c>
      <c r="K38" s="5" t="s">
        <v>373</v>
      </c>
      <c r="L38" s="5" t="s">
        <v>354</v>
      </c>
      <c r="M38" s="5" t="s">
        <v>157</v>
      </c>
      <c r="N38" s="5" t="s">
        <v>373</v>
      </c>
      <c r="O38" s="2"/>
    </row>
    <row r="39" ht="30.1" customHeight="1" spans="1:15" x14ac:dyDescent="0.25">
      <c r="A39" s="5" t="s">
        <v>1006</v>
      </c>
      <c r="B39" s="2" t="s">
        <v>1006</v>
      </c>
      <c r="C39" s="2" t="s">
        <v>950</v>
      </c>
      <c r="D39" s="2" t="s">
        <v>1007</v>
      </c>
      <c r="E39" s="2" t="s">
        <v>249</v>
      </c>
      <c r="F39" s="5" t="s">
        <v>354</v>
      </c>
      <c r="G39" s="14" t="s">
        <v>157</v>
      </c>
      <c r="H39" s="2" t="s">
        <v>373</v>
      </c>
      <c r="I39" s="5" t="s">
        <v>354</v>
      </c>
      <c r="J39" s="5" t="s">
        <v>157</v>
      </c>
      <c r="K39" s="5" t="s">
        <v>373</v>
      </c>
      <c r="L39" s="5" t="s">
        <v>354</v>
      </c>
      <c r="M39" s="5" t="s">
        <v>157</v>
      </c>
      <c r="N39" s="5" t="s">
        <v>373</v>
      </c>
      <c r="O39" s="2"/>
    </row>
    <row r="40" ht="30.1" customHeight="1" spans="1:15" x14ac:dyDescent="0.25">
      <c r="A40" s="5" t="s">
        <v>1008</v>
      </c>
      <c r="B40" s="2" t="s">
        <v>1008</v>
      </c>
      <c r="C40" s="2" t="s">
        <v>950</v>
      </c>
      <c r="D40" s="2" t="s">
        <v>1009</v>
      </c>
      <c r="E40" s="2" t="s">
        <v>249</v>
      </c>
      <c r="F40" s="5" t="s">
        <v>354</v>
      </c>
      <c r="G40" s="14" t="s">
        <v>157</v>
      </c>
      <c r="H40" s="2" t="s">
        <v>373</v>
      </c>
      <c r="I40" s="5" t="s">
        <v>354</v>
      </c>
      <c r="J40" s="5" t="s">
        <v>157</v>
      </c>
      <c r="K40" s="5" t="s">
        <v>373</v>
      </c>
      <c r="L40" s="5" t="s">
        <v>354</v>
      </c>
      <c r="M40" s="5" t="s">
        <v>157</v>
      </c>
      <c r="N40" s="5" t="s">
        <v>373</v>
      </c>
      <c r="O40" s="2"/>
    </row>
    <row r="41" ht="30.1" customHeight="1" spans="1:15" x14ac:dyDescent="0.25">
      <c r="A41" s="5" t="s">
        <v>1010</v>
      </c>
      <c r="B41" s="2" t="s">
        <v>1010</v>
      </c>
      <c r="C41" s="2" t="s">
        <v>950</v>
      </c>
      <c r="D41" s="2" t="s">
        <v>1011</v>
      </c>
      <c r="E41" s="2" t="s">
        <v>249</v>
      </c>
      <c r="F41" s="5" t="s">
        <v>354</v>
      </c>
      <c r="G41" s="14" t="s">
        <v>157</v>
      </c>
      <c r="H41" s="2" t="s">
        <v>373</v>
      </c>
      <c r="I41" s="5" t="s">
        <v>354</v>
      </c>
      <c r="J41" s="5" t="s">
        <v>157</v>
      </c>
      <c r="K41" s="5" t="s">
        <v>373</v>
      </c>
      <c r="L41" s="5" t="s">
        <v>354</v>
      </c>
      <c r="M41" s="5" t="s">
        <v>157</v>
      </c>
      <c r="N41" s="5" t="s">
        <v>373</v>
      </c>
      <c r="O41" s="2"/>
    </row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  <row r="51" spans="1:15" x14ac:dyDescent="0.25"/>
    <row r="52" spans="1:15" x14ac:dyDescent="0.25"/>
    <row r="53" spans="1:15" x14ac:dyDescent="0.25"/>
    <row r="54" spans="1:15" x14ac:dyDescent="0.25"/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250</v>
      </c>
      <c r="C1" s="8"/>
      <c r="D1" s="8"/>
    </row>
    <row r="2" spans="1:4" x14ac:dyDescent="0.25">
      <c r="A2" s="9" t="s">
        <v>351</v>
      </c>
      <c r="B2" s="10" t="s">
        <v>1012</v>
      </c>
      <c r="C2" s="10"/>
      <c r="D2" s="10"/>
    </row>
    <row r="3" spans="1:4" x14ac:dyDescent="0.25">
      <c r="A3" s="9" t="s">
        <v>352</v>
      </c>
      <c r="B3" s="11">
        <f>SUM(B5:D5)</f>
        <v>40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40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40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40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5.15" customHeight="1" spans="1:15" x14ac:dyDescent="0.25">
      <c r="A11" s="5" t="s">
        <v>1013</v>
      </c>
      <c r="B11" s="2" t="s">
        <v>1013</v>
      </c>
      <c r="C11" s="2" t="s">
        <v>1014</v>
      </c>
      <c r="D11" s="2" t="s">
        <v>1015</v>
      </c>
      <c r="E11" s="2" t="s">
        <v>249</v>
      </c>
      <c r="F11" s="5" t="s">
        <v>354</v>
      </c>
      <c r="G11" s="14" t="s">
        <v>157</v>
      </c>
      <c r="H11" s="2" t="s">
        <v>373</v>
      </c>
      <c r="I11" s="5" t="s">
        <v>354</v>
      </c>
      <c r="J11" s="5" t="s">
        <v>157</v>
      </c>
      <c r="K11" s="5" t="s">
        <v>373</v>
      </c>
      <c r="L11" s="5" t="s">
        <v>354</v>
      </c>
      <c r="M11" s="5" t="s">
        <v>157</v>
      </c>
      <c r="N11" s="5" t="s">
        <v>373</v>
      </c>
      <c r="O11" s="2"/>
    </row>
    <row r="12" ht="45.15" customHeight="1" spans="1:15" x14ac:dyDescent="0.25">
      <c r="A12" s="5" t="s">
        <v>1016</v>
      </c>
      <c r="B12" s="2" t="s">
        <v>1016</v>
      </c>
      <c r="C12" s="2" t="s">
        <v>1014</v>
      </c>
      <c r="D12" s="2" t="s">
        <v>1017</v>
      </c>
      <c r="E12" s="2" t="s">
        <v>249</v>
      </c>
      <c r="F12" s="5" t="s">
        <v>354</v>
      </c>
      <c r="G12" s="14" t="s">
        <v>157</v>
      </c>
      <c r="H12" s="2" t="s">
        <v>373</v>
      </c>
      <c r="I12" s="5" t="s">
        <v>354</v>
      </c>
      <c r="J12" s="5" t="s">
        <v>157</v>
      </c>
      <c r="K12" s="5" t="s">
        <v>373</v>
      </c>
      <c r="L12" s="5" t="s">
        <v>354</v>
      </c>
      <c r="M12" s="5" t="s">
        <v>157</v>
      </c>
      <c r="N12" s="5" t="s">
        <v>373</v>
      </c>
      <c r="O12" s="2"/>
    </row>
    <row r="13" ht="45.15" customHeight="1" spans="1:15" x14ac:dyDescent="0.25">
      <c r="A13" s="5" t="s">
        <v>1018</v>
      </c>
      <c r="B13" s="2" t="s">
        <v>1018</v>
      </c>
      <c r="C13" s="2" t="s">
        <v>1014</v>
      </c>
      <c r="D13" s="2" t="s">
        <v>1019</v>
      </c>
      <c r="E13" s="2" t="s">
        <v>249</v>
      </c>
      <c r="F13" s="5" t="s">
        <v>354</v>
      </c>
      <c r="G13" s="14" t="s">
        <v>157</v>
      </c>
      <c r="H13" s="2" t="s">
        <v>373</v>
      </c>
      <c r="I13" s="5" t="s">
        <v>354</v>
      </c>
      <c r="J13" s="5" t="s">
        <v>157</v>
      </c>
      <c r="K13" s="5" t="s">
        <v>373</v>
      </c>
      <c r="L13" s="5" t="s">
        <v>354</v>
      </c>
      <c r="M13" s="5" t="s">
        <v>157</v>
      </c>
      <c r="N13" s="5" t="s">
        <v>373</v>
      </c>
      <c r="O13" s="2"/>
    </row>
    <row r="14" ht="45.15" customHeight="1" spans="1:15" x14ac:dyDescent="0.25">
      <c r="A14" s="5" t="s">
        <v>1020</v>
      </c>
      <c r="B14" s="2" t="s">
        <v>1020</v>
      </c>
      <c r="C14" s="2" t="s">
        <v>1014</v>
      </c>
      <c r="D14" s="2" t="s">
        <v>1021</v>
      </c>
      <c r="E14" s="2" t="s">
        <v>249</v>
      </c>
      <c r="F14" s="5" t="s">
        <v>354</v>
      </c>
      <c r="G14" s="14" t="s">
        <v>157</v>
      </c>
      <c r="H14" s="2" t="s">
        <v>373</v>
      </c>
      <c r="I14" s="5" t="s">
        <v>354</v>
      </c>
      <c r="J14" s="5" t="s">
        <v>157</v>
      </c>
      <c r="K14" s="5" t="s">
        <v>373</v>
      </c>
      <c r="L14" s="5" t="s">
        <v>354</v>
      </c>
      <c r="M14" s="5" t="s">
        <v>157</v>
      </c>
      <c r="N14" s="5" t="s">
        <v>373</v>
      </c>
      <c r="O14" s="2"/>
    </row>
    <row r="15" ht="45.15" customHeight="1" spans="1:15" x14ac:dyDescent="0.25">
      <c r="A15" s="5" t="s">
        <v>1022</v>
      </c>
      <c r="B15" s="2" t="s">
        <v>1022</v>
      </c>
      <c r="C15" s="2" t="s">
        <v>1014</v>
      </c>
      <c r="D15" s="2" t="s">
        <v>1023</v>
      </c>
      <c r="E15" s="2" t="s">
        <v>249</v>
      </c>
      <c r="F15" s="5" t="s">
        <v>354</v>
      </c>
      <c r="G15" s="14" t="s">
        <v>157</v>
      </c>
      <c r="H15" s="2" t="s">
        <v>373</v>
      </c>
      <c r="I15" s="5" t="s">
        <v>354</v>
      </c>
      <c r="J15" s="5" t="s">
        <v>157</v>
      </c>
      <c r="K15" s="5" t="s">
        <v>373</v>
      </c>
      <c r="L15" s="5" t="s">
        <v>354</v>
      </c>
      <c r="M15" s="5" t="s">
        <v>157</v>
      </c>
      <c r="N15" s="5" t="s">
        <v>373</v>
      </c>
      <c r="O15" s="2"/>
    </row>
    <row r="16" ht="45.15" customHeight="1" spans="1:15" x14ac:dyDescent="0.25">
      <c r="A16" s="5" t="s">
        <v>1024</v>
      </c>
      <c r="B16" s="2" t="s">
        <v>1024</v>
      </c>
      <c r="C16" s="2" t="s">
        <v>1014</v>
      </c>
      <c r="D16" s="2" t="s">
        <v>1025</v>
      </c>
      <c r="E16" s="2" t="s">
        <v>249</v>
      </c>
      <c r="F16" s="5" t="s">
        <v>354</v>
      </c>
      <c r="G16" s="14" t="s">
        <v>157</v>
      </c>
      <c r="H16" s="2" t="s">
        <v>373</v>
      </c>
      <c r="I16" s="5" t="s">
        <v>354</v>
      </c>
      <c r="J16" s="5" t="s">
        <v>157</v>
      </c>
      <c r="K16" s="5" t="s">
        <v>373</v>
      </c>
      <c r="L16" s="5" t="s">
        <v>354</v>
      </c>
      <c r="M16" s="5" t="s">
        <v>157</v>
      </c>
      <c r="N16" s="5" t="s">
        <v>373</v>
      </c>
      <c r="O16" s="2"/>
    </row>
    <row r="17" ht="45.15" customHeight="1" spans="1:15" x14ac:dyDescent="0.25">
      <c r="A17" s="5" t="s">
        <v>1026</v>
      </c>
      <c r="B17" s="2" t="s">
        <v>1026</v>
      </c>
      <c r="C17" s="2" t="s">
        <v>1014</v>
      </c>
      <c r="D17" s="2" t="s">
        <v>1027</v>
      </c>
      <c r="E17" s="2" t="s">
        <v>249</v>
      </c>
      <c r="F17" s="5" t="s">
        <v>354</v>
      </c>
      <c r="G17" s="14" t="s">
        <v>157</v>
      </c>
      <c r="H17" s="2" t="s">
        <v>373</v>
      </c>
      <c r="I17" s="5" t="s">
        <v>354</v>
      </c>
      <c r="J17" s="5" t="s">
        <v>157</v>
      </c>
      <c r="K17" s="5" t="s">
        <v>373</v>
      </c>
      <c r="L17" s="5" t="s">
        <v>354</v>
      </c>
      <c r="M17" s="5" t="s">
        <v>157</v>
      </c>
      <c r="N17" s="5" t="s">
        <v>373</v>
      </c>
      <c r="O17" s="2"/>
    </row>
    <row r="18" ht="45.15" customHeight="1" spans="1:15" x14ac:dyDescent="0.25">
      <c r="A18" s="5" t="s">
        <v>1028</v>
      </c>
      <c r="B18" s="2" t="s">
        <v>1028</v>
      </c>
      <c r="C18" s="2" t="s">
        <v>1014</v>
      </c>
      <c r="D18" s="2" t="s">
        <v>1029</v>
      </c>
      <c r="E18" s="2" t="s">
        <v>249</v>
      </c>
      <c r="F18" s="5" t="s">
        <v>354</v>
      </c>
      <c r="G18" s="14" t="s">
        <v>157</v>
      </c>
      <c r="H18" s="2" t="s">
        <v>373</v>
      </c>
      <c r="I18" s="5" t="s">
        <v>354</v>
      </c>
      <c r="J18" s="5" t="s">
        <v>157</v>
      </c>
      <c r="K18" s="5" t="s">
        <v>373</v>
      </c>
      <c r="L18" s="5" t="s">
        <v>354</v>
      </c>
      <c r="M18" s="5" t="s">
        <v>157</v>
      </c>
      <c r="N18" s="5" t="s">
        <v>373</v>
      </c>
      <c r="O18" s="2"/>
    </row>
    <row r="19" ht="45.15" customHeight="1" spans="1:15" x14ac:dyDescent="0.25">
      <c r="A19" s="5" t="s">
        <v>1030</v>
      </c>
      <c r="B19" s="2" t="s">
        <v>1030</v>
      </c>
      <c r="C19" s="2" t="s">
        <v>1014</v>
      </c>
      <c r="D19" s="2" t="s">
        <v>1031</v>
      </c>
      <c r="E19" s="2" t="s">
        <v>249</v>
      </c>
      <c r="F19" s="5" t="s">
        <v>354</v>
      </c>
      <c r="G19" s="14" t="s">
        <v>157</v>
      </c>
      <c r="H19" s="2" t="s">
        <v>373</v>
      </c>
      <c r="I19" s="5" t="s">
        <v>354</v>
      </c>
      <c r="J19" s="5" t="s">
        <v>157</v>
      </c>
      <c r="K19" s="5" t="s">
        <v>373</v>
      </c>
      <c r="L19" s="5" t="s">
        <v>354</v>
      </c>
      <c r="M19" s="5" t="s">
        <v>157</v>
      </c>
      <c r="N19" s="5" t="s">
        <v>373</v>
      </c>
      <c r="O19" s="2"/>
    </row>
    <row r="20" ht="45.15" customHeight="1" spans="1:15" x14ac:dyDescent="0.25">
      <c r="A20" s="5" t="s">
        <v>1032</v>
      </c>
      <c r="B20" s="2" t="s">
        <v>1032</v>
      </c>
      <c r="C20" s="2" t="s">
        <v>1014</v>
      </c>
      <c r="D20" s="2" t="s">
        <v>1033</v>
      </c>
      <c r="E20" s="2" t="s">
        <v>249</v>
      </c>
      <c r="F20" s="5" t="s">
        <v>354</v>
      </c>
      <c r="G20" s="14" t="s">
        <v>157</v>
      </c>
      <c r="H20" s="2" t="s">
        <v>373</v>
      </c>
      <c r="I20" s="5" t="s">
        <v>354</v>
      </c>
      <c r="J20" s="5" t="s">
        <v>157</v>
      </c>
      <c r="K20" s="5" t="s">
        <v>373</v>
      </c>
      <c r="L20" s="5" t="s">
        <v>354</v>
      </c>
      <c r="M20" s="5" t="s">
        <v>157</v>
      </c>
      <c r="N20" s="5" t="s">
        <v>373</v>
      </c>
      <c r="O20" s="2"/>
    </row>
    <row r="21" ht="45.15" customHeight="1" spans="1:15" x14ac:dyDescent="0.25">
      <c r="A21" s="5" t="s">
        <v>1034</v>
      </c>
      <c r="B21" s="2" t="s">
        <v>1034</v>
      </c>
      <c r="C21" s="2" t="s">
        <v>1014</v>
      </c>
      <c r="D21" s="2" t="s">
        <v>1035</v>
      </c>
      <c r="E21" s="2" t="s">
        <v>249</v>
      </c>
      <c r="F21" s="5" t="s">
        <v>354</v>
      </c>
      <c r="G21" s="14" t="s">
        <v>157</v>
      </c>
      <c r="H21" s="2" t="s">
        <v>373</v>
      </c>
      <c r="I21" s="5" t="s">
        <v>354</v>
      </c>
      <c r="J21" s="5" t="s">
        <v>157</v>
      </c>
      <c r="K21" s="5" t="s">
        <v>373</v>
      </c>
      <c r="L21" s="5" t="s">
        <v>354</v>
      </c>
      <c r="M21" s="5" t="s">
        <v>157</v>
      </c>
      <c r="N21" s="5" t="s">
        <v>373</v>
      </c>
      <c r="O21" s="2"/>
    </row>
    <row r="22" ht="45.15" customHeight="1" spans="1:15" x14ac:dyDescent="0.25">
      <c r="A22" s="5" t="s">
        <v>1036</v>
      </c>
      <c r="B22" s="2" t="s">
        <v>1036</v>
      </c>
      <c r="C22" s="2" t="s">
        <v>1014</v>
      </c>
      <c r="D22" s="2" t="s">
        <v>1037</v>
      </c>
      <c r="E22" s="2" t="s">
        <v>249</v>
      </c>
      <c r="F22" s="5" t="s">
        <v>354</v>
      </c>
      <c r="G22" s="14" t="s">
        <v>157</v>
      </c>
      <c r="H22" s="2" t="s">
        <v>373</v>
      </c>
      <c r="I22" s="5" t="s">
        <v>354</v>
      </c>
      <c r="J22" s="5" t="s">
        <v>157</v>
      </c>
      <c r="K22" s="5" t="s">
        <v>373</v>
      </c>
      <c r="L22" s="5" t="s">
        <v>354</v>
      </c>
      <c r="M22" s="5" t="s">
        <v>157</v>
      </c>
      <c r="N22" s="5" t="s">
        <v>373</v>
      </c>
      <c r="O22" s="2"/>
    </row>
    <row r="23" ht="45.15" customHeight="1" spans="1:15" x14ac:dyDescent="0.25">
      <c r="A23" s="5" t="s">
        <v>1038</v>
      </c>
      <c r="B23" s="2" t="s">
        <v>1038</v>
      </c>
      <c r="C23" s="2" t="s">
        <v>1014</v>
      </c>
      <c r="D23" s="2" t="s">
        <v>1039</v>
      </c>
      <c r="E23" s="2" t="s">
        <v>249</v>
      </c>
      <c r="F23" s="5" t="s">
        <v>354</v>
      </c>
      <c r="G23" s="14" t="s">
        <v>157</v>
      </c>
      <c r="H23" s="2" t="s">
        <v>373</v>
      </c>
      <c r="I23" s="5" t="s">
        <v>354</v>
      </c>
      <c r="J23" s="5" t="s">
        <v>157</v>
      </c>
      <c r="K23" s="5" t="s">
        <v>373</v>
      </c>
      <c r="L23" s="5" t="s">
        <v>354</v>
      </c>
      <c r="M23" s="5" t="s">
        <v>157</v>
      </c>
      <c r="N23" s="5" t="s">
        <v>373</v>
      </c>
      <c r="O23" s="2"/>
    </row>
    <row r="24" ht="45.15" customHeight="1" spans="1:15" x14ac:dyDescent="0.25">
      <c r="A24" s="5" t="s">
        <v>1040</v>
      </c>
      <c r="B24" s="2" t="s">
        <v>1040</v>
      </c>
      <c r="C24" s="2" t="s">
        <v>1014</v>
      </c>
      <c r="D24" s="2" t="s">
        <v>1041</v>
      </c>
      <c r="E24" s="2" t="s">
        <v>249</v>
      </c>
      <c r="F24" s="5" t="s">
        <v>354</v>
      </c>
      <c r="G24" s="14" t="s">
        <v>157</v>
      </c>
      <c r="H24" s="2" t="s">
        <v>373</v>
      </c>
      <c r="I24" s="5" t="s">
        <v>354</v>
      </c>
      <c r="J24" s="5" t="s">
        <v>157</v>
      </c>
      <c r="K24" s="5" t="s">
        <v>373</v>
      </c>
      <c r="L24" s="5" t="s">
        <v>354</v>
      </c>
      <c r="M24" s="5" t="s">
        <v>157</v>
      </c>
      <c r="N24" s="5" t="s">
        <v>373</v>
      </c>
      <c r="O24" s="2"/>
    </row>
    <row r="25" ht="45.15" customHeight="1" spans="1:15" x14ac:dyDescent="0.25">
      <c r="A25" s="5" t="s">
        <v>1042</v>
      </c>
      <c r="B25" s="2" t="s">
        <v>1042</v>
      </c>
      <c r="C25" s="2" t="s">
        <v>1014</v>
      </c>
      <c r="D25" s="2" t="s">
        <v>1043</v>
      </c>
      <c r="E25" s="2" t="s">
        <v>249</v>
      </c>
      <c r="F25" s="5" t="s">
        <v>354</v>
      </c>
      <c r="G25" s="14" t="s">
        <v>157</v>
      </c>
      <c r="H25" s="2" t="s">
        <v>373</v>
      </c>
      <c r="I25" s="5" t="s">
        <v>354</v>
      </c>
      <c r="J25" s="5" t="s">
        <v>157</v>
      </c>
      <c r="K25" s="5" t="s">
        <v>373</v>
      </c>
      <c r="L25" s="5" t="s">
        <v>354</v>
      </c>
      <c r="M25" s="5" t="s">
        <v>157</v>
      </c>
      <c r="N25" s="5" t="s">
        <v>373</v>
      </c>
      <c r="O25" s="2"/>
    </row>
    <row r="26" ht="45.15" customHeight="1" spans="1:15" x14ac:dyDescent="0.25">
      <c r="A26" s="5" t="s">
        <v>1044</v>
      </c>
      <c r="B26" s="2" t="s">
        <v>1044</v>
      </c>
      <c r="C26" s="2" t="s">
        <v>1014</v>
      </c>
      <c r="D26" s="2" t="s">
        <v>1045</v>
      </c>
      <c r="E26" s="2" t="s">
        <v>249</v>
      </c>
      <c r="F26" s="5" t="s">
        <v>354</v>
      </c>
      <c r="G26" s="14" t="s">
        <v>157</v>
      </c>
      <c r="H26" s="2" t="s">
        <v>373</v>
      </c>
      <c r="I26" s="5" t="s">
        <v>354</v>
      </c>
      <c r="J26" s="5" t="s">
        <v>157</v>
      </c>
      <c r="K26" s="5" t="s">
        <v>373</v>
      </c>
      <c r="L26" s="5" t="s">
        <v>354</v>
      </c>
      <c r="M26" s="5" t="s">
        <v>157</v>
      </c>
      <c r="N26" s="5" t="s">
        <v>373</v>
      </c>
      <c r="O26" s="2"/>
    </row>
    <row r="27" ht="45.15" customHeight="1" spans="1:15" x14ac:dyDescent="0.25">
      <c r="A27" s="5" t="s">
        <v>1046</v>
      </c>
      <c r="B27" s="2" t="s">
        <v>1046</v>
      </c>
      <c r="C27" s="2" t="s">
        <v>1014</v>
      </c>
      <c r="D27" s="2" t="s">
        <v>1047</v>
      </c>
      <c r="E27" s="2" t="s">
        <v>249</v>
      </c>
      <c r="F27" s="5" t="s">
        <v>354</v>
      </c>
      <c r="G27" s="14" t="s">
        <v>157</v>
      </c>
      <c r="H27" s="2" t="s">
        <v>373</v>
      </c>
      <c r="I27" s="5" t="s">
        <v>354</v>
      </c>
      <c r="J27" s="5" t="s">
        <v>157</v>
      </c>
      <c r="K27" s="5" t="s">
        <v>373</v>
      </c>
      <c r="L27" s="5" t="s">
        <v>354</v>
      </c>
      <c r="M27" s="5" t="s">
        <v>157</v>
      </c>
      <c r="N27" s="5" t="s">
        <v>373</v>
      </c>
      <c r="O27" s="2"/>
    </row>
    <row r="28" ht="45.15" customHeight="1" spans="1:15" x14ac:dyDescent="0.25">
      <c r="A28" s="5" t="s">
        <v>1048</v>
      </c>
      <c r="B28" s="2" t="s">
        <v>1048</v>
      </c>
      <c r="C28" s="2" t="s">
        <v>1014</v>
      </c>
      <c r="D28" s="2" t="s">
        <v>1049</v>
      </c>
      <c r="E28" s="2" t="s">
        <v>249</v>
      </c>
      <c r="F28" s="5" t="s">
        <v>354</v>
      </c>
      <c r="G28" s="14" t="s">
        <v>157</v>
      </c>
      <c r="H28" s="2" t="s">
        <v>373</v>
      </c>
      <c r="I28" s="5" t="s">
        <v>354</v>
      </c>
      <c r="J28" s="5" t="s">
        <v>157</v>
      </c>
      <c r="K28" s="5" t="s">
        <v>373</v>
      </c>
      <c r="L28" s="5" t="s">
        <v>354</v>
      </c>
      <c r="M28" s="5" t="s">
        <v>157</v>
      </c>
      <c r="N28" s="5" t="s">
        <v>373</v>
      </c>
      <c r="O28" s="2"/>
    </row>
    <row r="29" ht="45.15" customHeight="1" spans="1:15" x14ac:dyDescent="0.25">
      <c r="A29" s="5" t="s">
        <v>1050</v>
      </c>
      <c r="B29" s="2" t="s">
        <v>1050</v>
      </c>
      <c r="C29" s="2" t="s">
        <v>1014</v>
      </c>
      <c r="D29" s="2" t="s">
        <v>1051</v>
      </c>
      <c r="E29" s="2" t="s">
        <v>249</v>
      </c>
      <c r="F29" s="5" t="s">
        <v>354</v>
      </c>
      <c r="G29" s="14" t="s">
        <v>157</v>
      </c>
      <c r="H29" s="2" t="s">
        <v>373</v>
      </c>
      <c r="I29" s="5" t="s">
        <v>354</v>
      </c>
      <c r="J29" s="5" t="s">
        <v>157</v>
      </c>
      <c r="K29" s="5" t="s">
        <v>373</v>
      </c>
      <c r="L29" s="5" t="s">
        <v>354</v>
      </c>
      <c r="M29" s="5" t="s">
        <v>157</v>
      </c>
      <c r="N29" s="5" t="s">
        <v>373</v>
      </c>
      <c r="O29" s="2"/>
    </row>
    <row r="30" ht="45.15" customHeight="1" spans="1:15" x14ac:dyDescent="0.25">
      <c r="A30" s="5" t="s">
        <v>1052</v>
      </c>
      <c r="B30" s="2" t="s">
        <v>1052</v>
      </c>
      <c r="C30" s="2" t="s">
        <v>1014</v>
      </c>
      <c r="D30" s="2" t="s">
        <v>1053</v>
      </c>
      <c r="E30" s="2" t="s">
        <v>249</v>
      </c>
      <c r="F30" s="5" t="s">
        <v>354</v>
      </c>
      <c r="G30" s="14" t="s">
        <v>157</v>
      </c>
      <c r="H30" s="2" t="s">
        <v>373</v>
      </c>
      <c r="I30" s="5" t="s">
        <v>354</v>
      </c>
      <c r="J30" s="5" t="s">
        <v>157</v>
      </c>
      <c r="K30" s="5" t="s">
        <v>373</v>
      </c>
      <c r="L30" s="5" t="s">
        <v>354</v>
      </c>
      <c r="M30" s="5" t="s">
        <v>157</v>
      </c>
      <c r="N30" s="5" t="s">
        <v>373</v>
      </c>
      <c r="O30" s="2"/>
    </row>
    <row r="31" ht="45.15" customHeight="1" spans="1:15" x14ac:dyDescent="0.25">
      <c r="A31" s="5" t="s">
        <v>1054</v>
      </c>
      <c r="B31" s="2" t="s">
        <v>1054</v>
      </c>
      <c r="C31" s="2" t="s">
        <v>1014</v>
      </c>
      <c r="D31" s="2" t="s">
        <v>1055</v>
      </c>
      <c r="E31" s="2" t="s">
        <v>249</v>
      </c>
      <c r="F31" s="5" t="s">
        <v>354</v>
      </c>
      <c r="G31" s="14" t="s">
        <v>157</v>
      </c>
      <c r="H31" s="2" t="s">
        <v>373</v>
      </c>
      <c r="I31" s="5" t="s">
        <v>354</v>
      </c>
      <c r="J31" s="5" t="s">
        <v>157</v>
      </c>
      <c r="K31" s="5" t="s">
        <v>373</v>
      </c>
      <c r="L31" s="5" t="s">
        <v>354</v>
      </c>
      <c r="M31" s="5" t="s">
        <v>157</v>
      </c>
      <c r="N31" s="5" t="s">
        <v>373</v>
      </c>
      <c r="O31" s="2"/>
    </row>
    <row r="32" ht="45.15" customHeight="1" spans="1:15" x14ac:dyDescent="0.25">
      <c r="A32" s="5" t="s">
        <v>1056</v>
      </c>
      <c r="B32" s="2" t="s">
        <v>1056</v>
      </c>
      <c r="C32" s="2" t="s">
        <v>1014</v>
      </c>
      <c r="D32" s="2" t="s">
        <v>1057</v>
      </c>
      <c r="E32" s="2" t="s">
        <v>249</v>
      </c>
      <c r="F32" s="5" t="s">
        <v>354</v>
      </c>
      <c r="G32" s="14" t="s">
        <v>157</v>
      </c>
      <c r="H32" s="2" t="s">
        <v>373</v>
      </c>
      <c r="I32" s="5" t="s">
        <v>354</v>
      </c>
      <c r="J32" s="5" t="s">
        <v>157</v>
      </c>
      <c r="K32" s="5" t="s">
        <v>373</v>
      </c>
      <c r="L32" s="5" t="s">
        <v>354</v>
      </c>
      <c r="M32" s="5" t="s">
        <v>157</v>
      </c>
      <c r="N32" s="5" t="s">
        <v>373</v>
      </c>
      <c r="O32" s="2"/>
    </row>
    <row r="33" ht="45.15" customHeight="1" spans="1:15" x14ac:dyDescent="0.25">
      <c r="A33" s="5" t="s">
        <v>1058</v>
      </c>
      <c r="B33" s="2" t="s">
        <v>1058</v>
      </c>
      <c r="C33" s="2" t="s">
        <v>1014</v>
      </c>
      <c r="D33" s="2" t="s">
        <v>1059</v>
      </c>
      <c r="E33" s="2" t="s">
        <v>249</v>
      </c>
      <c r="F33" s="5" t="s">
        <v>354</v>
      </c>
      <c r="G33" s="14" t="s">
        <v>157</v>
      </c>
      <c r="H33" s="2" t="s">
        <v>373</v>
      </c>
      <c r="I33" s="5" t="s">
        <v>354</v>
      </c>
      <c r="J33" s="5" t="s">
        <v>157</v>
      </c>
      <c r="K33" s="5" t="s">
        <v>373</v>
      </c>
      <c r="L33" s="5" t="s">
        <v>354</v>
      </c>
      <c r="M33" s="5" t="s">
        <v>157</v>
      </c>
      <c r="N33" s="5" t="s">
        <v>373</v>
      </c>
      <c r="O33" s="2"/>
    </row>
    <row r="34" ht="45.15" customHeight="1" spans="1:15" x14ac:dyDescent="0.25">
      <c r="A34" s="5" t="s">
        <v>1060</v>
      </c>
      <c r="B34" s="2" t="s">
        <v>1060</v>
      </c>
      <c r="C34" s="2" t="s">
        <v>1014</v>
      </c>
      <c r="D34" s="2" t="s">
        <v>1061</v>
      </c>
      <c r="E34" s="2" t="s">
        <v>249</v>
      </c>
      <c r="F34" s="5" t="s">
        <v>354</v>
      </c>
      <c r="G34" s="14" t="s">
        <v>157</v>
      </c>
      <c r="H34" s="2" t="s">
        <v>373</v>
      </c>
      <c r="I34" s="5" t="s">
        <v>354</v>
      </c>
      <c r="J34" s="5" t="s">
        <v>157</v>
      </c>
      <c r="K34" s="5" t="s">
        <v>373</v>
      </c>
      <c r="L34" s="5" t="s">
        <v>354</v>
      </c>
      <c r="M34" s="5" t="s">
        <v>157</v>
      </c>
      <c r="N34" s="5" t="s">
        <v>373</v>
      </c>
      <c r="O34" s="2"/>
    </row>
    <row r="35" ht="45.15" customHeight="1" spans="1:15" x14ac:dyDescent="0.25">
      <c r="A35" s="5" t="s">
        <v>1062</v>
      </c>
      <c r="B35" s="2" t="s">
        <v>1062</v>
      </c>
      <c r="C35" s="2" t="s">
        <v>1014</v>
      </c>
      <c r="D35" s="2" t="s">
        <v>1063</v>
      </c>
      <c r="E35" s="2" t="s">
        <v>249</v>
      </c>
      <c r="F35" s="5" t="s">
        <v>354</v>
      </c>
      <c r="G35" s="14" t="s">
        <v>157</v>
      </c>
      <c r="H35" s="2" t="s">
        <v>373</v>
      </c>
      <c r="I35" s="5" t="s">
        <v>354</v>
      </c>
      <c r="J35" s="5" t="s">
        <v>157</v>
      </c>
      <c r="K35" s="5" t="s">
        <v>373</v>
      </c>
      <c r="L35" s="5" t="s">
        <v>354</v>
      </c>
      <c r="M35" s="5" t="s">
        <v>157</v>
      </c>
      <c r="N35" s="5" t="s">
        <v>373</v>
      </c>
      <c r="O35" s="2"/>
    </row>
    <row r="36" ht="45.15" customHeight="1" spans="1:15" x14ac:dyDescent="0.25">
      <c r="A36" s="5" t="s">
        <v>1064</v>
      </c>
      <c r="B36" s="2" t="s">
        <v>1064</v>
      </c>
      <c r="C36" s="2" t="s">
        <v>1014</v>
      </c>
      <c r="D36" s="2" t="s">
        <v>1065</v>
      </c>
      <c r="E36" s="2" t="s">
        <v>249</v>
      </c>
      <c r="F36" s="5" t="s">
        <v>354</v>
      </c>
      <c r="G36" s="14" t="s">
        <v>157</v>
      </c>
      <c r="H36" s="2" t="s">
        <v>373</v>
      </c>
      <c r="I36" s="5" t="s">
        <v>354</v>
      </c>
      <c r="J36" s="5" t="s">
        <v>157</v>
      </c>
      <c r="K36" s="5" t="s">
        <v>373</v>
      </c>
      <c r="L36" s="5" t="s">
        <v>354</v>
      </c>
      <c r="M36" s="5" t="s">
        <v>157</v>
      </c>
      <c r="N36" s="5" t="s">
        <v>373</v>
      </c>
      <c r="O36" s="2"/>
    </row>
    <row r="37" ht="45.15" customHeight="1" spans="1:15" x14ac:dyDescent="0.25">
      <c r="A37" s="5" t="s">
        <v>1066</v>
      </c>
      <c r="B37" s="2" t="s">
        <v>1066</v>
      </c>
      <c r="C37" s="2" t="s">
        <v>1014</v>
      </c>
      <c r="D37" s="2" t="s">
        <v>1067</v>
      </c>
      <c r="E37" s="2" t="s">
        <v>249</v>
      </c>
      <c r="F37" s="5" t="s">
        <v>354</v>
      </c>
      <c r="G37" s="14" t="s">
        <v>157</v>
      </c>
      <c r="H37" s="2" t="s">
        <v>373</v>
      </c>
      <c r="I37" s="5" t="s">
        <v>354</v>
      </c>
      <c r="J37" s="5" t="s">
        <v>157</v>
      </c>
      <c r="K37" s="5" t="s">
        <v>373</v>
      </c>
      <c r="L37" s="5" t="s">
        <v>354</v>
      </c>
      <c r="M37" s="5" t="s">
        <v>157</v>
      </c>
      <c r="N37" s="5" t="s">
        <v>373</v>
      </c>
      <c r="O37" s="2"/>
    </row>
    <row r="38" ht="45.15" customHeight="1" spans="1:15" x14ac:dyDescent="0.25">
      <c r="A38" s="5" t="s">
        <v>1068</v>
      </c>
      <c r="B38" s="2" t="s">
        <v>1068</v>
      </c>
      <c r="C38" s="2" t="s">
        <v>1014</v>
      </c>
      <c r="D38" s="2" t="s">
        <v>1069</v>
      </c>
      <c r="E38" s="2" t="s">
        <v>249</v>
      </c>
      <c r="F38" s="5" t="s">
        <v>354</v>
      </c>
      <c r="G38" s="14" t="s">
        <v>157</v>
      </c>
      <c r="H38" s="2" t="s">
        <v>373</v>
      </c>
      <c r="I38" s="5" t="s">
        <v>354</v>
      </c>
      <c r="J38" s="5" t="s">
        <v>157</v>
      </c>
      <c r="K38" s="5" t="s">
        <v>373</v>
      </c>
      <c r="L38" s="5" t="s">
        <v>354</v>
      </c>
      <c r="M38" s="5" t="s">
        <v>157</v>
      </c>
      <c r="N38" s="5" t="s">
        <v>373</v>
      </c>
      <c r="O38" s="2"/>
    </row>
    <row r="39" ht="45.15" customHeight="1" spans="1:15" x14ac:dyDescent="0.25">
      <c r="A39" s="5" t="s">
        <v>1070</v>
      </c>
      <c r="B39" s="2" t="s">
        <v>1070</v>
      </c>
      <c r="C39" s="2" t="s">
        <v>1014</v>
      </c>
      <c r="D39" s="2" t="s">
        <v>1071</v>
      </c>
      <c r="E39" s="2" t="s">
        <v>249</v>
      </c>
      <c r="F39" s="5" t="s">
        <v>354</v>
      </c>
      <c r="G39" s="14" t="s">
        <v>157</v>
      </c>
      <c r="H39" s="2" t="s">
        <v>373</v>
      </c>
      <c r="I39" s="5" t="s">
        <v>354</v>
      </c>
      <c r="J39" s="5" t="s">
        <v>157</v>
      </c>
      <c r="K39" s="5" t="s">
        <v>373</v>
      </c>
      <c r="L39" s="5" t="s">
        <v>354</v>
      </c>
      <c r="M39" s="5" t="s">
        <v>157</v>
      </c>
      <c r="N39" s="5" t="s">
        <v>373</v>
      </c>
      <c r="O39" s="2"/>
    </row>
    <row r="40" ht="45.15" customHeight="1" spans="1:15" x14ac:dyDescent="0.25">
      <c r="A40" s="5" t="s">
        <v>1072</v>
      </c>
      <c r="B40" s="2" t="s">
        <v>1072</v>
      </c>
      <c r="C40" s="2" t="s">
        <v>1014</v>
      </c>
      <c r="D40" s="2" t="s">
        <v>1073</v>
      </c>
      <c r="E40" s="2" t="s">
        <v>249</v>
      </c>
      <c r="F40" s="5" t="s">
        <v>354</v>
      </c>
      <c r="G40" s="14" t="s">
        <v>157</v>
      </c>
      <c r="H40" s="2" t="s">
        <v>373</v>
      </c>
      <c r="I40" s="5" t="s">
        <v>354</v>
      </c>
      <c r="J40" s="5" t="s">
        <v>157</v>
      </c>
      <c r="K40" s="5" t="s">
        <v>373</v>
      </c>
      <c r="L40" s="5" t="s">
        <v>354</v>
      </c>
      <c r="M40" s="5" t="s">
        <v>157</v>
      </c>
      <c r="N40" s="5" t="s">
        <v>373</v>
      </c>
      <c r="O40" s="2"/>
    </row>
    <row r="41" spans="1:15" x14ac:dyDescent="0.25"/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252</v>
      </c>
      <c r="C1" s="8"/>
      <c r="D1" s="8"/>
    </row>
    <row r="2" spans="1:4" x14ac:dyDescent="0.25">
      <c r="A2" s="9" t="s">
        <v>351</v>
      </c>
      <c r="B2" s="10" t="s">
        <v>253</v>
      </c>
      <c r="C2" s="10"/>
      <c r="D2" s="10"/>
    </row>
    <row r="3" spans="1:4" x14ac:dyDescent="0.25">
      <c r="A3" s="9" t="s">
        <v>352</v>
      </c>
      <c r="B3" s="11">
        <f>SUM(B5:D5)</f>
        <v>49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49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49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49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5.15" customHeight="1" spans="1:15" x14ac:dyDescent="0.25">
      <c r="A11" s="5" t="s">
        <v>1074</v>
      </c>
      <c r="B11" s="2" t="s">
        <v>1074</v>
      </c>
      <c r="C11" s="2" t="s">
        <v>1075</v>
      </c>
      <c r="D11" s="2" t="s">
        <v>1076</v>
      </c>
      <c r="E11" s="2" t="s">
        <v>254</v>
      </c>
      <c r="F11" s="5" t="s">
        <v>354</v>
      </c>
      <c r="G11" s="14" t="s">
        <v>157</v>
      </c>
      <c r="H11" s="2" t="s">
        <v>373</v>
      </c>
      <c r="I11" s="5" t="s">
        <v>354</v>
      </c>
      <c r="J11" s="5" t="s">
        <v>157</v>
      </c>
      <c r="K11" s="5" t="s">
        <v>373</v>
      </c>
      <c r="L11" s="5" t="s">
        <v>354</v>
      </c>
      <c r="M11" s="5" t="s">
        <v>157</v>
      </c>
      <c r="N11" s="5" t="s">
        <v>373</v>
      </c>
      <c r="O11" s="2"/>
    </row>
    <row r="12" ht="45.15" customHeight="1" spans="1:15" x14ac:dyDescent="0.25">
      <c r="A12" s="5" t="s">
        <v>1077</v>
      </c>
      <c r="B12" s="2" t="s">
        <v>1077</v>
      </c>
      <c r="C12" s="2" t="s">
        <v>1075</v>
      </c>
      <c r="D12" s="2" t="s">
        <v>1078</v>
      </c>
      <c r="E12" s="2" t="s">
        <v>254</v>
      </c>
      <c r="F12" s="5" t="s">
        <v>354</v>
      </c>
      <c r="G12" s="14" t="s">
        <v>157</v>
      </c>
      <c r="H12" s="2" t="s">
        <v>373</v>
      </c>
      <c r="I12" s="5" t="s">
        <v>354</v>
      </c>
      <c r="J12" s="5" t="s">
        <v>157</v>
      </c>
      <c r="K12" s="5" t="s">
        <v>373</v>
      </c>
      <c r="L12" s="5" t="s">
        <v>354</v>
      </c>
      <c r="M12" s="5" t="s">
        <v>157</v>
      </c>
      <c r="N12" s="5" t="s">
        <v>373</v>
      </c>
      <c r="O12" s="2"/>
    </row>
    <row r="13" ht="45.15" customHeight="1" spans="1:15" x14ac:dyDescent="0.25">
      <c r="A13" s="5" t="s">
        <v>1079</v>
      </c>
      <c r="B13" s="2" t="s">
        <v>1079</v>
      </c>
      <c r="C13" s="2" t="s">
        <v>1075</v>
      </c>
      <c r="D13" s="2" t="s">
        <v>1080</v>
      </c>
      <c r="E13" s="2" t="s">
        <v>254</v>
      </c>
      <c r="F13" s="5" t="s">
        <v>354</v>
      </c>
      <c r="G13" s="14" t="s">
        <v>157</v>
      </c>
      <c r="H13" s="2" t="s">
        <v>373</v>
      </c>
      <c r="I13" s="5" t="s">
        <v>354</v>
      </c>
      <c r="J13" s="5" t="s">
        <v>157</v>
      </c>
      <c r="K13" s="5" t="s">
        <v>373</v>
      </c>
      <c r="L13" s="5" t="s">
        <v>354</v>
      </c>
      <c r="M13" s="5" t="s">
        <v>157</v>
      </c>
      <c r="N13" s="5" t="s">
        <v>373</v>
      </c>
      <c r="O13" s="2"/>
    </row>
    <row r="14" ht="45.15" customHeight="1" spans="1:15" x14ac:dyDescent="0.25">
      <c r="A14" s="5" t="s">
        <v>1081</v>
      </c>
      <c r="B14" s="2" t="s">
        <v>1081</v>
      </c>
      <c r="C14" s="2" t="s">
        <v>1075</v>
      </c>
      <c r="D14" s="2" t="s">
        <v>1082</v>
      </c>
      <c r="E14" s="2" t="s">
        <v>254</v>
      </c>
      <c r="F14" s="5" t="s">
        <v>354</v>
      </c>
      <c r="G14" s="14" t="s">
        <v>157</v>
      </c>
      <c r="H14" s="2" t="s">
        <v>373</v>
      </c>
      <c r="I14" s="5" t="s">
        <v>354</v>
      </c>
      <c r="J14" s="5" t="s">
        <v>157</v>
      </c>
      <c r="K14" s="5" t="s">
        <v>373</v>
      </c>
      <c r="L14" s="5" t="s">
        <v>354</v>
      </c>
      <c r="M14" s="5" t="s">
        <v>157</v>
      </c>
      <c r="N14" s="5" t="s">
        <v>373</v>
      </c>
      <c r="O14" s="2"/>
    </row>
    <row r="15" ht="45.15" customHeight="1" spans="1:15" x14ac:dyDescent="0.25">
      <c r="A15" s="5" t="s">
        <v>1083</v>
      </c>
      <c r="B15" s="2" t="s">
        <v>1083</v>
      </c>
      <c r="C15" s="2" t="s">
        <v>1075</v>
      </c>
      <c r="D15" s="2" t="s">
        <v>1084</v>
      </c>
      <c r="E15" s="2" t="s">
        <v>254</v>
      </c>
      <c r="F15" s="5" t="s">
        <v>354</v>
      </c>
      <c r="G15" s="14" t="s">
        <v>157</v>
      </c>
      <c r="H15" s="2" t="s">
        <v>373</v>
      </c>
      <c r="I15" s="5" t="s">
        <v>354</v>
      </c>
      <c r="J15" s="5" t="s">
        <v>157</v>
      </c>
      <c r="K15" s="5" t="s">
        <v>373</v>
      </c>
      <c r="L15" s="5" t="s">
        <v>354</v>
      </c>
      <c r="M15" s="5" t="s">
        <v>157</v>
      </c>
      <c r="N15" s="5" t="s">
        <v>373</v>
      </c>
      <c r="O15" s="2"/>
    </row>
    <row r="16" ht="45.15" customHeight="1" spans="1:15" x14ac:dyDescent="0.25">
      <c r="A16" s="5" t="s">
        <v>1085</v>
      </c>
      <c r="B16" s="2" t="s">
        <v>1085</v>
      </c>
      <c r="C16" s="2" t="s">
        <v>1075</v>
      </c>
      <c r="D16" s="2" t="s">
        <v>1086</v>
      </c>
      <c r="E16" s="2" t="s">
        <v>254</v>
      </c>
      <c r="F16" s="5" t="s">
        <v>354</v>
      </c>
      <c r="G16" s="14" t="s">
        <v>157</v>
      </c>
      <c r="H16" s="2" t="s">
        <v>373</v>
      </c>
      <c r="I16" s="5" t="s">
        <v>354</v>
      </c>
      <c r="J16" s="5" t="s">
        <v>157</v>
      </c>
      <c r="K16" s="5" t="s">
        <v>373</v>
      </c>
      <c r="L16" s="5" t="s">
        <v>354</v>
      </c>
      <c r="M16" s="5" t="s">
        <v>157</v>
      </c>
      <c r="N16" s="5" t="s">
        <v>373</v>
      </c>
      <c r="O16" s="2"/>
    </row>
    <row r="17" ht="45.15" customHeight="1" spans="1:15" x14ac:dyDescent="0.25">
      <c r="A17" s="5" t="s">
        <v>1087</v>
      </c>
      <c r="B17" s="2" t="s">
        <v>1087</v>
      </c>
      <c r="C17" s="2" t="s">
        <v>1075</v>
      </c>
      <c r="D17" s="2" t="s">
        <v>1088</v>
      </c>
      <c r="E17" s="2" t="s">
        <v>254</v>
      </c>
      <c r="F17" s="5" t="s">
        <v>354</v>
      </c>
      <c r="G17" s="14" t="s">
        <v>157</v>
      </c>
      <c r="H17" s="2" t="s">
        <v>373</v>
      </c>
      <c r="I17" s="5" t="s">
        <v>354</v>
      </c>
      <c r="J17" s="5" t="s">
        <v>157</v>
      </c>
      <c r="K17" s="5" t="s">
        <v>373</v>
      </c>
      <c r="L17" s="5" t="s">
        <v>354</v>
      </c>
      <c r="M17" s="5" t="s">
        <v>157</v>
      </c>
      <c r="N17" s="5" t="s">
        <v>373</v>
      </c>
      <c r="O17" s="2"/>
    </row>
    <row r="18" ht="45.15" customHeight="1" spans="1:15" x14ac:dyDescent="0.25">
      <c r="A18" s="5" t="s">
        <v>1089</v>
      </c>
      <c r="B18" s="2" t="s">
        <v>1089</v>
      </c>
      <c r="C18" s="2" t="s">
        <v>1075</v>
      </c>
      <c r="D18" s="2" t="s">
        <v>1090</v>
      </c>
      <c r="E18" s="2" t="s">
        <v>254</v>
      </c>
      <c r="F18" s="5" t="s">
        <v>354</v>
      </c>
      <c r="G18" s="14" t="s">
        <v>157</v>
      </c>
      <c r="H18" s="2" t="s">
        <v>373</v>
      </c>
      <c r="I18" s="5" t="s">
        <v>354</v>
      </c>
      <c r="J18" s="5" t="s">
        <v>157</v>
      </c>
      <c r="K18" s="5" t="s">
        <v>373</v>
      </c>
      <c r="L18" s="5" t="s">
        <v>354</v>
      </c>
      <c r="M18" s="5" t="s">
        <v>157</v>
      </c>
      <c r="N18" s="5" t="s">
        <v>373</v>
      </c>
      <c r="O18" s="2"/>
    </row>
    <row r="19" ht="45.15" customHeight="1" spans="1:15" x14ac:dyDescent="0.25">
      <c r="A19" s="5" t="s">
        <v>1091</v>
      </c>
      <c r="B19" s="2" t="s">
        <v>1091</v>
      </c>
      <c r="C19" s="2" t="s">
        <v>1075</v>
      </c>
      <c r="D19" s="2" t="s">
        <v>1092</v>
      </c>
      <c r="E19" s="2" t="s">
        <v>254</v>
      </c>
      <c r="F19" s="5" t="s">
        <v>354</v>
      </c>
      <c r="G19" s="14" t="s">
        <v>157</v>
      </c>
      <c r="H19" s="2" t="s">
        <v>373</v>
      </c>
      <c r="I19" s="5" t="s">
        <v>354</v>
      </c>
      <c r="J19" s="5" t="s">
        <v>157</v>
      </c>
      <c r="K19" s="5" t="s">
        <v>373</v>
      </c>
      <c r="L19" s="5" t="s">
        <v>354</v>
      </c>
      <c r="M19" s="5" t="s">
        <v>157</v>
      </c>
      <c r="N19" s="5" t="s">
        <v>373</v>
      </c>
      <c r="O19" s="2"/>
    </row>
    <row r="20" ht="45.15" customHeight="1" spans="1:15" x14ac:dyDescent="0.25">
      <c r="A20" s="5" t="s">
        <v>1093</v>
      </c>
      <c r="B20" s="2" t="s">
        <v>1093</v>
      </c>
      <c r="C20" s="2" t="s">
        <v>1075</v>
      </c>
      <c r="D20" s="2" t="s">
        <v>1094</v>
      </c>
      <c r="E20" s="2" t="s">
        <v>254</v>
      </c>
      <c r="F20" s="5" t="s">
        <v>354</v>
      </c>
      <c r="G20" s="14" t="s">
        <v>157</v>
      </c>
      <c r="H20" s="2" t="s">
        <v>373</v>
      </c>
      <c r="I20" s="5" t="s">
        <v>354</v>
      </c>
      <c r="J20" s="5" t="s">
        <v>157</v>
      </c>
      <c r="K20" s="5" t="s">
        <v>373</v>
      </c>
      <c r="L20" s="5" t="s">
        <v>354</v>
      </c>
      <c r="M20" s="5" t="s">
        <v>157</v>
      </c>
      <c r="N20" s="5" t="s">
        <v>373</v>
      </c>
      <c r="O20" s="2"/>
    </row>
    <row r="21" ht="45.15" customHeight="1" spans="1:15" x14ac:dyDescent="0.25">
      <c r="A21" s="5" t="s">
        <v>1095</v>
      </c>
      <c r="B21" s="2" t="s">
        <v>1095</v>
      </c>
      <c r="C21" s="2" t="s">
        <v>1075</v>
      </c>
      <c r="D21" s="2" t="s">
        <v>1096</v>
      </c>
      <c r="E21" s="2" t="s">
        <v>254</v>
      </c>
      <c r="F21" s="5" t="s">
        <v>354</v>
      </c>
      <c r="G21" s="14" t="s">
        <v>157</v>
      </c>
      <c r="H21" s="2" t="s">
        <v>373</v>
      </c>
      <c r="I21" s="5" t="s">
        <v>354</v>
      </c>
      <c r="J21" s="5" t="s">
        <v>157</v>
      </c>
      <c r="K21" s="5" t="s">
        <v>373</v>
      </c>
      <c r="L21" s="5" t="s">
        <v>354</v>
      </c>
      <c r="M21" s="5" t="s">
        <v>157</v>
      </c>
      <c r="N21" s="5" t="s">
        <v>373</v>
      </c>
      <c r="O21" s="2"/>
    </row>
    <row r="22" ht="45.15" customHeight="1" spans="1:15" x14ac:dyDescent="0.25">
      <c r="A22" s="5" t="s">
        <v>1097</v>
      </c>
      <c r="B22" s="2" t="s">
        <v>1097</v>
      </c>
      <c r="C22" s="2" t="s">
        <v>1075</v>
      </c>
      <c r="D22" s="2" t="s">
        <v>1098</v>
      </c>
      <c r="E22" s="2" t="s">
        <v>254</v>
      </c>
      <c r="F22" s="5" t="s">
        <v>354</v>
      </c>
      <c r="G22" s="14" t="s">
        <v>157</v>
      </c>
      <c r="H22" s="2" t="s">
        <v>373</v>
      </c>
      <c r="I22" s="5" t="s">
        <v>354</v>
      </c>
      <c r="J22" s="5" t="s">
        <v>157</v>
      </c>
      <c r="K22" s="5" t="s">
        <v>373</v>
      </c>
      <c r="L22" s="5" t="s">
        <v>354</v>
      </c>
      <c r="M22" s="5" t="s">
        <v>157</v>
      </c>
      <c r="N22" s="5" t="s">
        <v>373</v>
      </c>
      <c r="O22" s="2"/>
    </row>
    <row r="23" ht="45.15" customHeight="1" spans="1:15" x14ac:dyDescent="0.25">
      <c r="A23" s="5" t="s">
        <v>1099</v>
      </c>
      <c r="B23" s="2" t="s">
        <v>1099</v>
      </c>
      <c r="C23" s="2" t="s">
        <v>1075</v>
      </c>
      <c r="D23" s="2" t="s">
        <v>1100</v>
      </c>
      <c r="E23" s="2" t="s">
        <v>254</v>
      </c>
      <c r="F23" s="5" t="s">
        <v>354</v>
      </c>
      <c r="G23" s="14" t="s">
        <v>157</v>
      </c>
      <c r="H23" s="2" t="s">
        <v>373</v>
      </c>
      <c r="I23" s="5" t="s">
        <v>354</v>
      </c>
      <c r="J23" s="5" t="s">
        <v>157</v>
      </c>
      <c r="K23" s="5" t="s">
        <v>373</v>
      </c>
      <c r="L23" s="5" t="s">
        <v>354</v>
      </c>
      <c r="M23" s="5" t="s">
        <v>157</v>
      </c>
      <c r="N23" s="5" t="s">
        <v>373</v>
      </c>
      <c r="O23" s="2"/>
    </row>
    <row r="24" ht="45.15" customHeight="1" spans="1:15" x14ac:dyDescent="0.25">
      <c r="A24" s="5" t="s">
        <v>1101</v>
      </c>
      <c r="B24" s="2" t="s">
        <v>1101</v>
      </c>
      <c r="C24" s="2" t="s">
        <v>1075</v>
      </c>
      <c r="D24" s="2" t="s">
        <v>1102</v>
      </c>
      <c r="E24" s="2" t="s">
        <v>254</v>
      </c>
      <c r="F24" s="5" t="s">
        <v>354</v>
      </c>
      <c r="G24" s="14" t="s">
        <v>157</v>
      </c>
      <c r="H24" s="2" t="s">
        <v>373</v>
      </c>
      <c r="I24" s="5" t="s">
        <v>354</v>
      </c>
      <c r="J24" s="5" t="s">
        <v>157</v>
      </c>
      <c r="K24" s="5" t="s">
        <v>373</v>
      </c>
      <c r="L24" s="5" t="s">
        <v>354</v>
      </c>
      <c r="M24" s="5" t="s">
        <v>157</v>
      </c>
      <c r="N24" s="5" t="s">
        <v>373</v>
      </c>
      <c r="O24" s="2"/>
    </row>
    <row r="25" ht="45.15" customHeight="1" spans="1:15" x14ac:dyDescent="0.25">
      <c r="A25" s="5" t="s">
        <v>1103</v>
      </c>
      <c r="B25" s="2" t="s">
        <v>1103</v>
      </c>
      <c r="C25" s="2" t="s">
        <v>1075</v>
      </c>
      <c r="D25" s="2" t="s">
        <v>1104</v>
      </c>
      <c r="E25" s="2" t="s">
        <v>254</v>
      </c>
      <c r="F25" s="5" t="s">
        <v>354</v>
      </c>
      <c r="G25" s="14" t="s">
        <v>157</v>
      </c>
      <c r="H25" s="2" t="s">
        <v>373</v>
      </c>
      <c r="I25" s="5" t="s">
        <v>354</v>
      </c>
      <c r="J25" s="5" t="s">
        <v>157</v>
      </c>
      <c r="K25" s="5" t="s">
        <v>373</v>
      </c>
      <c r="L25" s="5" t="s">
        <v>354</v>
      </c>
      <c r="M25" s="5" t="s">
        <v>157</v>
      </c>
      <c r="N25" s="5" t="s">
        <v>373</v>
      </c>
      <c r="O25" s="2"/>
    </row>
    <row r="26" ht="45.15" customHeight="1" spans="1:15" x14ac:dyDescent="0.25">
      <c r="A26" s="5" t="s">
        <v>1105</v>
      </c>
      <c r="B26" s="2" t="s">
        <v>1105</v>
      </c>
      <c r="C26" s="2" t="s">
        <v>1075</v>
      </c>
      <c r="D26" s="2" t="s">
        <v>1106</v>
      </c>
      <c r="E26" s="2" t="s">
        <v>254</v>
      </c>
      <c r="F26" s="5" t="s">
        <v>354</v>
      </c>
      <c r="G26" s="14" t="s">
        <v>157</v>
      </c>
      <c r="H26" s="2" t="s">
        <v>373</v>
      </c>
      <c r="I26" s="5" t="s">
        <v>354</v>
      </c>
      <c r="J26" s="5" t="s">
        <v>157</v>
      </c>
      <c r="K26" s="5" t="s">
        <v>373</v>
      </c>
      <c r="L26" s="5" t="s">
        <v>354</v>
      </c>
      <c r="M26" s="5" t="s">
        <v>157</v>
      </c>
      <c r="N26" s="5" t="s">
        <v>373</v>
      </c>
      <c r="O26" s="2"/>
    </row>
    <row r="27" ht="45.15" customHeight="1" spans="1:15" x14ac:dyDescent="0.25">
      <c r="A27" s="5" t="s">
        <v>1107</v>
      </c>
      <c r="B27" s="2" t="s">
        <v>1107</v>
      </c>
      <c r="C27" s="2" t="s">
        <v>1075</v>
      </c>
      <c r="D27" s="2" t="s">
        <v>1108</v>
      </c>
      <c r="E27" s="2" t="s">
        <v>254</v>
      </c>
      <c r="F27" s="5" t="s">
        <v>354</v>
      </c>
      <c r="G27" s="14" t="s">
        <v>157</v>
      </c>
      <c r="H27" s="2" t="s">
        <v>373</v>
      </c>
      <c r="I27" s="5" t="s">
        <v>354</v>
      </c>
      <c r="J27" s="5" t="s">
        <v>157</v>
      </c>
      <c r="K27" s="5" t="s">
        <v>373</v>
      </c>
      <c r="L27" s="5" t="s">
        <v>354</v>
      </c>
      <c r="M27" s="5" t="s">
        <v>157</v>
      </c>
      <c r="N27" s="5" t="s">
        <v>373</v>
      </c>
      <c r="O27" s="2"/>
    </row>
    <row r="28" ht="45.15" customHeight="1" spans="1:15" x14ac:dyDescent="0.25">
      <c r="A28" s="5" t="s">
        <v>1109</v>
      </c>
      <c r="B28" s="2" t="s">
        <v>1109</v>
      </c>
      <c r="C28" s="2" t="s">
        <v>1075</v>
      </c>
      <c r="D28" s="2" t="s">
        <v>1110</v>
      </c>
      <c r="E28" s="2" t="s">
        <v>254</v>
      </c>
      <c r="F28" s="5" t="s">
        <v>354</v>
      </c>
      <c r="G28" s="14" t="s">
        <v>157</v>
      </c>
      <c r="H28" s="2" t="s">
        <v>373</v>
      </c>
      <c r="I28" s="5" t="s">
        <v>354</v>
      </c>
      <c r="J28" s="5" t="s">
        <v>157</v>
      </c>
      <c r="K28" s="5" t="s">
        <v>373</v>
      </c>
      <c r="L28" s="5" t="s">
        <v>354</v>
      </c>
      <c r="M28" s="5" t="s">
        <v>157</v>
      </c>
      <c r="N28" s="5" t="s">
        <v>373</v>
      </c>
      <c r="O28" s="2"/>
    </row>
    <row r="29" ht="45.15" customHeight="1" spans="1:15" x14ac:dyDescent="0.25">
      <c r="A29" s="5" t="s">
        <v>1111</v>
      </c>
      <c r="B29" s="2" t="s">
        <v>1111</v>
      </c>
      <c r="C29" s="2" t="s">
        <v>1075</v>
      </c>
      <c r="D29" s="2" t="s">
        <v>1112</v>
      </c>
      <c r="E29" s="2" t="s">
        <v>254</v>
      </c>
      <c r="F29" s="5" t="s">
        <v>354</v>
      </c>
      <c r="G29" s="14" t="s">
        <v>157</v>
      </c>
      <c r="H29" s="2" t="s">
        <v>373</v>
      </c>
      <c r="I29" s="5" t="s">
        <v>354</v>
      </c>
      <c r="J29" s="5" t="s">
        <v>157</v>
      </c>
      <c r="K29" s="5" t="s">
        <v>373</v>
      </c>
      <c r="L29" s="5" t="s">
        <v>354</v>
      </c>
      <c r="M29" s="5" t="s">
        <v>157</v>
      </c>
      <c r="N29" s="5" t="s">
        <v>373</v>
      </c>
      <c r="O29" s="2"/>
    </row>
    <row r="30" ht="45.15" customHeight="1" spans="1:15" x14ac:dyDescent="0.25">
      <c r="A30" s="5" t="s">
        <v>1113</v>
      </c>
      <c r="B30" s="2" t="s">
        <v>1113</v>
      </c>
      <c r="C30" s="2" t="s">
        <v>1075</v>
      </c>
      <c r="D30" s="2" t="s">
        <v>1114</v>
      </c>
      <c r="E30" s="2" t="s">
        <v>254</v>
      </c>
      <c r="F30" s="5" t="s">
        <v>354</v>
      </c>
      <c r="G30" s="14" t="s">
        <v>157</v>
      </c>
      <c r="H30" s="2" t="s">
        <v>373</v>
      </c>
      <c r="I30" s="5" t="s">
        <v>354</v>
      </c>
      <c r="J30" s="5" t="s">
        <v>157</v>
      </c>
      <c r="K30" s="5" t="s">
        <v>373</v>
      </c>
      <c r="L30" s="5" t="s">
        <v>354</v>
      </c>
      <c r="M30" s="5" t="s">
        <v>157</v>
      </c>
      <c r="N30" s="5" t="s">
        <v>373</v>
      </c>
      <c r="O30" s="2"/>
    </row>
    <row r="31" ht="45.15" customHeight="1" spans="1:15" x14ac:dyDescent="0.25">
      <c r="A31" s="5" t="s">
        <v>1115</v>
      </c>
      <c r="B31" s="2" t="s">
        <v>1115</v>
      </c>
      <c r="C31" s="2" t="s">
        <v>1075</v>
      </c>
      <c r="D31" s="2" t="s">
        <v>1116</v>
      </c>
      <c r="E31" s="2" t="s">
        <v>254</v>
      </c>
      <c r="F31" s="5" t="s">
        <v>354</v>
      </c>
      <c r="G31" s="14" t="s">
        <v>157</v>
      </c>
      <c r="H31" s="2" t="s">
        <v>373</v>
      </c>
      <c r="I31" s="5" t="s">
        <v>354</v>
      </c>
      <c r="J31" s="5" t="s">
        <v>157</v>
      </c>
      <c r="K31" s="5" t="s">
        <v>373</v>
      </c>
      <c r="L31" s="5" t="s">
        <v>354</v>
      </c>
      <c r="M31" s="5" t="s">
        <v>157</v>
      </c>
      <c r="N31" s="5" t="s">
        <v>373</v>
      </c>
      <c r="O31" s="2"/>
    </row>
    <row r="32" ht="45.15" customHeight="1" spans="1:15" x14ac:dyDescent="0.25">
      <c r="A32" s="5" t="s">
        <v>1117</v>
      </c>
      <c r="B32" s="2" t="s">
        <v>1117</v>
      </c>
      <c r="C32" s="2" t="s">
        <v>1075</v>
      </c>
      <c r="D32" s="2" t="s">
        <v>1118</v>
      </c>
      <c r="E32" s="2" t="s">
        <v>254</v>
      </c>
      <c r="F32" s="5" t="s">
        <v>354</v>
      </c>
      <c r="G32" s="14" t="s">
        <v>157</v>
      </c>
      <c r="H32" s="2" t="s">
        <v>373</v>
      </c>
      <c r="I32" s="5" t="s">
        <v>354</v>
      </c>
      <c r="J32" s="5" t="s">
        <v>157</v>
      </c>
      <c r="K32" s="5" t="s">
        <v>373</v>
      </c>
      <c r="L32" s="5" t="s">
        <v>354</v>
      </c>
      <c r="M32" s="5" t="s">
        <v>157</v>
      </c>
      <c r="N32" s="5" t="s">
        <v>373</v>
      </c>
      <c r="O32" s="2"/>
    </row>
    <row r="33" ht="45.15" customHeight="1" spans="1:15" x14ac:dyDescent="0.25">
      <c r="A33" s="5" t="s">
        <v>1119</v>
      </c>
      <c r="B33" s="2" t="s">
        <v>1119</v>
      </c>
      <c r="C33" s="2" t="s">
        <v>1075</v>
      </c>
      <c r="D33" s="2" t="s">
        <v>1120</v>
      </c>
      <c r="E33" s="2" t="s">
        <v>254</v>
      </c>
      <c r="F33" s="5" t="s">
        <v>354</v>
      </c>
      <c r="G33" s="14" t="s">
        <v>157</v>
      </c>
      <c r="H33" s="2" t="s">
        <v>373</v>
      </c>
      <c r="I33" s="5" t="s">
        <v>354</v>
      </c>
      <c r="J33" s="5" t="s">
        <v>157</v>
      </c>
      <c r="K33" s="5" t="s">
        <v>373</v>
      </c>
      <c r="L33" s="5" t="s">
        <v>354</v>
      </c>
      <c r="M33" s="5" t="s">
        <v>157</v>
      </c>
      <c r="N33" s="5" t="s">
        <v>373</v>
      </c>
      <c r="O33" s="2"/>
    </row>
    <row r="34" ht="45.15" customHeight="1" spans="1:15" x14ac:dyDescent="0.25">
      <c r="A34" s="5" t="s">
        <v>1121</v>
      </c>
      <c r="B34" s="2" t="s">
        <v>1121</v>
      </c>
      <c r="C34" s="2" t="s">
        <v>1075</v>
      </c>
      <c r="D34" s="2" t="s">
        <v>1122</v>
      </c>
      <c r="E34" s="2" t="s">
        <v>254</v>
      </c>
      <c r="F34" s="5" t="s">
        <v>354</v>
      </c>
      <c r="G34" s="14" t="s">
        <v>157</v>
      </c>
      <c r="H34" s="2" t="s">
        <v>373</v>
      </c>
      <c r="I34" s="5" t="s">
        <v>354</v>
      </c>
      <c r="J34" s="5" t="s">
        <v>157</v>
      </c>
      <c r="K34" s="5" t="s">
        <v>373</v>
      </c>
      <c r="L34" s="5" t="s">
        <v>354</v>
      </c>
      <c r="M34" s="5" t="s">
        <v>157</v>
      </c>
      <c r="N34" s="5" t="s">
        <v>373</v>
      </c>
      <c r="O34" s="2"/>
    </row>
    <row r="35" ht="45.15" customHeight="1" spans="1:15" x14ac:dyDescent="0.25">
      <c r="A35" s="5" t="s">
        <v>1123</v>
      </c>
      <c r="B35" s="2" t="s">
        <v>1123</v>
      </c>
      <c r="C35" s="2" t="s">
        <v>1075</v>
      </c>
      <c r="D35" s="2" t="s">
        <v>1124</v>
      </c>
      <c r="E35" s="2" t="s">
        <v>254</v>
      </c>
      <c r="F35" s="5" t="s">
        <v>354</v>
      </c>
      <c r="G35" s="14" t="s">
        <v>157</v>
      </c>
      <c r="H35" s="2" t="s">
        <v>373</v>
      </c>
      <c r="I35" s="5" t="s">
        <v>354</v>
      </c>
      <c r="J35" s="5" t="s">
        <v>157</v>
      </c>
      <c r="K35" s="5" t="s">
        <v>373</v>
      </c>
      <c r="L35" s="5" t="s">
        <v>354</v>
      </c>
      <c r="M35" s="5" t="s">
        <v>157</v>
      </c>
      <c r="N35" s="5" t="s">
        <v>373</v>
      </c>
      <c r="O35" s="2"/>
    </row>
    <row r="36" spans="1:15" x14ac:dyDescent="0.25"/>
    <row r="37" spans="1:15" x14ac:dyDescent="0.25"/>
    <row r="38" spans="1:15" x14ac:dyDescent="0.25"/>
    <row r="39" spans="1:15" x14ac:dyDescent="0.25"/>
    <row r="40" spans="1:15" x14ac:dyDescent="0.25"/>
    <row r="41" spans="1:15" x14ac:dyDescent="0.25"/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  <row r="51" spans="1:15" x14ac:dyDescent="0.25"/>
    <row r="52" spans="1:15" x14ac:dyDescent="0.25"/>
    <row r="53" spans="1:15" x14ac:dyDescent="0.25"/>
    <row r="54" spans="1:15" x14ac:dyDescent="0.25"/>
    <row r="55" spans="1:15" x14ac:dyDescent="0.25"/>
    <row r="56" spans="1:15" x14ac:dyDescent="0.25"/>
    <row r="57" spans="1:15" x14ac:dyDescent="0.25"/>
    <row r="58" spans="1:15" x14ac:dyDescent="0.25"/>
    <row r="59" spans="1:15" x14ac:dyDescent="0.25"/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255</v>
      </c>
      <c r="C1" s="8"/>
      <c r="D1" s="8"/>
    </row>
    <row r="2" spans="1:4" x14ac:dyDescent="0.25">
      <c r="A2" s="9" t="s">
        <v>351</v>
      </c>
      <c r="B2" s="10" t="s">
        <v>1125</v>
      </c>
      <c r="C2" s="10"/>
      <c r="D2" s="10"/>
    </row>
    <row r="3" spans="1:4" x14ac:dyDescent="0.25">
      <c r="A3" s="9" t="s">
        <v>352</v>
      </c>
      <c r="B3" s="11">
        <f>SUM(B5:D5)</f>
        <v>31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31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31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31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1126</v>
      </c>
      <c r="B11" s="2" t="s">
        <v>1126</v>
      </c>
      <c r="C11" s="2" t="s">
        <v>1127</v>
      </c>
      <c r="D11" s="2" t="s">
        <v>1128</v>
      </c>
      <c r="E11" s="2" t="s">
        <v>257</v>
      </c>
      <c r="F11" s="5" t="s">
        <v>354</v>
      </c>
      <c r="G11" s="14" t="s">
        <v>157</v>
      </c>
      <c r="H11" s="2" t="s">
        <v>373</v>
      </c>
      <c r="I11" s="5" t="s">
        <v>354</v>
      </c>
      <c r="J11" s="5" t="s">
        <v>157</v>
      </c>
      <c r="K11" s="5" t="s">
        <v>373</v>
      </c>
      <c r="L11" s="5" t="s">
        <v>354</v>
      </c>
      <c r="M11" s="5" t="s">
        <v>157</v>
      </c>
      <c r="N11" s="5" t="s">
        <v>373</v>
      </c>
      <c r="O11" s="2"/>
    </row>
    <row r="12" ht="60.2" customHeight="1" spans="1:15" x14ac:dyDescent="0.25">
      <c r="A12" s="5" t="s">
        <v>1129</v>
      </c>
      <c r="B12" s="2" t="s">
        <v>1129</v>
      </c>
      <c r="C12" s="2" t="s">
        <v>1127</v>
      </c>
      <c r="D12" s="2" t="s">
        <v>1130</v>
      </c>
      <c r="E12" s="2" t="s">
        <v>257</v>
      </c>
      <c r="F12" s="5" t="s">
        <v>354</v>
      </c>
      <c r="G12" s="14" t="s">
        <v>157</v>
      </c>
      <c r="H12" s="2" t="s">
        <v>373</v>
      </c>
      <c r="I12" s="5" t="s">
        <v>354</v>
      </c>
      <c r="J12" s="5" t="s">
        <v>157</v>
      </c>
      <c r="K12" s="5" t="s">
        <v>373</v>
      </c>
      <c r="L12" s="5" t="s">
        <v>354</v>
      </c>
      <c r="M12" s="5" t="s">
        <v>157</v>
      </c>
      <c r="N12" s="5" t="s">
        <v>373</v>
      </c>
      <c r="O12" s="2"/>
    </row>
    <row r="13" ht="60.2" customHeight="1" spans="1:15" x14ac:dyDescent="0.25">
      <c r="A13" s="5" t="s">
        <v>1131</v>
      </c>
      <c r="B13" s="2" t="s">
        <v>1131</v>
      </c>
      <c r="C13" s="2" t="s">
        <v>1127</v>
      </c>
      <c r="D13" s="2" t="s">
        <v>1132</v>
      </c>
      <c r="E13" s="2" t="s">
        <v>257</v>
      </c>
      <c r="F13" s="5" t="s">
        <v>354</v>
      </c>
      <c r="G13" s="14" t="s">
        <v>157</v>
      </c>
      <c r="H13" s="2" t="s">
        <v>373</v>
      </c>
      <c r="I13" s="5" t="s">
        <v>354</v>
      </c>
      <c r="J13" s="5" t="s">
        <v>157</v>
      </c>
      <c r="K13" s="5" t="s">
        <v>373</v>
      </c>
      <c r="L13" s="5" t="s">
        <v>354</v>
      </c>
      <c r="M13" s="5" t="s">
        <v>157</v>
      </c>
      <c r="N13" s="5" t="s">
        <v>373</v>
      </c>
      <c r="O13" s="2"/>
    </row>
    <row r="14" ht="60.2" customHeight="1" spans="1:15" x14ac:dyDescent="0.25">
      <c r="A14" s="5" t="s">
        <v>1133</v>
      </c>
      <c r="B14" s="2" t="s">
        <v>1133</v>
      </c>
      <c r="C14" s="2" t="s">
        <v>1127</v>
      </c>
      <c r="D14" s="2" t="s">
        <v>1134</v>
      </c>
      <c r="E14" s="2" t="s">
        <v>257</v>
      </c>
      <c r="F14" s="5" t="s">
        <v>354</v>
      </c>
      <c r="G14" s="14" t="s">
        <v>157</v>
      </c>
      <c r="H14" s="2" t="s">
        <v>373</v>
      </c>
      <c r="I14" s="5" t="s">
        <v>354</v>
      </c>
      <c r="J14" s="5" t="s">
        <v>157</v>
      </c>
      <c r="K14" s="5" t="s">
        <v>373</v>
      </c>
      <c r="L14" s="5" t="s">
        <v>354</v>
      </c>
      <c r="M14" s="5" t="s">
        <v>157</v>
      </c>
      <c r="N14" s="5" t="s">
        <v>373</v>
      </c>
      <c r="O14" s="2"/>
    </row>
    <row r="15" ht="60.2" customHeight="1" spans="1:15" x14ac:dyDescent="0.25">
      <c r="A15" s="5" t="s">
        <v>1135</v>
      </c>
      <c r="B15" s="2" t="s">
        <v>1135</v>
      </c>
      <c r="C15" s="2" t="s">
        <v>1127</v>
      </c>
      <c r="D15" s="2" t="s">
        <v>1136</v>
      </c>
      <c r="E15" s="2" t="s">
        <v>257</v>
      </c>
      <c r="F15" s="5" t="s">
        <v>354</v>
      </c>
      <c r="G15" s="14" t="s">
        <v>157</v>
      </c>
      <c r="H15" s="2" t="s">
        <v>373</v>
      </c>
      <c r="I15" s="5" t="s">
        <v>354</v>
      </c>
      <c r="J15" s="5" t="s">
        <v>157</v>
      </c>
      <c r="K15" s="5" t="s">
        <v>373</v>
      </c>
      <c r="L15" s="5" t="s">
        <v>354</v>
      </c>
      <c r="M15" s="5" t="s">
        <v>157</v>
      </c>
      <c r="N15" s="5" t="s">
        <v>373</v>
      </c>
      <c r="O15" s="2"/>
    </row>
    <row r="16" ht="60.2" customHeight="1" spans="1:15" x14ac:dyDescent="0.25">
      <c r="A16" s="5" t="s">
        <v>1137</v>
      </c>
      <c r="B16" s="2" t="s">
        <v>1137</v>
      </c>
      <c r="C16" s="2" t="s">
        <v>1127</v>
      </c>
      <c r="D16" s="2" t="s">
        <v>1138</v>
      </c>
      <c r="E16" s="2" t="s">
        <v>257</v>
      </c>
      <c r="F16" s="5" t="s">
        <v>354</v>
      </c>
      <c r="G16" s="14" t="s">
        <v>157</v>
      </c>
      <c r="H16" s="2" t="s">
        <v>373</v>
      </c>
      <c r="I16" s="5" t="s">
        <v>354</v>
      </c>
      <c r="J16" s="5" t="s">
        <v>157</v>
      </c>
      <c r="K16" s="5" t="s">
        <v>373</v>
      </c>
      <c r="L16" s="5" t="s">
        <v>354</v>
      </c>
      <c r="M16" s="5" t="s">
        <v>157</v>
      </c>
      <c r="N16" s="5" t="s">
        <v>373</v>
      </c>
      <c r="O16" s="2"/>
    </row>
    <row r="17" ht="60.2" customHeight="1" spans="1:15" x14ac:dyDescent="0.25">
      <c r="A17" s="5" t="s">
        <v>1139</v>
      </c>
      <c r="B17" s="2" t="s">
        <v>1139</v>
      </c>
      <c r="C17" s="2" t="s">
        <v>1127</v>
      </c>
      <c r="D17" s="2" t="s">
        <v>1140</v>
      </c>
      <c r="E17" s="2" t="s">
        <v>257</v>
      </c>
      <c r="F17" s="5" t="s">
        <v>354</v>
      </c>
      <c r="G17" s="14" t="s">
        <v>157</v>
      </c>
      <c r="H17" s="2" t="s">
        <v>373</v>
      </c>
      <c r="I17" s="5" t="s">
        <v>354</v>
      </c>
      <c r="J17" s="5" t="s">
        <v>157</v>
      </c>
      <c r="K17" s="5" t="s">
        <v>373</v>
      </c>
      <c r="L17" s="5" t="s">
        <v>354</v>
      </c>
      <c r="M17" s="5" t="s">
        <v>157</v>
      </c>
      <c r="N17" s="5" t="s">
        <v>373</v>
      </c>
      <c r="O17" s="2"/>
    </row>
    <row r="18" ht="60.2" customHeight="1" spans="1:15" x14ac:dyDescent="0.25">
      <c r="A18" s="5" t="s">
        <v>1141</v>
      </c>
      <c r="B18" s="2" t="s">
        <v>1141</v>
      </c>
      <c r="C18" s="2" t="s">
        <v>1127</v>
      </c>
      <c r="D18" s="2" t="s">
        <v>1142</v>
      </c>
      <c r="E18" s="2" t="s">
        <v>257</v>
      </c>
      <c r="F18" s="5" t="s">
        <v>354</v>
      </c>
      <c r="G18" s="14" t="s">
        <v>157</v>
      </c>
      <c r="H18" s="2" t="s">
        <v>373</v>
      </c>
      <c r="I18" s="5" t="s">
        <v>354</v>
      </c>
      <c r="J18" s="5" t="s">
        <v>157</v>
      </c>
      <c r="K18" s="5" t="s">
        <v>373</v>
      </c>
      <c r="L18" s="5" t="s">
        <v>354</v>
      </c>
      <c r="M18" s="5" t="s">
        <v>157</v>
      </c>
      <c r="N18" s="5" t="s">
        <v>373</v>
      </c>
      <c r="O18" s="2"/>
    </row>
    <row r="19" ht="60.2" customHeight="1" spans="1:15" x14ac:dyDescent="0.25">
      <c r="A19" s="5" t="s">
        <v>1143</v>
      </c>
      <c r="B19" s="2" t="s">
        <v>1143</v>
      </c>
      <c r="C19" s="2" t="s">
        <v>1127</v>
      </c>
      <c r="D19" s="2" t="s">
        <v>1144</v>
      </c>
      <c r="E19" s="2" t="s">
        <v>257</v>
      </c>
      <c r="F19" s="5" t="s">
        <v>354</v>
      </c>
      <c r="G19" s="14" t="s">
        <v>157</v>
      </c>
      <c r="H19" s="2" t="s">
        <v>373</v>
      </c>
      <c r="I19" s="5" t="s">
        <v>354</v>
      </c>
      <c r="J19" s="5" t="s">
        <v>157</v>
      </c>
      <c r="K19" s="5" t="s">
        <v>373</v>
      </c>
      <c r="L19" s="5" t="s">
        <v>354</v>
      </c>
      <c r="M19" s="5" t="s">
        <v>157</v>
      </c>
      <c r="N19" s="5" t="s">
        <v>373</v>
      </c>
      <c r="O19" s="2"/>
    </row>
    <row r="20" ht="60.2" customHeight="1" spans="1:15" x14ac:dyDescent="0.25">
      <c r="A20" s="5" t="s">
        <v>1145</v>
      </c>
      <c r="B20" s="2" t="s">
        <v>1145</v>
      </c>
      <c r="C20" s="2" t="s">
        <v>1127</v>
      </c>
      <c r="D20" s="2" t="s">
        <v>1146</v>
      </c>
      <c r="E20" s="2" t="s">
        <v>257</v>
      </c>
      <c r="F20" s="5" t="s">
        <v>354</v>
      </c>
      <c r="G20" s="14" t="s">
        <v>157</v>
      </c>
      <c r="H20" s="2" t="s">
        <v>373</v>
      </c>
      <c r="I20" s="5" t="s">
        <v>354</v>
      </c>
      <c r="J20" s="5" t="s">
        <v>157</v>
      </c>
      <c r="K20" s="5" t="s">
        <v>373</v>
      </c>
      <c r="L20" s="5" t="s">
        <v>354</v>
      </c>
      <c r="M20" s="5" t="s">
        <v>157</v>
      </c>
      <c r="N20" s="5" t="s">
        <v>373</v>
      </c>
      <c r="O20" s="2"/>
    </row>
    <row r="21" ht="60.2" customHeight="1" spans="1:15" x14ac:dyDescent="0.25">
      <c r="A21" s="5" t="s">
        <v>1147</v>
      </c>
      <c r="B21" s="2" t="s">
        <v>1147</v>
      </c>
      <c r="C21" s="2" t="s">
        <v>1127</v>
      </c>
      <c r="D21" s="2" t="s">
        <v>1148</v>
      </c>
      <c r="E21" s="2" t="s">
        <v>257</v>
      </c>
      <c r="F21" s="5" t="s">
        <v>354</v>
      </c>
      <c r="G21" s="14" t="s">
        <v>157</v>
      </c>
      <c r="H21" s="2" t="s">
        <v>373</v>
      </c>
      <c r="I21" s="5" t="s">
        <v>354</v>
      </c>
      <c r="J21" s="5" t="s">
        <v>157</v>
      </c>
      <c r="K21" s="5" t="s">
        <v>373</v>
      </c>
      <c r="L21" s="5" t="s">
        <v>354</v>
      </c>
      <c r="M21" s="5" t="s">
        <v>157</v>
      </c>
      <c r="N21" s="5" t="s">
        <v>373</v>
      </c>
      <c r="O21" s="2"/>
    </row>
    <row r="22" ht="60.2" customHeight="1" spans="1:15" x14ac:dyDescent="0.25">
      <c r="A22" s="5" t="s">
        <v>1149</v>
      </c>
      <c r="B22" s="2" t="s">
        <v>1149</v>
      </c>
      <c r="C22" s="2" t="s">
        <v>1127</v>
      </c>
      <c r="D22" s="2" t="s">
        <v>1150</v>
      </c>
      <c r="E22" s="2" t="s">
        <v>257</v>
      </c>
      <c r="F22" s="5" t="s">
        <v>354</v>
      </c>
      <c r="G22" s="14" t="s">
        <v>157</v>
      </c>
      <c r="H22" s="2" t="s">
        <v>373</v>
      </c>
      <c r="I22" s="5" t="s">
        <v>354</v>
      </c>
      <c r="J22" s="5" t="s">
        <v>157</v>
      </c>
      <c r="K22" s="5" t="s">
        <v>373</v>
      </c>
      <c r="L22" s="5" t="s">
        <v>354</v>
      </c>
      <c r="M22" s="5" t="s">
        <v>157</v>
      </c>
      <c r="N22" s="5" t="s">
        <v>373</v>
      </c>
      <c r="O22" s="2"/>
    </row>
    <row r="23" ht="60.2" customHeight="1" spans="1:15" x14ac:dyDescent="0.25">
      <c r="A23" s="5" t="s">
        <v>1151</v>
      </c>
      <c r="B23" s="2" t="s">
        <v>1151</v>
      </c>
      <c r="C23" s="2" t="s">
        <v>1127</v>
      </c>
      <c r="D23" s="2" t="s">
        <v>1152</v>
      </c>
      <c r="E23" s="2" t="s">
        <v>257</v>
      </c>
      <c r="F23" s="5" t="s">
        <v>354</v>
      </c>
      <c r="G23" s="14" t="s">
        <v>157</v>
      </c>
      <c r="H23" s="2" t="s">
        <v>373</v>
      </c>
      <c r="I23" s="5" t="s">
        <v>354</v>
      </c>
      <c r="J23" s="5" t="s">
        <v>157</v>
      </c>
      <c r="K23" s="5" t="s">
        <v>373</v>
      </c>
      <c r="L23" s="5" t="s">
        <v>354</v>
      </c>
      <c r="M23" s="5" t="s">
        <v>157</v>
      </c>
      <c r="N23" s="5" t="s">
        <v>373</v>
      </c>
      <c r="O23" s="2"/>
    </row>
    <row r="24" ht="60.2" customHeight="1" spans="1:15" x14ac:dyDescent="0.25">
      <c r="A24" s="5" t="s">
        <v>1153</v>
      </c>
      <c r="B24" s="2" t="s">
        <v>1153</v>
      </c>
      <c r="C24" s="2" t="s">
        <v>1127</v>
      </c>
      <c r="D24" s="2" t="s">
        <v>1154</v>
      </c>
      <c r="E24" s="2" t="s">
        <v>257</v>
      </c>
      <c r="F24" s="5" t="s">
        <v>354</v>
      </c>
      <c r="G24" s="14" t="s">
        <v>157</v>
      </c>
      <c r="H24" s="2" t="s">
        <v>373</v>
      </c>
      <c r="I24" s="5" t="s">
        <v>354</v>
      </c>
      <c r="J24" s="5" t="s">
        <v>157</v>
      </c>
      <c r="K24" s="5" t="s">
        <v>373</v>
      </c>
      <c r="L24" s="5" t="s">
        <v>354</v>
      </c>
      <c r="M24" s="5" t="s">
        <v>157</v>
      </c>
      <c r="N24" s="5" t="s">
        <v>373</v>
      </c>
      <c r="O24" s="2"/>
    </row>
    <row r="25" ht="60.2" customHeight="1" spans="1:15" x14ac:dyDescent="0.25">
      <c r="A25" s="5" t="s">
        <v>1155</v>
      </c>
      <c r="B25" s="2" t="s">
        <v>1155</v>
      </c>
      <c r="C25" s="2" t="s">
        <v>1127</v>
      </c>
      <c r="D25" s="2" t="s">
        <v>1156</v>
      </c>
      <c r="E25" s="2" t="s">
        <v>257</v>
      </c>
      <c r="F25" s="5" t="s">
        <v>354</v>
      </c>
      <c r="G25" s="14" t="s">
        <v>157</v>
      </c>
      <c r="H25" s="2" t="s">
        <v>373</v>
      </c>
      <c r="I25" s="5" t="s">
        <v>354</v>
      </c>
      <c r="J25" s="5" t="s">
        <v>157</v>
      </c>
      <c r="K25" s="5" t="s">
        <v>373</v>
      </c>
      <c r="L25" s="5" t="s">
        <v>354</v>
      </c>
      <c r="M25" s="5" t="s">
        <v>157</v>
      </c>
      <c r="N25" s="5" t="s">
        <v>373</v>
      </c>
      <c r="O25" s="2"/>
    </row>
    <row r="26" ht="60.2" customHeight="1" spans="1:15" x14ac:dyDescent="0.25">
      <c r="A26" s="5" t="s">
        <v>1157</v>
      </c>
      <c r="B26" s="2" t="s">
        <v>1157</v>
      </c>
      <c r="C26" s="2" t="s">
        <v>1127</v>
      </c>
      <c r="D26" s="2" t="s">
        <v>1158</v>
      </c>
      <c r="E26" s="2" t="s">
        <v>257</v>
      </c>
      <c r="F26" s="5" t="s">
        <v>354</v>
      </c>
      <c r="G26" s="14" t="s">
        <v>157</v>
      </c>
      <c r="H26" s="2" t="s">
        <v>373</v>
      </c>
      <c r="I26" s="5" t="s">
        <v>354</v>
      </c>
      <c r="J26" s="5" t="s">
        <v>157</v>
      </c>
      <c r="K26" s="5" t="s">
        <v>373</v>
      </c>
      <c r="L26" s="5" t="s">
        <v>354</v>
      </c>
      <c r="M26" s="5" t="s">
        <v>157</v>
      </c>
      <c r="N26" s="5" t="s">
        <v>373</v>
      </c>
      <c r="O26" s="2"/>
    </row>
    <row r="27" ht="60.2" customHeight="1" spans="1:15" x14ac:dyDescent="0.25">
      <c r="A27" s="5" t="s">
        <v>1159</v>
      </c>
      <c r="B27" s="2" t="s">
        <v>1159</v>
      </c>
      <c r="C27" s="2" t="s">
        <v>1127</v>
      </c>
      <c r="D27" s="2" t="s">
        <v>1160</v>
      </c>
      <c r="E27" s="2" t="s">
        <v>257</v>
      </c>
      <c r="F27" s="5" t="s">
        <v>354</v>
      </c>
      <c r="G27" s="14" t="s">
        <v>157</v>
      </c>
      <c r="H27" s="2" t="s">
        <v>373</v>
      </c>
      <c r="I27" s="5" t="s">
        <v>354</v>
      </c>
      <c r="J27" s="5" t="s">
        <v>157</v>
      </c>
      <c r="K27" s="5" t="s">
        <v>373</v>
      </c>
      <c r="L27" s="5" t="s">
        <v>354</v>
      </c>
      <c r="M27" s="5" t="s">
        <v>157</v>
      </c>
      <c r="N27" s="5" t="s">
        <v>373</v>
      </c>
      <c r="O27" s="2"/>
    </row>
    <row r="28" ht="60.2" customHeight="1" spans="1:15" x14ac:dyDescent="0.25">
      <c r="A28" s="5" t="s">
        <v>1161</v>
      </c>
      <c r="B28" s="2" t="s">
        <v>1161</v>
      </c>
      <c r="C28" s="2" t="s">
        <v>1127</v>
      </c>
      <c r="D28" s="2" t="s">
        <v>1162</v>
      </c>
      <c r="E28" s="2" t="s">
        <v>257</v>
      </c>
      <c r="F28" s="5" t="s">
        <v>354</v>
      </c>
      <c r="G28" s="14" t="s">
        <v>157</v>
      </c>
      <c r="H28" s="2" t="s">
        <v>373</v>
      </c>
      <c r="I28" s="5" t="s">
        <v>354</v>
      </c>
      <c r="J28" s="5" t="s">
        <v>157</v>
      </c>
      <c r="K28" s="5" t="s">
        <v>373</v>
      </c>
      <c r="L28" s="5" t="s">
        <v>354</v>
      </c>
      <c r="M28" s="5" t="s">
        <v>157</v>
      </c>
      <c r="N28" s="5" t="s">
        <v>373</v>
      </c>
      <c r="O28" s="2"/>
    </row>
    <row r="29" ht="60.2" customHeight="1" spans="1:15" x14ac:dyDescent="0.25">
      <c r="A29" s="5" t="s">
        <v>1163</v>
      </c>
      <c r="B29" s="2" t="s">
        <v>1163</v>
      </c>
      <c r="C29" s="2" t="s">
        <v>1127</v>
      </c>
      <c r="D29" s="2" t="s">
        <v>1164</v>
      </c>
      <c r="E29" s="2" t="s">
        <v>257</v>
      </c>
      <c r="F29" s="5" t="s">
        <v>354</v>
      </c>
      <c r="G29" s="14" t="s">
        <v>157</v>
      </c>
      <c r="H29" s="2" t="s">
        <v>373</v>
      </c>
      <c r="I29" s="5" t="s">
        <v>354</v>
      </c>
      <c r="J29" s="5" t="s">
        <v>157</v>
      </c>
      <c r="K29" s="5" t="s">
        <v>373</v>
      </c>
      <c r="L29" s="5" t="s">
        <v>354</v>
      </c>
      <c r="M29" s="5" t="s">
        <v>157</v>
      </c>
      <c r="N29" s="5" t="s">
        <v>373</v>
      </c>
      <c r="O29" s="2"/>
    </row>
    <row r="30" ht="60.2" customHeight="1" spans="1:15" x14ac:dyDescent="0.25">
      <c r="A30" s="5" t="s">
        <v>1165</v>
      </c>
      <c r="B30" s="2" t="s">
        <v>1165</v>
      </c>
      <c r="C30" s="2" t="s">
        <v>1127</v>
      </c>
      <c r="D30" s="2" t="s">
        <v>1166</v>
      </c>
      <c r="E30" s="2" t="s">
        <v>257</v>
      </c>
      <c r="F30" s="5" t="s">
        <v>354</v>
      </c>
      <c r="G30" s="14" t="s">
        <v>157</v>
      </c>
      <c r="H30" s="2" t="s">
        <v>373</v>
      </c>
      <c r="I30" s="5" t="s">
        <v>354</v>
      </c>
      <c r="J30" s="5" t="s">
        <v>157</v>
      </c>
      <c r="K30" s="5" t="s">
        <v>373</v>
      </c>
      <c r="L30" s="5" t="s">
        <v>354</v>
      </c>
      <c r="M30" s="5" t="s">
        <v>157</v>
      </c>
      <c r="N30" s="5" t="s">
        <v>373</v>
      </c>
      <c r="O30" s="2"/>
    </row>
    <row r="31" ht="60.2" customHeight="1" spans="1:15" x14ac:dyDescent="0.25">
      <c r="A31" s="5" t="s">
        <v>1167</v>
      </c>
      <c r="B31" s="2" t="s">
        <v>1167</v>
      </c>
      <c r="C31" s="2" t="s">
        <v>1127</v>
      </c>
      <c r="D31" s="2" t="s">
        <v>1168</v>
      </c>
      <c r="E31" s="2" t="s">
        <v>257</v>
      </c>
      <c r="F31" s="5" t="s">
        <v>354</v>
      </c>
      <c r="G31" s="14" t="s">
        <v>157</v>
      </c>
      <c r="H31" s="2" t="s">
        <v>373</v>
      </c>
      <c r="I31" s="5" t="s">
        <v>354</v>
      </c>
      <c r="J31" s="5" t="s">
        <v>157</v>
      </c>
      <c r="K31" s="5" t="s">
        <v>373</v>
      </c>
      <c r="L31" s="5" t="s">
        <v>354</v>
      </c>
      <c r="M31" s="5" t="s">
        <v>157</v>
      </c>
      <c r="N31" s="5" t="s">
        <v>373</v>
      </c>
      <c r="O31" s="2"/>
    </row>
    <row r="32" ht="60.2" customHeight="1" spans="1:15" x14ac:dyDescent="0.25">
      <c r="A32" s="5" t="s">
        <v>1169</v>
      </c>
      <c r="B32" s="2" t="s">
        <v>1169</v>
      </c>
      <c r="C32" s="2" t="s">
        <v>1127</v>
      </c>
      <c r="D32" s="2" t="s">
        <v>1170</v>
      </c>
      <c r="E32" s="2" t="s">
        <v>257</v>
      </c>
      <c r="F32" s="5" t="s">
        <v>354</v>
      </c>
      <c r="G32" s="14" t="s">
        <v>157</v>
      </c>
      <c r="H32" s="2" t="s">
        <v>373</v>
      </c>
      <c r="I32" s="5" t="s">
        <v>354</v>
      </c>
      <c r="J32" s="5" t="s">
        <v>157</v>
      </c>
      <c r="K32" s="5" t="s">
        <v>373</v>
      </c>
      <c r="L32" s="5" t="s">
        <v>354</v>
      </c>
      <c r="M32" s="5" t="s">
        <v>157</v>
      </c>
      <c r="N32" s="5" t="s">
        <v>373</v>
      </c>
      <c r="O32" s="2"/>
    </row>
    <row r="33" spans="1:15" x14ac:dyDescent="0.25"/>
    <row r="34" spans="1:15" x14ac:dyDescent="0.25"/>
    <row r="35" spans="1:15" x14ac:dyDescent="0.25"/>
    <row r="36" spans="1:15" x14ac:dyDescent="0.25"/>
    <row r="37" spans="1:15" x14ac:dyDescent="0.25"/>
    <row r="38" spans="1:15" x14ac:dyDescent="0.25"/>
    <row r="39" spans="1:15" x14ac:dyDescent="0.25"/>
    <row r="40" spans="1:15" x14ac:dyDescent="0.25"/>
    <row r="41" spans="1:15" x14ac:dyDescent="0.25"/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zoomScale="100" zoomScaleNormal="100">
      <pane ySplit="9" topLeftCell="A13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35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8" t="s">
        <v>258</v>
      </c>
      <c r="C1" s="8"/>
      <c r="D1" s="8"/>
    </row>
    <row r="2" spans="1:4" x14ac:dyDescent="0.25">
      <c r="A2" s="9" t="s">
        <v>351</v>
      </c>
      <c r="B2" s="10" t="s">
        <v>259</v>
      </c>
      <c r="C2" s="10"/>
      <c r="D2" s="10"/>
    </row>
    <row r="3" spans="1:4" x14ac:dyDescent="0.25">
      <c r="A3" s="9" t="s">
        <v>352</v>
      </c>
      <c r="B3" s="11">
        <f>SUM(B5:D5)</f>
        <v>28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28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28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28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.2" customHeight="1" spans="1:15" x14ac:dyDescent="0.25">
      <c r="A11" s="5" t="s">
        <v>1171</v>
      </c>
      <c r="B11" s="2" t="s">
        <v>1171</v>
      </c>
      <c r="C11" s="2" t="s">
        <v>1172</v>
      </c>
      <c r="D11" s="2" t="s">
        <v>1173</v>
      </c>
      <c r="E11" s="2" t="s">
        <v>260</v>
      </c>
      <c r="F11" s="5" t="s">
        <v>354</v>
      </c>
      <c r="G11" s="14" t="s">
        <v>18</v>
      </c>
      <c r="H11" s="2" t="s">
        <v>373</v>
      </c>
      <c r="I11" s="5" t="s">
        <v>354</v>
      </c>
      <c r="J11" s="5" t="s">
        <v>18</v>
      </c>
      <c r="K11" s="5" t="s">
        <v>373</v>
      </c>
      <c r="L11" s="5" t="s">
        <v>354</v>
      </c>
      <c r="M11" s="5" t="s">
        <v>18</v>
      </c>
      <c r="N11" s="5" t="s">
        <v>373</v>
      </c>
      <c r="O11" s="2" t="s">
        <v>374</v>
      </c>
    </row>
    <row r="12" ht="45.15" customHeight="1" spans="1:15" x14ac:dyDescent="0.25">
      <c r="A12" s="5" t="s">
        <v>1174</v>
      </c>
      <c r="B12" s="2" t="s">
        <v>1174</v>
      </c>
      <c r="C12" s="2" t="s">
        <v>1175</v>
      </c>
      <c r="D12" s="2" t="s">
        <v>1176</v>
      </c>
      <c r="E12" s="2" t="s">
        <v>260</v>
      </c>
      <c r="F12" s="5" t="s">
        <v>354</v>
      </c>
      <c r="G12" s="14" t="s">
        <v>18</v>
      </c>
      <c r="H12" s="2" t="s">
        <v>373</v>
      </c>
      <c r="I12" s="5" t="s">
        <v>354</v>
      </c>
      <c r="J12" s="5" t="s">
        <v>18</v>
      </c>
      <c r="K12" s="5" t="s">
        <v>373</v>
      </c>
      <c r="L12" s="5" t="s">
        <v>354</v>
      </c>
      <c r="M12" s="5" t="s">
        <v>18</v>
      </c>
      <c r="N12" s="5" t="s">
        <v>373</v>
      </c>
      <c r="O12" s="2" t="s">
        <v>374</v>
      </c>
    </row>
    <row r="13" ht="60.2" customHeight="1" spans="1:15" x14ac:dyDescent="0.25">
      <c r="A13" s="5" t="s">
        <v>1177</v>
      </c>
      <c r="B13" s="2" t="s">
        <v>1177</v>
      </c>
      <c r="C13" s="2" t="s">
        <v>1178</v>
      </c>
      <c r="D13" s="2" t="s">
        <v>1179</v>
      </c>
      <c r="E13" s="2" t="s">
        <v>260</v>
      </c>
      <c r="F13" s="5" t="s">
        <v>354</v>
      </c>
      <c r="G13" s="14" t="s">
        <v>18</v>
      </c>
      <c r="H13" s="2" t="s">
        <v>373</v>
      </c>
      <c r="I13" s="5" t="s">
        <v>354</v>
      </c>
      <c r="J13" s="5" t="s">
        <v>18</v>
      </c>
      <c r="K13" s="5" t="s">
        <v>373</v>
      </c>
      <c r="L13" s="5" t="s">
        <v>354</v>
      </c>
      <c r="M13" s="5" t="s">
        <v>18</v>
      </c>
      <c r="N13" s="5" t="s">
        <v>373</v>
      </c>
      <c r="O13" s="2" t="s">
        <v>374</v>
      </c>
    </row>
    <row r="14" ht="90.35" customHeight="1" spans="1:15" x14ac:dyDescent="0.25">
      <c r="A14" s="5" t="s">
        <v>1180</v>
      </c>
      <c r="B14" s="2" t="s">
        <v>1180</v>
      </c>
      <c r="C14" s="2" t="s">
        <v>1181</v>
      </c>
      <c r="D14" s="2" t="s">
        <v>1182</v>
      </c>
      <c r="E14" s="2" t="s">
        <v>260</v>
      </c>
      <c r="F14" s="5" t="s">
        <v>354</v>
      </c>
      <c r="G14" s="14" t="s">
        <v>18</v>
      </c>
      <c r="H14" s="2" t="s">
        <v>373</v>
      </c>
      <c r="I14" s="5" t="s">
        <v>354</v>
      </c>
      <c r="J14" s="5" t="s">
        <v>18</v>
      </c>
      <c r="K14" s="5" t="s">
        <v>373</v>
      </c>
      <c r="L14" s="5" t="s">
        <v>354</v>
      </c>
      <c r="M14" s="5" t="s">
        <v>18</v>
      </c>
      <c r="N14" s="5" t="s">
        <v>373</v>
      </c>
      <c r="O14" s="2" t="s">
        <v>374</v>
      </c>
    </row>
    <row r="15" ht="75.25" customHeight="1" spans="1:15" x14ac:dyDescent="0.25">
      <c r="A15" s="5" t="s">
        <v>1183</v>
      </c>
      <c r="B15" s="2" t="s">
        <v>1183</v>
      </c>
      <c r="C15" s="2" t="s">
        <v>1181</v>
      </c>
      <c r="D15" s="2" t="s">
        <v>1184</v>
      </c>
      <c r="E15" s="2" t="s">
        <v>260</v>
      </c>
      <c r="F15" s="5" t="s">
        <v>354</v>
      </c>
      <c r="G15" s="14" t="s">
        <v>18</v>
      </c>
      <c r="H15" s="2" t="s">
        <v>373</v>
      </c>
      <c r="I15" s="5" t="s">
        <v>354</v>
      </c>
      <c r="J15" s="5" t="s">
        <v>18</v>
      </c>
      <c r="K15" s="5" t="s">
        <v>373</v>
      </c>
      <c r="L15" s="5" t="s">
        <v>354</v>
      </c>
      <c r="M15" s="5" t="s">
        <v>18</v>
      </c>
      <c r="N15" s="5" t="s">
        <v>373</v>
      </c>
      <c r="O15" s="2" t="s">
        <v>374</v>
      </c>
    </row>
    <row r="16" ht="60.2" customHeight="1" spans="1:15" x14ac:dyDescent="0.25">
      <c r="A16" s="5" t="s">
        <v>1185</v>
      </c>
      <c r="B16" s="2" t="s">
        <v>1185</v>
      </c>
      <c r="C16" s="2" t="s">
        <v>1181</v>
      </c>
      <c r="D16" s="2" t="s">
        <v>1186</v>
      </c>
      <c r="E16" s="2" t="s">
        <v>260</v>
      </c>
      <c r="F16" s="5" t="s">
        <v>354</v>
      </c>
      <c r="G16" s="14" t="s">
        <v>18</v>
      </c>
      <c r="H16" s="2" t="s">
        <v>373</v>
      </c>
      <c r="I16" s="5" t="s">
        <v>354</v>
      </c>
      <c r="J16" s="5" t="s">
        <v>18</v>
      </c>
      <c r="K16" s="5" t="s">
        <v>373</v>
      </c>
      <c r="L16" s="5" t="s">
        <v>354</v>
      </c>
      <c r="M16" s="5" t="s">
        <v>18</v>
      </c>
      <c r="N16" s="5" t="s">
        <v>373</v>
      </c>
      <c r="O16" s="2" t="s">
        <v>374</v>
      </c>
    </row>
    <row r="17" ht="75.25" customHeight="1" spans="1:15" x14ac:dyDescent="0.25">
      <c r="A17" s="5" t="s">
        <v>1187</v>
      </c>
      <c r="B17" s="2" t="s">
        <v>1187</v>
      </c>
      <c r="C17" s="2" t="s">
        <v>1181</v>
      </c>
      <c r="D17" s="2" t="s">
        <v>1188</v>
      </c>
      <c r="E17" s="2" t="s">
        <v>260</v>
      </c>
      <c r="F17" s="5" t="s">
        <v>354</v>
      </c>
      <c r="G17" s="14" t="s">
        <v>18</v>
      </c>
      <c r="H17" s="2" t="s">
        <v>373</v>
      </c>
      <c r="I17" s="5" t="s">
        <v>354</v>
      </c>
      <c r="J17" s="5" t="s">
        <v>18</v>
      </c>
      <c r="K17" s="5" t="s">
        <v>373</v>
      </c>
      <c r="L17" s="5" t="s">
        <v>354</v>
      </c>
      <c r="M17" s="5" t="s">
        <v>18</v>
      </c>
      <c r="N17" s="5" t="s">
        <v>373</v>
      </c>
      <c r="O17" s="2" t="s">
        <v>374</v>
      </c>
    </row>
    <row r="18" ht="60.2" customHeight="1" spans="1:15" x14ac:dyDescent="0.25">
      <c r="A18" s="5" t="s">
        <v>1189</v>
      </c>
      <c r="B18" s="2" t="s">
        <v>1189</v>
      </c>
      <c r="C18" s="2" t="s">
        <v>1181</v>
      </c>
      <c r="D18" s="2" t="s">
        <v>1190</v>
      </c>
      <c r="E18" s="2" t="s">
        <v>260</v>
      </c>
      <c r="F18" s="5" t="s">
        <v>354</v>
      </c>
      <c r="G18" s="14" t="s">
        <v>18</v>
      </c>
      <c r="H18" s="2" t="s">
        <v>373</v>
      </c>
      <c r="I18" s="5" t="s">
        <v>354</v>
      </c>
      <c r="J18" s="5" t="s">
        <v>18</v>
      </c>
      <c r="K18" s="5" t="s">
        <v>373</v>
      </c>
      <c r="L18" s="5" t="s">
        <v>354</v>
      </c>
      <c r="M18" s="5" t="s">
        <v>18</v>
      </c>
      <c r="N18" s="5" t="s">
        <v>373</v>
      </c>
      <c r="O18" s="2" t="s">
        <v>374</v>
      </c>
    </row>
    <row r="19" ht="105.4" customHeight="1" spans="1:15" x14ac:dyDescent="0.25">
      <c r="A19" s="5" t="s">
        <v>1191</v>
      </c>
      <c r="B19" s="2" t="s">
        <v>1191</v>
      </c>
      <c r="C19" s="2" t="s">
        <v>1181</v>
      </c>
      <c r="D19" s="2" t="s">
        <v>1192</v>
      </c>
      <c r="E19" s="2" t="s">
        <v>260</v>
      </c>
      <c r="F19" s="5" t="s">
        <v>354</v>
      </c>
      <c r="G19" s="14" t="s">
        <v>18</v>
      </c>
      <c r="H19" s="2" t="s">
        <v>373</v>
      </c>
      <c r="I19" s="5" t="s">
        <v>354</v>
      </c>
      <c r="J19" s="5" t="s">
        <v>18</v>
      </c>
      <c r="K19" s="5" t="s">
        <v>373</v>
      </c>
      <c r="L19" s="5" t="s">
        <v>354</v>
      </c>
      <c r="M19" s="5" t="s">
        <v>18</v>
      </c>
      <c r="N19" s="5" t="s">
        <v>373</v>
      </c>
      <c r="O19" s="2" t="s">
        <v>374</v>
      </c>
    </row>
    <row r="20" ht="60.2" customHeight="1" spans="1:15" x14ac:dyDescent="0.25">
      <c r="A20" s="5" t="s">
        <v>1193</v>
      </c>
      <c r="B20" s="2" t="s">
        <v>1193</v>
      </c>
      <c r="C20" s="2" t="s">
        <v>1194</v>
      </c>
      <c r="D20" s="2" t="s">
        <v>1195</v>
      </c>
      <c r="E20" s="2" t="s">
        <v>260</v>
      </c>
      <c r="F20" s="5" t="s">
        <v>354</v>
      </c>
      <c r="G20" s="14" t="s">
        <v>18</v>
      </c>
      <c r="H20" s="2" t="s">
        <v>373</v>
      </c>
      <c r="I20" s="5" t="s">
        <v>354</v>
      </c>
      <c r="J20" s="5" t="s">
        <v>18</v>
      </c>
      <c r="K20" s="5" t="s">
        <v>373</v>
      </c>
      <c r="L20" s="5" t="s">
        <v>354</v>
      </c>
      <c r="M20" s="5" t="s">
        <v>18</v>
      </c>
      <c r="N20" s="5" t="s">
        <v>373</v>
      </c>
      <c r="O20" s="2" t="s">
        <v>374</v>
      </c>
    </row>
    <row r="21" ht="60.2" customHeight="1" spans="1:15" x14ac:dyDescent="0.25">
      <c r="A21" s="5" t="s">
        <v>1196</v>
      </c>
      <c r="B21" s="2" t="s">
        <v>1196</v>
      </c>
      <c r="C21" s="2" t="s">
        <v>1197</v>
      </c>
      <c r="D21" s="2" t="s">
        <v>1198</v>
      </c>
      <c r="E21" s="2" t="s">
        <v>260</v>
      </c>
      <c r="F21" s="5" t="s">
        <v>354</v>
      </c>
      <c r="G21" s="14" t="s">
        <v>18</v>
      </c>
      <c r="H21" s="2" t="s">
        <v>373</v>
      </c>
      <c r="I21" s="5" t="s">
        <v>354</v>
      </c>
      <c r="J21" s="5" t="s">
        <v>18</v>
      </c>
      <c r="K21" s="5" t="s">
        <v>373</v>
      </c>
      <c r="L21" s="5" t="s">
        <v>354</v>
      </c>
      <c r="M21" s="5" t="s">
        <v>18</v>
      </c>
      <c r="N21" s="5" t="s">
        <v>373</v>
      </c>
      <c r="O21" s="2" t="s">
        <v>374</v>
      </c>
    </row>
    <row r="22" ht="60.2" customHeight="1" spans="1:15" x14ac:dyDescent="0.25">
      <c r="A22" s="5" t="s">
        <v>1199</v>
      </c>
      <c r="B22" s="2" t="s">
        <v>1199</v>
      </c>
      <c r="C22" s="2" t="s">
        <v>1200</v>
      </c>
      <c r="D22" s="2" t="s">
        <v>1201</v>
      </c>
      <c r="E22" s="2" t="s">
        <v>260</v>
      </c>
      <c r="F22" s="5" t="s">
        <v>354</v>
      </c>
      <c r="G22" s="14" t="s">
        <v>18</v>
      </c>
      <c r="H22" s="2" t="s">
        <v>373</v>
      </c>
      <c r="I22" s="5" t="s">
        <v>354</v>
      </c>
      <c r="J22" s="5" t="s">
        <v>18</v>
      </c>
      <c r="K22" s="5" t="s">
        <v>373</v>
      </c>
      <c r="L22" s="5" t="s">
        <v>354</v>
      </c>
      <c r="M22" s="5" t="s">
        <v>18</v>
      </c>
      <c r="N22" s="5" t="s">
        <v>373</v>
      </c>
      <c r="O22" s="2" t="s">
        <v>374</v>
      </c>
    </row>
    <row r="23" ht="75.25" customHeight="1" spans="1:15" x14ac:dyDescent="0.25">
      <c r="A23" s="5" t="s">
        <v>1202</v>
      </c>
      <c r="B23" s="2" t="s">
        <v>1202</v>
      </c>
      <c r="C23" s="2" t="s">
        <v>1203</v>
      </c>
      <c r="D23" s="2" t="s">
        <v>1204</v>
      </c>
      <c r="E23" s="2" t="s">
        <v>260</v>
      </c>
      <c r="F23" s="5" t="s">
        <v>354</v>
      </c>
      <c r="G23" s="14" t="s">
        <v>18</v>
      </c>
      <c r="H23" s="2" t="s">
        <v>373</v>
      </c>
      <c r="I23" s="5" t="s">
        <v>354</v>
      </c>
      <c r="J23" s="5" t="s">
        <v>18</v>
      </c>
      <c r="K23" s="5" t="s">
        <v>373</v>
      </c>
      <c r="L23" s="5" t="s">
        <v>354</v>
      </c>
      <c r="M23" s="5" t="s">
        <v>18</v>
      </c>
      <c r="N23" s="5" t="s">
        <v>373</v>
      </c>
      <c r="O23" s="2" t="s">
        <v>374</v>
      </c>
    </row>
    <row r="24" ht="45.15" customHeight="1" spans="1:15" x14ac:dyDescent="0.25">
      <c r="A24" s="5" t="s">
        <v>1205</v>
      </c>
      <c r="B24" s="2" t="s">
        <v>1205</v>
      </c>
      <c r="C24" s="2" t="s">
        <v>1206</v>
      </c>
      <c r="D24" s="2" t="s">
        <v>1207</v>
      </c>
      <c r="E24" s="2" t="s">
        <v>260</v>
      </c>
      <c r="F24" s="5" t="s">
        <v>354</v>
      </c>
      <c r="G24" s="14" t="s">
        <v>18</v>
      </c>
      <c r="H24" s="2" t="s">
        <v>373</v>
      </c>
      <c r="I24" s="5" t="s">
        <v>354</v>
      </c>
      <c r="J24" s="5" t="s">
        <v>18</v>
      </c>
      <c r="K24" s="5" t="s">
        <v>373</v>
      </c>
      <c r="L24" s="5" t="s">
        <v>354</v>
      </c>
      <c r="M24" s="5" t="s">
        <v>18</v>
      </c>
      <c r="N24" s="5" t="s">
        <v>373</v>
      </c>
      <c r="O24" s="2" t="s">
        <v>374</v>
      </c>
    </row>
    <row r="25" ht="45.15" customHeight="1" spans="1:15" x14ac:dyDescent="0.25">
      <c r="A25" s="5" t="s">
        <v>1208</v>
      </c>
      <c r="B25" s="2" t="s">
        <v>1209</v>
      </c>
      <c r="C25" s="2" t="s">
        <v>1210</v>
      </c>
      <c r="D25" s="2" t="s">
        <v>1211</v>
      </c>
      <c r="E25" s="2" t="s">
        <v>260</v>
      </c>
      <c r="F25" s="5" t="s">
        <v>354</v>
      </c>
      <c r="G25" s="14" t="s">
        <v>18</v>
      </c>
      <c r="H25" s="2" t="s">
        <v>373</v>
      </c>
      <c r="I25" s="5" t="s">
        <v>354</v>
      </c>
      <c r="J25" s="5" t="s">
        <v>18</v>
      </c>
      <c r="K25" s="5" t="s">
        <v>373</v>
      </c>
      <c r="L25" s="5" t="s">
        <v>354</v>
      </c>
      <c r="M25" s="5" t="s">
        <v>18</v>
      </c>
      <c r="N25" s="5" t="s">
        <v>373</v>
      </c>
      <c r="O25" s="2" t="s">
        <v>374</v>
      </c>
    </row>
    <row r="26" ht="45.15" customHeight="1" spans="1:15" x14ac:dyDescent="0.25">
      <c r="A26" s="5" t="s">
        <v>1212</v>
      </c>
      <c r="B26" s="2" t="s">
        <v>1212</v>
      </c>
      <c r="C26" s="2" t="s">
        <v>1213</v>
      </c>
      <c r="D26" s="2" t="s">
        <v>1214</v>
      </c>
      <c r="E26" s="2" t="s">
        <v>260</v>
      </c>
      <c r="F26" s="5" t="s">
        <v>354</v>
      </c>
      <c r="G26" s="14" t="s">
        <v>18</v>
      </c>
      <c r="H26" s="2" t="s">
        <v>373</v>
      </c>
      <c r="I26" s="5" t="s">
        <v>354</v>
      </c>
      <c r="J26" s="5" t="s">
        <v>18</v>
      </c>
      <c r="K26" s="5" t="s">
        <v>373</v>
      </c>
      <c r="L26" s="5" t="s">
        <v>354</v>
      </c>
      <c r="M26" s="5" t="s">
        <v>18</v>
      </c>
      <c r="N26" s="5" t="s">
        <v>373</v>
      </c>
      <c r="O26" s="2" t="s">
        <v>374</v>
      </c>
    </row>
    <row r="27" ht="60.2" customHeight="1" spans="1:15" x14ac:dyDescent="0.25">
      <c r="A27" s="5" t="s">
        <v>1215</v>
      </c>
      <c r="B27" s="2" t="s">
        <v>1215</v>
      </c>
      <c r="C27" s="2" t="s">
        <v>1216</v>
      </c>
      <c r="D27" s="2" t="s">
        <v>1217</v>
      </c>
      <c r="E27" s="2" t="s">
        <v>260</v>
      </c>
      <c r="F27" s="5" t="s">
        <v>354</v>
      </c>
      <c r="G27" s="14" t="s">
        <v>18</v>
      </c>
      <c r="H27" s="2" t="s">
        <v>373</v>
      </c>
      <c r="I27" s="5" t="s">
        <v>354</v>
      </c>
      <c r="J27" s="5" t="s">
        <v>18</v>
      </c>
      <c r="K27" s="5" t="s">
        <v>373</v>
      </c>
      <c r="L27" s="5" t="s">
        <v>354</v>
      </c>
      <c r="M27" s="5" t="s">
        <v>18</v>
      </c>
      <c r="N27" s="5" t="s">
        <v>373</v>
      </c>
      <c r="O27" s="2" t="s">
        <v>374</v>
      </c>
    </row>
    <row r="28" ht="45.15" customHeight="1" spans="1:15" x14ac:dyDescent="0.25">
      <c r="A28" s="5" t="s">
        <v>1218</v>
      </c>
      <c r="B28" s="2" t="s">
        <v>1218</v>
      </c>
      <c r="C28" s="2" t="s">
        <v>1219</v>
      </c>
      <c r="D28" s="2" t="s">
        <v>1220</v>
      </c>
      <c r="E28" s="2" t="s">
        <v>260</v>
      </c>
      <c r="F28" s="5" t="s">
        <v>354</v>
      </c>
      <c r="G28" s="14" t="s">
        <v>18</v>
      </c>
      <c r="H28" s="2" t="s">
        <v>373</v>
      </c>
      <c r="I28" s="5" t="s">
        <v>354</v>
      </c>
      <c r="J28" s="5" t="s">
        <v>18</v>
      </c>
      <c r="K28" s="5" t="s">
        <v>373</v>
      </c>
      <c r="L28" s="5" t="s">
        <v>354</v>
      </c>
      <c r="M28" s="5" t="s">
        <v>18</v>
      </c>
      <c r="N28" s="5" t="s">
        <v>373</v>
      </c>
      <c r="O28" s="2" t="s">
        <v>374</v>
      </c>
    </row>
    <row r="29" ht="45.15" customHeight="1" spans="1:15" x14ac:dyDescent="0.25">
      <c r="A29" s="5" t="s">
        <v>1221</v>
      </c>
      <c r="B29" s="2" t="s">
        <v>1221</v>
      </c>
      <c r="C29" s="2" t="s">
        <v>1222</v>
      </c>
      <c r="D29" s="2" t="s">
        <v>1223</v>
      </c>
      <c r="E29" s="2" t="s">
        <v>260</v>
      </c>
      <c r="F29" s="5" t="s">
        <v>354</v>
      </c>
      <c r="G29" s="14" t="s">
        <v>18</v>
      </c>
      <c r="H29" s="2" t="s">
        <v>373</v>
      </c>
      <c r="I29" s="5" t="s">
        <v>354</v>
      </c>
      <c r="J29" s="5" t="s">
        <v>18</v>
      </c>
      <c r="K29" s="5" t="s">
        <v>373</v>
      </c>
      <c r="L29" s="5" t="s">
        <v>354</v>
      </c>
      <c r="M29" s="5" t="s">
        <v>18</v>
      </c>
      <c r="N29" s="5" t="s">
        <v>373</v>
      </c>
      <c r="O29" s="2" t="s">
        <v>374</v>
      </c>
    </row>
    <row r="30" ht="60.2" customHeight="1" spans="1:15" x14ac:dyDescent="0.25">
      <c r="A30" s="5" t="s">
        <v>1224</v>
      </c>
      <c r="B30" s="2" t="s">
        <v>1224</v>
      </c>
      <c r="C30" s="2" t="s">
        <v>1225</v>
      </c>
      <c r="D30" s="2" t="s">
        <v>1226</v>
      </c>
      <c r="E30" s="2" t="s">
        <v>260</v>
      </c>
      <c r="F30" s="5" t="s">
        <v>354</v>
      </c>
      <c r="G30" s="14" t="s">
        <v>18</v>
      </c>
      <c r="H30" s="2" t="s">
        <v>373</v>
      </c>
      <c r="I30" s="5" t="s">
        <v>354</v>
      </c>
      <c r="J30" s="5" t="s">
        <v>18</v>
      </c>
      <c r="K30" s="5" t="s">
        <v>373</v>
      </c>
      <c r="L30" s="5" t="s">
        <v>354</v>
      </c>
      <c r="M30" s="5" t="s">
        <v>18</v>
      </c>
      <c r="N30" s="5" t="s">
        <v>373</v>
      </c>
      <c r="O30" s="2" t="s">
        <v>374</v>
      </c>
    </row>
    <row r="31" ht="45.15" customHeight="1" spans="1:15" x14ac:dyDescent="0.25">
      <c r="A31" s="5" t="s">
        <v>1227</v>
      </c>
      <c r="B31" s="2" t="s">
        <v>1227</v>
      </c>
      <c r="C31" s="2" t="s">
        <v>1228</v>
      </c>
      <c r="D31" s="2" t="s">
        <v>1229</v>
      </c>
      <c r="E31" s="2" t="s">
        <v>260</v>
      </c>
      <c r="F31" s="5" t="s">
        <v>354</v>
      </c>
      <c r="G31" s="14" t="s">
        <v>18</v>
      </c>
      <c r="H31" s="2" t="s">
        <v>373</v>
      </c>
      <c r="I31" s="5" t="s">
        <v>354</v>
      </c>
      <c r="J31" s="5" t="s">
        <v>18</v>
      </c>
      <c r="K31" s="5" t="s">
        <v>373</v>
      </c>
      <c r="L31" s="5" t="s">
        <v>354</v>
      </c>
      <c r="M31" s="5" t="s">
        <v>18</v>
      </c>
      <c r="N31" s="5" t="s">
        <v>373</v>
      </c>
      <c r="O31" s="2" t="s">
        <v>374</v>
      </c>
    </row>
    <row r="32" ht="45.15" customHeight="1" spans="1:15" x14ac:dyDescent="0.25">
      <c r="A32" s="5" t="s">
        <v>1230</v>
      </c>
      <c r="B32" s="2" t="s">
        <v>1230</v>
      </c>
      <c r="C32" s="2" t="s">
        <v>1231</v>
      </c>
      <c r="D32" s="2" t="s">
        <v>1232</v>
      </c>
      <c r="E32" s="2" t="s">
        <v>260</v>
      </c>
      <c r="F32" s="5" t="s">
        <v>354</v>
      </c>
      <c r="G32" s="14" t="s">
        <v>18</v>
      </c>
      <c r="H32" s="2" t="s">
        <v>373</v>
      </c>
      <c r="I32" s="5" t="s">
        <v>354</v>
      </c>
      <c r="J32" s="5" t="s">
        <v>18</v>
      </c>
      <c r="K32" s="5" t="s">
        <v>373</v>
      </c>
      <c r="L32" s="5" t="s">
        <v>354</v>
      </c>
      <c r="M32" s="5" t="s">
        <v>18</v>
      </c>
      <c r="N32" s="5" t="s">
        <v>373</v>
      </c>
      <c r="O32" s="2" t="s">
        <v>374</v>
      </c>
    </row>
    <row r="33" ht="60.2" customHeight="1" spans="1:15" x14ac:dyDescent="0.25">
      <c r="A33" s="5" t="s">
        <v>1233</v>
      </c>
      <c r="B33" s="2" t="s">
        <v>1233</v>
      </c>
      <c r="C33" s="2" t="s">
        <v>1234</v>
      </c>
      <c r="D33" s="2" t="s">
        <v>1235</v>
      </c>
      <c r="E33" s="2" t="s">
        <v>260</v>
      </c>
      <c r="F33" s="5" t="s">
        <v>354</v>
      </c>
      <c r="G33" s="14" t="s">
        <v>18</v>
      </c>
      <c r="H33" s="2" t="s">
        <v>373</v>
      </c>
      <c r="I33" s="5" t="s">
        <v>354</v>
      </c>
      <c r="J33" s="5" t="s">
        <v>18</v>
      </c>
      <c r="K33" s="5" t="s">
        <v>373</v>
      </c>
      <c r="L33" s="5" t="s">
        <v>354</v>
      </c>
      <c r="M33" s="5" t="s">
        <v>18</v>
      </c>
      <c r="N33" s="5" t="s">
        <v>373</v>
      </c>
      <c r="O33" s="2" t="s">
        <v>374</v>
      </c>
    </row>
    <row r="34" ht="60.2" customHeight="1" spans="1:15" x14ac:dyDescent="0.25">
      <c r="A34" s="5" t="s">
        <v>1236</v>
      </c>
      <c r="B34" s="2" t="s">
        <v>1236</v>
      </c>
      <c r="C34" s="2" t="s">
        <v>1237</v>
      </c>
      <c r="D34" s="2" t="s">
        <v>1238</v>
      </c>
      <c r="E34" s="2" t="s">
        <v>260</v>
      </c>
      <c r="F34" s="5" t="s">
        <v>354</v>
      </c>
      <c r="G34" s="14" t="s">
        <v>18</v>
      </c>
      <c r="H34" s="2" t="s">
        <v>373</v>
      </c>
      <c r="I34" s="5" t="s">
        <v>354</v>
      </c>
      <c r="J34" s="5" t="s">
        <v>18</v>
      </c>
      <c r="K34" s="5" t="s">
        <v>373</v>
      </c>
      <c r="L34" s="5" t="s">
        <v>354</v>
      </c>
      <c r="M34" s="5" t="s">
        <v>18</v>
      </c>
      <c r="N34" s="5" t="s">
        <v>373</v>
      </c>
      <c r="O34" s="2" t="s">
        <v>374</v>
      </c>
    </row>
    <row r="35" ht="45.15" customHeight="1" spans="1:15" x14ac:dyDescent="0.25">
      <c r="A35" s="5" t="s">
        <v>1239</v>
      </c>
      <c r="B35" s="2" t="s">
        <v>1239</v>
      </c>
      <c r="C35" s="2" t="s">
        <v>1240</v>
      </c>
      <c r="D35" s="2" t="s">
        <v>1241</v>
      </c>
      <c r="E35" s="2" t="s">
        <v>260</v>
      </c>
      <c r="F35" s="5" t="s">
        <v>354</v>
      </c>
      <c r="G35" s="14" t="s">
        <v>18</v>
      </c>
      <c r="H35" s="2" t="s">
        <v>373</v>
      </c>
      <c r="I35" s="5" t="s">
        <v>354</v>
      </c>
      <c r="J35" s="5" t="s">
        <v>18</v>
      </c>
      <c r="K35" s="5" t="s">
        <v>373</v>
      </c>
      <c r="L35" s="5" t="s">
        <v>354</v>
      </c>
      <c r="M35" s="5" t="s">
        <v>18</v>
      </c>
      <c r="N35" s="5" t="s">
        <v>373</v>
      </c>
      <c r="O35" s="2" t="s">
        <v>374</v>
      </c>
    </row>
    <row r="36" ht="60.2" customHeight="1" spans="1:15" x14ac:dyDescent="0.25">
      <c r="A36" s="5" t="s">
        <v>1242</v>
      </c>
      <c r="B36" s="2" t="s">
        <v>1242</v>
      </c>
      <c r="C36" s="2" t="s">
        <v>1243</v>
      </c>
      <c r="D36" s="2" t="s">
        <v>1244</v>
      </c>
      <c r="E36" s="2" t="s">
        <v>260</v>
      </c>
      <c r="F36" s="5" t="s">
        <v>354</v>
      </c>
      <c r="G36" s="14" t="s">
        <v>18</v>
      </c>
      <c r="H36" s="2" t="s">
        <v>373</v>
      </c>
      <c r="I36" s="5" t="s">
        <v>354</v>
      </c>
      <c r="J36" s="5" t="s">
        <v>18</v>
      </c>
      <c r="K36" s="5" t="s">
        <v>373</v>
      </c>
      <c r="L36" s="5" t="s">
        <v>354</v>
      </c>
      <c r="M36" s="5" t="s">
        <v>18</v>
      </c>
      <c r="N36" s="5" t="s">
        <v>373</v>
      </c>
      <c r="O36" s="2" t="s">
        <v>374</v>
      </c>
    </row>
    <row r="37" ht="90.35" customHeight="1" spans="1:15" x14ac:dyDescent="0.25">
      <c r="A37" s="5" t="s">
        <v>1245</v>
      </c>
      <c r="B37" s="2" t="s">
        <v>1245</v>
      </c>
      <c r="C37" s="2" t="s">
        <v>1246</v>
      </c>
      <c r="D37" s="2" t="s">
        <v>1247</v>
      </c>
      <c r="E37" s="2" t="s">
        <v>260</v>
      </c>
      <c r="F37" s="5" t="s">
        <v>354</v>
      </c>
      <c r="G37" s="14" t="s">
        <v>18</v>
      </c>
      <c r="H37" s="2" t="s">
        <v>373</v>
      </c>
      <c r="I37" s="5" t="s">
        <v>354</v>
      </c>
      <c r="J37" s="5" t="s">
        <v>18</v>
      </c>
      <c r="K37" s="5" t="s">
        <v>373</v>
      </c>
      <c r="L37" s="5" t="s">
        <v>354</v>
      </c>
      <c r="M37" s="5" t="s">
        <v>18</v>
      </c>
      <c r="N37" s="5" t="s">
        <v>373</v>
      </c>
      <c r="O37" s="2" t="s">
        <v>374</v>
      </c>
    </row>
    <row r="38" ht="75.25" customHeight="1" spans="1:15" x14ac:dyDescent="0.25">
      <c r="A38" s="5" t="s">
        <v>1248</v>
      </c>
      <c r="B38" s="2" t="s">
        <v>1248</v>
      </c>
      <c r="C38" s="2" t="s">
        <v>1249</v>
      </c>
      <c r="D38" s="2" t="s">
        <v>1250</v>
      </c>
      <c r="E38" s="2" t="s">
        <v>260</v>
      </c>
      <c r="F38" s="5" t="s">
        <v>354</v>
      </c>
      <c r="G38" s="14" t="s">
        <v>18</v>
      </c>
      <c r="H38" s="2" t="s">
        <v>373</v>
      </c>
      <c r="I38" s="5" t="s">
        <v>354</v>
      </c>
      <c r="J38" s="5" t="s">
        <v>18</v>
      </c>
      <c r="K38" s="5" t="s">
        <v>373</v>
      </c>
      <c r="L38" s="5" t="s">
        <v>354</v>
      </c>
      <c r="M38" s="5" t="s">
        <v>18</v>
      </c>
      <c r="N38" s="5" t="s">
        <v>373</v>
      </c>
      <c r="O38" s="2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 zoomScale="100" zoomScaleNormal="100">
      <selection activeCell="E2" sqref="E2"/>
    </sheetView>
  </sheetViews>
  <sheetFormatPr defaultRowHeight="15.05" outlineLevelRow="0" outlineLevelCol="6" x14ac:dyDescent="0" defaultColWidth="9" customHeight="1"/>
  <cols>
    <col min="1" max="1" width="20.7457627118644" customWidth="1"/>
    <col min="2" max="2" width="59.5762711864407" customWidth="1"/>
    <col min="3" max="5" width="10" customWidth="1"/>
    <col min="6" max="6" width="8" customWidth="1"/>
    <col min="7" max="7" width="12" customWidth="1"/>
  </cols>
  <sheetData>
    <row r="1" ht="17" customHeight="1" spans="1:1" x14ac:dyDescent="0.25">
      <c r="A1" s="1" t="s">
        <v>1981</v>
      </c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2" x14ac:dyDescent="0.25">
      <c r="A4" s="2" t="s">
        <v>5</v>
      </c>
      <c r="B4" s="3" t="s">
        <v>6</v>
      </c>
    </row>
    <row r="5" spans="1:4" x14ac:dyDescent="0.25">
      <c r="A5" s="2" t="s">
        <v>9</v>
      </c>
      <c r="B5" s="3" t="s">
        <v>1982</v>
      </c>
      <c r="C5" s="2" t="s">
        <v>7</v>
      </c>
      <c r="D5" s="3" t="s">
        <v>8</v>
      </c>
    </row>
    <row r="10" ht="24.85" customHeight="1" spans="1:7" x14ac:dyDescent="0.25">
      <c r="A10" s="4" t="s">
        <v>162</v>
      </c>
      <c r="B10" s="4" t="s">
        <v>164</v>
      </c>
      <c r="C10" s="4" t="s">
        <v>354</v>
      </c>
      <c r="D10" s="4" t="s">
        <v>355</v>
      </c>
      <c r="E10" s="4" t="s">
        <v>356</v>
      </c>
      <c r="F10" s="4" t="s">
        <v>1983</v>
      </c>
      <c r="G10" s="4" t="s">
        <v>1984</v>
      </c>
    </row>
    <row r="11" spans="1:9" x14ac:dyDescent="0.25">
      <c r="A11" s="5">
        <v>1</v>
      </c>
      <c r="B11" s="2" t="s">
        <v>19</v>
      </c>
      <c r="C11" s="5">
        <f>INDIRECT("'"&amp;B11&amp;"'!B5")</f>
      </c>
      <c r="D11" s="5">
        <f>INDIRECT("'"&amp;B11&amp;"'!C5")</f>
      </c>
      <c r="E11" s="5">
        <f>INDIRECT("'"&amp;B11&amp;"'!D5")</f>
      </c>
      <c r="F11" s="5">
        <v>0</v>
      </c>
      <c r="G11" s="5">
        <f>INDIRECT("'"&amp;B11&amp;"'!B3")</f>
      </c>
    </row>
    <row r="12" spans="1:9" x14ac:dyDescent="0.25">
      <c r="A12" s="5">
        <v>2</v>
      </c>
      <c r="B12" s="2" t="s">
        <v>22</v>
      </c>
      <c r="C12" s="5">
        <f>INDIRECT("'"&amp;B12&amp;"'!B5")</f>
      </c>
      <c r="D12" s="5">
        <f>INDIRECT("'"&amp;B12&amp;"'!C5")</f>
      </c>
      <c r="E12" s="5">
        <f>INDIRECT("'"&amp;B12&amp;"'!D5")</f>
      </c>
      <c r="F12" s="5">
        <v>0</v>
      </c>
      <c r="G12" s="5">
        <f>INDIRECT("'"&amp;B12&amp;"'!B3")</f>
      </c>
    </row>
    <row r="13" spans="1:9" x14ac:dyDescent="0.25">
      <c r="A13" s="5">
        <v>3</v>
      </c>
      <c r="B13" s="2" t="s">
        <v>24</v>
      </c>
      <c r="C13" s="5">
        <f>INDIRECT("'"&amp;B13&amp;"'!B5")</f>
      </c>
      <c r="D13" s="5">
        <f>INDIRECT("'"&amp;B13&amp;"'!C5")</f>
      </c>
      <c r="E13" s="5">
        <f>INDIRECT("'"&amp;B13&amp;"'!D5")</f>
      </c>
      <c r="F13" s="5">
        <v>0</v>
      </c>
      <c r="G13" s="5">
        <f>INDIRECT("'"&amp;B13&amp;"'!B3")</f>
      </c>
    </row>
    <row r="14" spans="1:9" x14ac:dyDescent="0.25">
      <c r="A14" s="5">
        <v>4</v>
      </c>
      <c r="B14" s="2" t="s">
        <v>26</v>
      </c>
      <c r="C14" s="5">
        <f>INDIRECT("'"&amp;B14&amp;"'!B5")</f>
      </c>
      <c r="D14" s="5">
        <f>INDIRECT("'"&amp;B14&amp;"'!C5")</f>
      </c>
      <c r="E14" s="5">
        <f>INDIRECT("'"&amp;B14&amp;"'!D5")</f>
      </c>
      <c r="F14" s="5">
        <v>0</v>
      </c>
      <c r="G14" s="5">
        <f>INDIRECT("'"&amp;B14&amp;"'!B3")</f>
      </c>
    </row>
    <row r="15" spans="1:9" x14ac:dyDescent="0.25">
      <c r="A15" s="5">
        <v>5</v>
      </c>
      <c r="B15" s="2" t="s">
        <v>28</v>
      </c>
      <c r="C15" s="5">
        <f>INDIRECT("'"&amp;B15&amp;"'!B5")</f>
      </c>
      <c r="D15" s="5">
        <f>INDIRECT("'"&amp;B15&amp;"'!C5")</f>
      </c>
      <c r="E15" s="5">
        <f>INDIRECT("'"&amp;B15&amp;"'!D5")</f>
      </c>
      <c r="F15" s="5">
        <v>0</v>
      </c>
      <c r="G15" s="5">
        <f>INDIRECT("'"&amp;B15&amp;"'!B3")</f>
      </c>
    </row>
    <row r="16" spans="1:9" x14ac:dyDescent="0.25">
      <c r="A16" s="5">
        <v>6</v>
      </c>
      <c r="B16" s="2" t="s">
        <v>30</v>
      </c>
      <c r="C16" s="5">
        <f>INDIRECT("'"&amp;B16&amp;"'!B5")</f>
      </c>
      <c r="D16" s="5">
        <f>INDIRECT("'"&amp;B16&amp;"'!C5")</f>
      </c>
      <c r="E16" s="5">
        <f>INDIRECT("'"&amp;B16&amp;"'!D5")</f>
      </c>
      <c r="F16" s="5">
        <v>0</v>
      </c>
      <c r="G16" s="5">
        <f>INDIRECT("'"&amp;B16&amp;"'!B3")</f>
      </c>
    </row>
    <row r="17" spans="1:9" x14ac:dyDescent="0.25">
      <c r="A17" s="5">
        <v>7</v>
      </c>
      <c r="B17" s="2" t="s">
        <v>32</v>
      </c>
      <c r="C17" s="5">
        <f>INDIRECT("'"&amp;B17&amp;"'!B5")</f>
      </c>
      <c r="D17" s="5">
        <f>INDIRECT("'"&amp;B17&amp;"'!C5")</f>
      </c>
      <c r="E17" s="5">
        <f>INDIRECT("'"&amp;B17&amp;"'!D5")</f>
      </c>
      <c r="F17" s="5">
        <v>0</v>
      </c>
      <c r="G17" s="5">
        <f>INDIRECT("'"&amp;B17&amp;"'!B3")</f>
      </c>
    </row>
    <row r="18" spans="1:9" x14ac:dyDescent="0.25">
      <c r="A18" s="5">
        <v>8</v>
      </c>
      <c r="B18" s="2" t="s">
        <v>34</v>
      </c>
      <c r="C18" s="5">
        <f>INDIRECT("'"&amp;B18&amp;"'!B5")</f>
      </c>
      <c r="D18" s="5">
        <f>INDIRECT("'"&amp;B18&amp;"'!C5")</f>
      </c>
      <c r="E18" s="5">
        <f>INDIRECT("'"&amp;B18&amp;"'!D5")</f>
      </c>
      <c r="F18" s="5">
        <v>0</v>
      </c>
      <c r="G18" s="5">
        <f>INDIRECT("'"&amp;B18&amp;"'!B3")</f>
      </c>
    </row>
    <row r="19" spans="1:9" x14ac:dyDescent="0.25">
      <c r="A19" s="5">
        <v>9</v>
      </c>
      <c r="B19" s="2" t="s">
        <v>36</v>
      </c>
      <c r="C19" s="5">
        <f>INDIRECT("'"&amp;B19&amp;"'!B5")</f>
      </c>
      <c r="D19" s="5">
        <f>INDIRECT("'"&amp;B19&amp;"'!C5")</f>
      </c>
      <c r="E19" s="5">
        <f>INDIRECT("'"&amp;B19&amp;"'!D5")</f>
      </c>
      <c r="F19" s="5">
        <v>0</v>
      </c>
      <c r="G19" s="5">
        <f>INDIRECT("'"&amp;B19&amp;"'!B3")</f>
      </c>
    </row>
    <row r="20" spans="1:9" x14ac:dyDescent="0.25">
      <c r="A20" s="5">
        <v>10</v>
      </c>
      <c r="B20" s="2" t="s">
        <v>38</v>
      </c>
      <c r="C20" s="5">
        <f>INDIRECT("'"&amp;B20&amp;"'!B5")</f>
      </c>
      <c r="D20" s="5">
        <f>INDIRECT("'"&amp;B20&amp;"'!C5")</f>
      </c>
      <c r="E20" s="5">
        <f>INDIRECT("'"&amp;B20&amp;"'!D5")</f>
      </c>
      <c r="F20" s="5">
        <v>0</v>
      </c>
      <c r="G20" s="5">
        <f>INDIRECT("'"&amp;B20&amp;"'!B3")</f>
      </c>
    </row>
    <row r="21" spans="1:9" x14ac:dyDescent="0.25">
      <c r="A21" s="5">
        <v>11</v>
      </c>
      <c r="B21" s="2" t="s">
        <v>40</v>
      </c>
      <c r="C21" s="5">
        <f>INDIRECT("'"&amp;B21&amp;"'!B5")</f>
      </c>
      <c r="D21" s="5">
        <f>INDIRECT("'"&amp;B21&amp;"'!C5")</f>
      </c>
      <c r="E21" s="5">
        <f>INDIRECT("'"&amp;B21&amp;"'!D5")</f>
      </c>
      <c r="F21" s="5">
        <v>0</v>
      </c>
      <c r="G21" s="5">
        <f>INDIRECT("'"&amp;B21&amp;"'!B3")</f>
      </c>
    </row>
    <row r="22" spans="1:9" x14ac:dyDescent="0.25">
      <c r="A22" s="5">
        <v>12</v>
      </c>
      <c r="B22" s="2" t="s">
        <v>42</v>
      </c>
      <c r="C22" s="5">
        <f>INDIRECT("'"&amp;B22&amp;"'!B5")</f>
      </c>
      <c r="D22" s="5">
        <f>INDIRECT("'"&amp;B22&amp;"'!C5")</f>
      </c>
      <c r="E22" s="5">
        <f>INDIRECT("'"&amp;B22&amp;"'!D5")</f>
      </c>
      <c r="F22" s="5">
        <v>0</v>
      </c>
      <c r="G22" s="5">
        <f>INDIRECT("'"&amp;B22&amp;"'!B3")</f>
      </c>
    </row>
    <row r="23" spans="1:9" x14ac:dyDescent="0.25">
      <c r="A23" s="5">
        <v>13</v>
      </c>
      <c r="B23" s="2" t="s">
        <v>44</v>
      </c>
      <c r="C23" s="5">
        <f>INDIRECT("'"&amp;B23&amp;"'!B5")</f>
      </c>
      <c r="D23" s="5">
        <f>INDIRECT("'"&amp;B23&amp;"'!C5")</f>
      </c>
      <c r="E23" s="5">
        <f>INDIRECT("'"&amp;B23&amp;"'!D5")</f>
      </c>
      <c r="F23" s="5">
        <v>0</v>
      </c>
      <c r="G23" s="5">
        <f>INDIRECT("'"&amp;B23&amp;"'!B3")</f>
      </c>
    </row>
    <row r="24" spans="1:9" x14ac:dyDescent="0.25">
      <c r="A24" s="5">
        <v>14</v>
      </c>
      <c r="B24" s="2" t="s">
        <v>46</v>
      </c>
      <c r="C24" s="5">
        <f>INDIRECT("'"&amp;B24&amp;"'!B5")</f>
      </c>
      <c r="D24" s="5">
        <f>INDIRECT("'"&amp;B24&amp;"'!C5")</f>
      </c>
      <c r="E24" s="5">
        <f>INDIRECT("'"&amp;B24&amp;"'!D5")</f>
      </c>
      <c r="F24" s="5">
        <v>0</v>
      </c>
      <c r="G24" s="5">
        <f>INDIRECT("'"&amp;B24&amp;"'!B3")</f>
      </c>
    </row>
    <row r="25" spans="1:9" x14ac:dyDescent="0.25">
      <c r="A25" s="5">
        <v>15</v>
      </c>
      <c r="B25" s="2" t="s">
        <v>50</v>
      </c>
      <c r="C25" s="5">
        <f>INDIRECT("'"&amp;B25&amp;"'!B5")</f>
      </c>
      <c r="D25" s="5">
        <f>INDIRECT("'"&amp;B25&amp;"'!C5")</f>
      </c>
      <c r="E25" s="5">
        <f>INDIRECT("'"&amp;B25&amp;"'!D5")</f>
      </c>
      <c r="F25" s="5">
        <v>0</v>
      </c>
      <c r="G25" s="5">
        <f>INDIRECT("'"&amp;B25&amp;"'!B3")</f>
      </c>
    </row>
    <row r="26" spans="1:9" x14ac:dyDescent="0.25">
      <c r="A26" s="5">
        <v>16</v>
      </c>
      <c r="B26" s="2" t="s">
        <v>52</v>
      </c>
      <c r="C26" s="5">
        <f>INDIRECT("'"&amp;B26&amp;"'!B5")</f>
      </c>
      <c r="D26" s="5">
        <f>INDIRECT("'"&amp;B26&amp;"'!C5")</f>
      </c>
      <c r="E26" s="5">
        <f>INDIRECT("'"&amp;B26&amp;"'!D5")</f>
      </c>
      <c r="F26" s="5">
        <v>0</v>
      </c>
      <c r="G26" s="5">
        <f>INDIRECT("'"&amp;B26&amp;"'!B3")</f>
      </c>
    </row>
    <row r="27" spans="1:9" x14ac:dyDescent="0.25">
      <c r="A27" s="5">
        <v>17</v>
      </c>
      <c r="B27" s="2" t="s">
        <v>54</v>
      </c>
      <c r="C27" s="5">
        <f>INDIRECT("'"&amp;B27&amp;"'!B5")</f>
      </c>
      <c r="D27" s="5">
        <f>INDIRECT("'"&amp;B27&amp;"'!C5")</f>
      </c>
      <c r="E27" s="5">
        <f>INDIRECT("'"&amp;B27&amp;"'!D5")</f>
      </c>
      <c r="F27" s="5">
        <v>0</v>
      </c>
      <c r="G27" s="5">
        <f>INDIRECT("'"&amp;B27&amp;"'!B3")</f>
      </c>
    </row>
    <row r="28" spans="1:9" x14ac:dyDescent="0.25">
      <c r="A28" s="5">
        <v>18</v>
      </c>
      <c r="B28" s="2" t="s">
        <v>56</v>
      </c>
      <c r="C28" s="5">
        <f>INDIRECT("'"&amp;B28&amp;"'!B5")</f>
      </c>
      <c r="D28" s="5">
        <f>INDIRECT("'"&amp;B28&amp;"'!C5")</f>
      </c>
      <c r="E28" s="5">
        <f>INDIRECT("'"&amp;B28&amp;"'!D5")</f>
      </c>
      <c r="F28" s="5">
        <v>0</v>
      </c>
      <c r="G28" s="5">
        <f>INDIRECT("'"&amp;B28&amp;"'!B3")</f>
      </c>
    </row>
    <row r="29" spans="1:9" x14ac:dyDescent="0.25">
      <c r="A29" s="5">
        <v>19</v>
      </c>
      <c r="B29" s="2" t="s">
        <v>58</v>
      </c>
      <c r="C29" s="5">
        <f>INDIRECT("'"&amp;B29&amp;"'!B5")</f>
      </c>
      <c r="D29" s="5">
        <f>INDIRECT("'"&amp;B29&amp;"'!C5")</f>
      </c>
      <c r="E29" s="5">
        <f>INDIRECT("'"&amp;B29&amp;"'!D5")</f>
      </c>
      <c r="F29" s="5">
        <v>0</v>
      </c>
      <c r="G29" s="5">
        <f>INDIRECT("'"&amp;B29&amp;"'!B3")</f>
      </c>
    </row>
    <row r="30" spans="1:9" x14ac:dyDescent="0.25">
      <c r="A30" s="5">
        <v>20</v>
      </c>
      <c r="B30" s="2" t="s">
        <v>60</v>
      </c>
      <c r="C30" s="5">
        <f>INDIRECT("'"&amp;B30&amp;"'!B5")</f>
      </c>
      <c r="D30" s="5">
        <f>INDIRECT("'"&amp;B30&amp;"'!C5")</f>
      </c>
      <c r="E30" s="5">
        <f>INDIRECT("'"&amp;B30&amp;"'!D5")</f>
      </c>
      <c r="F30" s="5">
        <v>0</v>
      </c>
      <c r="G30" s="5">
        <f>INDIRECT("'"&amp;B30&amp;"'!B3")</f>
      </c>
    </row>
    <row r="31" spans="1:9" x14ac:dyDescent="0.25">
      <c r="A31" s="5">
        <v>21</v>
      </c>
      <c r="B31" s="2" t="s">
        <v>62</v>
      </c>
      <c r="C31" s="5">
        <f>INDIRECT("'"&amp;B31&amp;"'!B5")</f>
      </c>
      <c r="D31" s="5">
        <f>INDIRECT("'"&amp;B31&amp;"'!C5")</f>
      </c>
      <c r="E31" s="5">
        <f>INDIRECT("'"&amp;B31&amp;"'!D5")</f>
      </c>
      <c r="F31" s="5">
        <v>0</v>
      </c>
      <c r="G31" s="5">
        <f>INDIRECT("'"&amp;B31&amp;"'!B3")</f>
      </c>
    </row>
    <row r="32" spans="1:9" x14ac:dyDescent="0.25">
      <c r="A32" s="5">
        <v>22</v>
      </c>
      <c r="B32" s="2" t="s">
        <v>64</v>
      </c>
      <c r="C32" s="5">
        <f>INDIRECT("'"&amp;B32&amp;"'!B5")</f>
      </c>
      <c r="D32" s="5">
        <f>INDIRECT("'"&amp;B32&amp;"'!C5")</f>
      </c>
      <c r="E32" s="5">
        <f>INDIRECT("'"&amp;B32&amp;"'!D5")</f>
      </c>
      <c r="F32" s="5">
        <v>0</v>
      </c>
      <c r="G32" s="5">
        <f>INDIRECT("'"&amp;B32&amp;"'!B3")</f>
      </c>
    </row>
    <row r="33" spans="1:9" x14ac:dyDescent="0.25">
      <c r="A33" s="5">
        <v>23</v>
      </c>
      <c r="B33" s="2" t="s">
        <v>66</v>
      </c>
      <c r="C33" s="5">
        <f>INDIRECT("'"&amp;B33&amp;"'!B5")</f>
      </c>
      <c r="D33" s="5">
        <f>INDIRECT("'"&amp;B33&amp;"'!C5")</f>
      </c>
      <c r="E33" s="5">
        <f>INDIRECT("'"&amp;B33&amp;"'!D5")</f>
      </c>
      <c r="F33" s="5">
        <v>0</v>
      </c>
      <c r="G33" s="5">
        <f>INDIRECT("'"&amp;B33&amp;"'!B3")</f>
      </c>
    </row>
    <row r="34" spans="1:9" x14ac:dyDescent="0.25">
      <c r="A34" s="5">
        <v>24</v>
      </c>
      <c r="B34" s="2" t="s">
        <v>68</v>
      </c>
      <c r="C34" s="5">
        <f>INDIRECT("'"&amp;B34&amp;"'!B5")</f>
      </c>
      <c r="D34" s="5">
        <f>INDIRECT("'"&amp;B34&amp;"'!C5")</f>
      </c>
      <c r="E34" s="5">
        <f>INDIRECT("'"&amp;B34&amp;"'!D5")</f>
      </c>
      <c r="F34" s="5">
        <v>0</v>
      </c>
      <c r="G34" s="5">
        <f>INDIRECT("'"&amp;B34&amp;"'!B3")</f>
      </c>
    </row>
    <row r="35" spans="1:9" x14ac:dyDescent="0.25">
      <c r="A35" s="5">
        <v>25</v>
      </c>
      <c r="B35" s="2" t="s">
        <v>70</v>
      </c>
      <c r="C35" s="5">
        <f>INDIRECT("'"&amp;B35&amp;"'!B5")</f>
      </c>
      <c r="D35" s="5">
        <f>INDIRECT("'"&amp;B35&amp;"'!C5")</f>
      </c>
      <c r="E35" s="5">
        <f>INDIRECT("'"&amp;B35&amp;"'!D5")</f>
      </c>
      <c r="F35" s="5">
        <v>0</v>
      </c>
      <c r="G35" s="5">
        <f>INDIRECT("'"&amp;B35&amp;"'!B3")</f>
      </c>
    </row>
    <row r="36" spans="1:9" x14ac:dyDescent="0.25">
      <c r="A36" s="5">
        <v>26</v>
      </c>
      <c r="B36" s="2" t="s">
        <v>72</v>
      </c>
      <c r="C36" s="5">
        <f>INDIRECT("'"&amp;B36&amp;"'!B5")</f>
      </c>
      <c r="D36" s="5">
        <f>INDIRECT("'"&amp;B36&amp;"'!C5")</f>
      </c>
      <c r="E36" s="5">
        <f>INDIRECT("'"&amp;B36&amp;"'!D5")</f>
      </c>
      <c r="F36" s="5">
        <v>0</v>
      </c>
      <c r="G36" s="5">
        <f>INDIRECT("'"&amp;B36&amp;"'!B3")</f>
      </c>
    </row>
    <row r="37" spans="1:9" x14ac:dyDescent="0.25">
      <c r="A37" s="5">
        <v>27</v>
      </c>
      <c r="B37" s="2" t="s">
        <v>74</v>
      </c>
      <c r="C37" s="5">
        <f>INDIRECT("'"&amp;B37&amp;"'!B5")</f>
      </c>
      <c r="D37" s="5">
        <f>INDIRECT("'"&amp;B37&amp;"'!C5")</f>
      </c>
      <c r="E37" s="5">
        <f>INDIRECT("'"&amp;B37&amp;"'!D5")</f>
      </c>
      <c r="F37" s="5">
        <v>0</v>
      </c>
      <c r="G37" s="5">
        <f>INDIRECT("'"&amp;B37&amp;"'!B3")</f>
      </c>
    </row>
    <row r="38" spans="1:9" x14ac:dyDescent="0.25">
      <c r="A38" s="5">
        <v>28</v>
      </c>
      <c r="B38" s="2" t="s">
        <v>76</v>
      </c>
      <c r="C38" s="5">
        <f>INDIRECT("'"&amp;B38&amp;"'!B5")</f>
      </c>
      <c r="D38" s="5">
        <f>INDIRECT("'"&amp;B38&amp;"'!C5")</f>
      </c>
      <c r="E38" s="5">
        <f>INDIRECT("'"&amp;B38&amp;"'!D5")</f>
      </c>
      <c r="F38" s="5">
        <v>0</v>
      </c>
      <c r="G38" s="5">
        <f>INDIRECT("'"&amp;B38&amp;"'!B3")</f>
      </c>
    </row>
    <row r="39" spans="1:9" x14ac:dyDescent="0.25">
      <c r="A39" s="5">
        <v>29</v>
      </c>
      <c r="B39" s="2" t="s">
        <v>78</v>
      </c>
      <c r="C39" s="5">
        <f>INDIRECT("'"&amp;B39&amp;"'!B5")</f>
      </c>
      <c r="D39" s="5">
        <f>INDIRECT("'"&amp;B39&amp;"'!C5")</f>
      </c>
      <c r="E39" s="5">
        <f>INDIRECT("'"&amp;B39&amp;"'!D5")</f>
      </c>
      <c r="F39" s="5">
        <v>0</v>
      </c>
      <c r="G39" s="5">
        <f>INDIRECT("'"&amp;B39&amp;"'!B3")</f>
      </c>
    </row>
    <row r="40" spans="1:9" x14ac:dyDescent="0.25">
      <c r="A40" s="5">
        <v>30</v>
      </c>
      <c r="B40" s="2" t="s">
        <v>80</v>
      </c>
      <c r="C40" s="5">
        <f>INDIRECT("'"&amp;B40&amp;"'!B5")</f>
      </c>
      <c r="D40" s="5">
        <f>INDIRECT("'"&amp;B40&amp;"'!C5")</f>
      </c>
      <c r="E40" s="5">
        <f>INDIRECT("'"&amp;B40&amp;"'!D5")</f>
      </c>
      <c r="F40" s="5">
        <v>0</v>
      </c>
      <c r="G40" s="5">
        <f>INDIRECT("'"&amp;B40&amp;"'!B3")</f>
      </c>
    </row>
    <row r="41" spans="1:9" x14ac:dyDescent="0.25">
      <c r="A41" s="5">
        <v>31</v>
      </c>
      <c r="B41" s="2" t="s">
        <v>82</v>
      </c>
      <c r="C41" s="5">
        <f>INDIRECT("'"&amp;B41&amp;"'!B5")</f>
      </c>
      <c r="D41" s="5">
        <f>INDIRECT("'"&amp;B41&amp;"'!C5")</f>
      </c>
      <c r="E41" s="5">
        <f>INDIRECT("'"&amp;B41&amp;"'!D5")</f>
      </c>
      <c r="F41" s="5">
        <v>0</v>
      </c>
      <c r="G41" s="5">
        <f>INDIRECT("'"&amp;B41&amp;"'!B3")</f>
      </c>
    </row>
    <row r="42" spans="1:9" x14ac:dyDescent="0.25">
      <c r="A42" s="5">
        <v>32</v>
      </c>
      <c r="B42" s="2" t="s">
        <v>84</v>
      </c>
      <c r="C42" s="5">
        <f>INDIRECT("'"&amp;B42&amp;"'!B5")</f>
      </c>
      <c r="D42" s="5">
        <f>INDIRECT("'"&amp;B42&amp;"'!C5")</f>
      </c>
      <c r="E42" s="5">
        <f>INDIRECT("'"&amp;B42&amp;"'!D5")</f>
      </c>
      <c r="F42" s="5">
        <v>0</v>
      </c>
      <c r="G42" s="5">
        <f>INDIRECT("'"&amp;B42&amp;"'!B3")</f>
      </c>
    </row>
    <row r="43" spans="1:9" x14ac:dyDescent="0.25">
      <c r="A43" s="5">
        <v>33</v>
      </c>
      <c r="B43" s="2" t="s">
        <v>87</v>
      </c>
      <c r="C43" s="5">
        <f>INDIRECT("'"&amp;B43&amp;"'!B5")</f>
      </c>
      <c r="D43" s="5">
        <f>INDIRECT("'"&amp;B43&amp;"'!C5")</f>
      </c>
      <c r="E43" s="5">
        <f>INDIRECT("'"&amp;B43&amp;"'!D5")</f>
      </c>
      <c r="F43" s="5">
        <v>0</v>
      </c>
      <c r="G43" s="5">
        <f>INDIRECT("'"&amp;B43&amp;"'!B3")</f>
      </c>
    </row>
    <row r="44" spans="1:9" x14ac:dyDescent="0.25">
      <c r="A44" s="5">
        <v>34</v>
      </c>
      <c r="B44" s="2" t="s">
        <v>89</v>
      </c>
      <c r="C44" s="5">
        <f>INDIRECT("'"&amp;B44&amp;"'!B5")</f>
      </c>
      <c r="D44" s="5">
        <f>INDIRECT("'"&amp;B44&amp;"'!C5")</f>
      </c>
      <c r="E44" s="5">
        <f>INDIRECT("'"&amp;B44&amp;"'!D5")</f>
      </c>
      <c r="F44" s="5">
        <v>0</v>
      </c>
      <c r="G44" s="5">
        <f>INDIRECT("'"&amp;B44&amp;"'!B3")</f>
      </c>
    </row>
    <row r="45" spans="1:9" x14ac:dyDescent="0.25">
      <c r="A45" s="5">
        <v>35</v>
      </c>
      <c r="B45" s="2" t="s">
        <v>93</v>
      </c>
      <c r="C45" s="5">
        <f>INDIRECT("'"&amp;B45&amp;"'!B5")</f>
      </c>
      <c r="D45" s="5">
        <f>INDIRECT("'"&amp;B45&amp;"'!C5")</f>
      </c>
      <c r="E45" s="5">
        <f>INDIRECT("'"&amp;B45&amp;"'!D5")</f>
      </c>
      <c r="F45" s="5">
        <v>0</v>
      </c>
      <c r="G45" s="5">
        <f>INDIRECT("'"&amp;B45&amp;"'!B3")</f>
      </c>
    </row>
    <row r="46" spans="1:9" x14ac:dyDescent="0.25">
      <c r="A46" s="5">
        <v>36</v>
      </c>
      <c r="B46" s="2" t="s">
        <v>95</v>
      </c>
      <c r="C46" s="5">
        <f>INDIRECT("'"&amp;B46&amp;"'!B5")</f>
      </c>
      <c r="D46" s="5">
        <f>INDIRECT("'"&amp;B46&amp;"'!C5")</f>
      </c>
      <c r="E46" s="5">
        <f>INDIRECT("'"&amp;B46&amp;"'!D5")</f>
      </c>
      <c r="F46" s="5">
        <v>0</v>
      </c>
      <c r="G46" s="5">
        <f>INDIRECT("'"&amp;B46&amp;"'!B3")</f>
      </c>
    </row>
    <row r="47" spans="1:9" x14ac:dyDescent="0.25">
      <c r="A47" s="5">
        <v>37</v>
      </c>
      <c r="B47" s="2" t="s">
        <v>97</v>
      </c>
      <c r="C47" s="5">
        <f>INDIRECT("'"&amp;B47&amp;"'!B5")</f>
      </c>
      <c r="D47" s="5">
        <f>INDIRECT("'"&amp;B47&amp;"'!C5")</f>
      </c>
      <c r="E47" s="5">
        <f>INDIRECT("'"&amp;B47&amp;"'!D5")</f>
      </c>
      <c r="F47" s="5">
        <v>0</v>
      </c>
      <c r="G47" s="5">
        <f>INDIRECT("'"&amp;B47&amp;"'!B3")</f>
      </c>
    </row>
    <row r="48" spans="1:9" x14ac:dyDescent="0.25">
      <c r="A48" s="5">
        <v>38</v>
      </c>
      <c r="B48" s="2" t="s">
        <v>99</v>
      </c>
      <c r="C48" s="5">
        <f>INDIRECT("'"&amp;B48&amp;"'!B5")</f>
      </c>
      <c r="D48" s="5">
        <f>INDIRECT("'"&amp;B48&amp;"'!C5")</f>
      </c>
      <c r="E48" s="5">
        <f>INDIRECT("'"&amp;B48&amp;"'!D5")</f>
      </c>
      <c r="F48" s="5">
        <v>0</v>
      </c>
      <c r="G48" s="5">
        <f>INDIRECT("'"&amp;B48&amp;"'!B3")</f>
      </c>
    </row>
    <row r="49" spans="1:9" x14ac:dyDescent="0.25">
      <c r="A49" s="5">
        <v>39</v>
      </c>
      <c r="B49" s="2" t="s">
        <v>101</v>
      </c>
      <c r="C49" s="5">
        <f>INDIRECT("'"&amp;B49&amp;"'!B5")</f>
      </c>
      <c r="D49" s="5">
        <f>INDIRECT("'"&amp;B49&amp;"'!C5")</f>
      </c>
      <c r="E49" s="5">
        <f>INDIRECT("'"&amp;B49&amp;"'!D5")</f>
      </c>
      <c r="F49" s="5">
        <v>0</v>
      </c>
      <c r="G49" s="5">
        <f>INDIRECT("'"&amp;B49&amp;"'!B3")</f>
      </c>
    </row>
    <row r="50" spans="1:9" x14ac:dyDescent="0.25">
      <c r="A50" s="5">
        <v>40</v>
      </c>
      <c r="B50" s="2" t="s">
        <v>103</v>
      </c>
      <c r="C50" s="5">
        <f>INDIRECT("'"&amp;B50&amp;"'!B5")</f>
      </c>
      <c r="D50" s="5">
        <f>INDIRECT("'"&amp;B50&amp;"'!C5")</f>
      </c>
      <c r="E50" s="5">
        <f>INDIRECT("'"&amp;B50&amp;"'!D5")</f>
      </c>
      <c r="F50" s="5">
        <v>0</v>
      </c>
      <c r="G50" s="5">
        <f>INDIRECT("'"&amp;B50&amp;"'!B3")</f>
      </c>
    </row>
    <row r="51" spans="1:9" x14ac:dyDescent="0.25">
      <c r="A51" s="5">
        <v>41</v>
      </c>
      <c r="B51" s="2" t="s">
        <v>105</v>
      </c>
      <c r="C51" s="5">
        <f>INDIRECT("'"&amp;B51&amp;"'!B5")</f>
      </c>
      <c r="D51" s="5">
        <f>INDIRECT("'"&amp;B51&amp;"'!C5")</f>
      </c>
      <c r="E51" s="5">
        <f>INDIRECT("'"&amp;B51&amp;"'!D5")</f>
      </c>
      <c r="F51" s="5">
        <v>0</v>
      </c>
      <c r="G51" s="5">
        <f>INDIRECT("'"&amp;B51&amp;"'!B3")</f>
      </c>
    </row>
    <row r="52" spans="1:9" x14ac:dyDescent="0.25">
      <c r="A52" s="5">
        <v>42</v>
      </c>
      <c r="B52" s="2" t="s">
        <v>107</v>
      </c>
      <c r="C52" s="5">
        <f>INDIRECT("'"&amp;B52&amp;"'!B5")</f>
      </c>
      <c r="D52" s="5">
        <f>INDIRECT("'"&amp;B52&amp;"'!C5")</f>
      </c>
      <c r="E52" s="5">
        <f>INDIRECT("'"&amp;B52&amp;"'!D5")</f>
      </c>
      <c r="F52" s="5">
        <v>0</v>
      </c>
      <c r="G52" s="5">
        <f>INDIRECT("'"&amp;B52&amp;"'!B3")</f>
      </c>
    </row>
    <row r="53" spans="1:9" x14ac:dyDescent="0.25">
      <c r="A53" s="5">
        <v>43</v>
      </c>
      <c r="B53" s="2" t="s">
        <v>109</v>
      </c>
      <c r="C53" s="5">
        <f>INDIRECT("'"&amp;B53&amp;"'!B5")</f>
      </c>
      <c r="D53" s="5">
        <f>INDIRECT("'"&amp;B53&amp;"'!C5")</f>
      </c>
      <c r="E53" s="5">
        <f>INDIRECT("'"&amp;B53&amp;"'!D5")</f>
      </c>
      <c r="F53" s="5">
        <v>0</v>
      </c>
      <c r="G53" s="5">
        <f>INDIRECT("'"&amp;B53&amp;"'!B3")</f>
      </c>
    </row>
    <row r="54" spans="1:9" x14ac:dyDescent="0.25">
      <c r="A54" s="5">
        <v>44</v>
      </c>
      <c r="B54" s="2" t="s">
        <v>111</v>
      </c>
      <c r="C54" s="5">
        <f>INDIRECT("'"&amp;B54&amp;"'!B5")</f>
      </c>
      <c r="D54" s="5">
        <f>INDIRECT("'"&amp;B54&amp;"'!C5")</f>
      </c>
      <c r="E54" s="5">
        <f>INDIRECT("'"&amp;B54&amp;"'!D5")</f>
      </c>
      <c r="F54" s="5">
        <v>0</v>
      </c>
      <c r="G54" s="5">
        <f>INDIRECT("'"&amp;B54&amp;"'!B3")</f>
      </c>
    </row>
    <row r="55" spans="1:9" x14ac:dyDescent="0.25">
      <c r="A55" s="5">
        <v>45</v>
      </c>
      <c r="B55" s="2" t="s">
        <v>113</v>
      </c>
      <c r="C55" s="5">
        <f>INDIRECT("'"&amp;B55&amp;"'!B5")</f>
      </c>
      <c r="D55" s="5">
        <f>INDIRECT("'"&amp;B55&amp;"'!C5")</f>
      </c>
      <c r="E55" s="5">
        <f>INDIRECT("'"&amp;B55&amp;"'!D5")</f>
      </c>
      <c r="F55" s="5">
        <v>0</v>
      </c>
      <c r="G55" s="5">
        <f>INDIRECT("'"&amp;B55&amp;"'!B3")</f>
      </c>
    </row>
    <row r="56" spans="1:9" x14ac:dyDescent="0.25">
      <c r="A56" s="5">
        <v>46</v>
      </c>
      <c r="B56" s="2" t="s">
        <v>115</v>
      </c>
      <c r="C56" s="5">
        <f>INDIRECT("'"&amp;B56&amp;"'!B5")</f>
      </c>
      <c r="D56" s="5">
        <f>INDIRECT("'"&amp;B56&amp;"'!C5")</f>
      </c>
      <c r="E56" s="5">
        <f>INDIRECT("'"&amp;B56&amp;"'!D5")</f>
      </c>
      <c r="F56" s="5">
        <v>0</v>
      </c>
      <c r="G56" s="5">
        <f>INDIRECT("'"&amp;B56&amp;"'!B3")</f>
      </c>
    </row>
    <row r="57" spans="1:9" x14ac:dyDescent="0.25">
      <c r="A57" s="5">
        <v>47</v>
      </c>
      <c r="B57" s="2" t="s">
        <v>117</v>
      </c>
      <c r="C57" s="5">
        <f>INDIRECT("'"&amp;B57&amp;"'!B5")</f>
      </c>
      <c r="D57" s="5">
        <f>INDIRECT("'"&amp;B57&amp;"'!C5")</f>
      </c>
      <c r="E57" s="5">
        <f>INDIRECT("'"&amp;B57&amp;"'!D5")</f>
      </c>
      <c r="F57" s="5">
        <v>0</v>
      </c>
      <c r="G57" s="5">
        <f>INDIRECT("'"&amp;B57&amp;"'!B3")</f>
      </c>
    </row>
    <row r="58" spans="1:9" x14ac:dyDescent="0.25">
      <c r="A58" s="5">
        <v>48</v>
      </c>
      <c r="B58" s="2" t="s">
        <v>119</v>
      </c>
      <c r="C58" s="5">
        <f>INDIRECT("'"&amp;B58&amp;"'!B5")</f>
      </c>
      <c r="D58" s="5">
        <f>INDIRECT("'"&amp;B58&amp;"'!C5")</f>
      </c>
      <c r="E58" s="5">
        <f>INDIRECT("'"&amp;B58&amp;"'!D5")</f>
      </c>
      <c r="F58" s="5">
        <v>0</v>
      </c>
      <c r="G58" s="5">
        <f>INDIRECT("'"&amp;B58&amp;"'!B3")</f>
      </c>
    </row>
    <row r="59" spans="1:9" x14ac:dyDescent="0.25">
      <c r="A59" s="5">
        <v>49</v>
      </c>
      <c r="B59" s="2" t="s">
        <v>121</v>
      </c>
      <c r="C59" s="5">
        <f>INDIRECT("'"&amp;B59&amp;"'!B5")</f>
      </c>
      <c r="D59" s="5">
        <f>INDIRECT("'"&amp;B59&amp;"'!C5")</f>
      </c>
      <c r="E59" s="5">
        <f>INDIRECT("'"&amp;B59&amp;"'!D5")</f>
      </c>
      <c r="F59" s="5">
        <v>0</v>
      </c>
      <c r="G59" s="5">
        <f>INDIRECT("'"&amp;B59&amp;"'!B3")</f>
      </c>
    </row>
    <row r="60" spans="1:9" x14ac:dyDescent="0.25">
      <c r="A60" s="5">
        <v>50</v>
      </c>
      <c r="B60" s="2" t="s">
        <v>123</v>
      </c>
      <c r="C60" s="5">
        <f>INDIRECT("'"&amp;B60&amp;"'!B5")</f>
      </c>
      <c r="D60" s="5">
        <f>INDIRECT("'"&amp;B60&amp;"'!C5")</f>
      </c>
      <c r="E60" s="5">
        <f>INDIRECT("'"&amp;B60&amp;"'!D5")</f>
      </c>
      <c r="F60" s="5">
        <v>0</v>
      </c>
      <c r="G60" s="5">
        <f>INDIRECT("'"&amp;B60&amp;"'!B3")</f>
      </c>
    </row>
    <row r="61" spans="1:9" x14ac:dyDescent="0.25">
      <c r="A61" s="5">
        <v>51</v>
      </c>
      <c r="B61" s="2" t="s">
        <v>125</v>
      </c>
      <c r="C61" s="5">
        <f>INDIRECT("'"&amp;B61&amp;"'!B5")</f>
      </c>
      <c r="D61" s="5">
        <f>INDIRECT("'"&amp;B61&amp;"'!C5")</f>
      </c>
      <c r="E61" s="5">
        <f>INDIRECT("'"&amp;B61&amp;"'!D5")</f>
      </c>
      <c r="F61" s="5">
        <v>0</v>
      </c>
      <c r="G61" s="5">
        <f>INDIRECT("'"&amp;B61&amp;"'!B3")</f>
      </c>
    </row>
    <row r="62" spans="1:9" x14ac:dyDescent="0.25">
      <c r="A62" s="5">
        <v>52</v>
      </c>
      <c r="B62" s="2" t="s">
        <v>127</v>
      </c>
      <c r="C62" s="5">
        <f>INDIRECT("'"&amp;B62&amp;"'!B5")</f>
      </c>
      <c r="D62" s="5">
        <f>INDIRECT("'"&amp;B62&amp;"'!C5")</f>
      </c>
      <c r="E62" s="5">
        <f>INDIRECT("'"&amp;B62&amp;"'!D5")</f>
      </c>
      <c r="F62" s="5">
        <v>0</v>
      </c>
      <c r="G62" s="5">
        <f>INDIRECT("'"&amp;B62&amp;"'!B3")</f>
      </c>
    </row>
    <row r="63" spans="1:9" x14ac:dyDescent="0.25">
      <c r="A63" s="5">
        <v>53</v>
      </c>
      <c r="B63" s="2" t="s">
        <v>129</v>
      </c>
      <c r="C63" s="5">
        <f>INDIRECT("'"&amp;B63&amp;"'!B5")</f>
      </c>
      <c r="D63" s="5">
        <f>INDIRECT("'"&amp;B63&amp;"'!C5")</f>
      </c>
      <c r="E63" s="5">
        <f>INDIRECT("'"&amp;B63&amp;"'!D5")</f>
      </c>
      <c r="F63" s="5">
        <v>0</v>
      </c>
      <c r="G63" s="5">
        <f>INDIRECT("'"&amp;B63&amp;"'!B3")</f>
      </c>
    </row>
    <row r="64" spans="1:9" x14ac:dyDescent="0.25">
      <c r="A64" s="5">
        <v>54</v>
      </c>
      <c r="B64" s="2" t="s">
        <v>131</v>
      </c>
      <c r="C64" s="5">
        <f>INDIRECT("'"&amp;B64&amp;"'!B5")</f>
      </c>
      <c r="D64" s="5">
        <f>INDIRECT("'"&amp;B64&amp;"'!C5")</f>
      </c>
      <c r="E64" s="5">
        <f>INDIRECT("'"&amp;B64&amp;"'!D5")</f>
      </c>
      <c r="F64" s="5">
        <v>0</v>
      </c>
      <c r="G64" s="5">
        <f>INDIRECT("'"&amp;B64&amp;"'!B3")</f>
      </c>
    </row>
    <row r="65" spans="1:9" x14ac:dyDescent="0.25">
      <c r="A65" s="5">
        <v>55</v>
      </c>
      <c r="B65" s="2" t="s">
        <v>133</v>
      </c>
      <c r="C65" s="5">
        <f>INDIRECT("'"&amp;B65&amp;"'!B5")</f>
      </c>
      <c r="D65" s="5">
        <f>INDIRECT("'"&amp;B65&amp;"'!C5")</f>
      </c>
      <c r="E65" s="5">
        <f>INDIRECT("'"&amp;B65&amp;"'!D5")</f>
      </c>
      <c r="F65" s="5">
        <v>0</v>
      </c>
      <c r="G65" s="5">
        <f>INDIRECT("'"&amp;B65&amp;"'!B3")</f>
      </c>
    </row>
    <row r="66" spans="1:9" x14ac:dyDescent="0.25">
      <c r="A66" s="5">
        <v>56</v>
      </c>
      <c r="B66" s="2" t="s">
        <v>135</v>
      </c>
      <c r="C66" s="5">
        <f>INDIRECT("'"&amp;B66&amp;"'!B5")</f>
      </c>
      <c r="D66" s="5">
        <f>INDIRECT("'"&amp;B66&amp;"'!C5")</f>
      </c>
      <c r="E66" s="5">
        <f>INDIRECT("'"&amp;B66&amp;"'!D5")</f>
      </c>
      <c r="F66" s="5">
        <v>0</v>
      </c>
      <c r="G66" s="5">
        <f>INDIRECT("'"&amp;B66&amp;"'!B3")</f>
      </c>
    </row>
    <row r="67" spans="1:9" x14ac:dyDescent="0.25">
      <c r="A67" s="5">
        <v>57</v>
      </c>
      <c r="B67" s="2" t="s">
        <v>137</v>
      </c>
      <c r="C67" s="5">
        <f>INDIRECT("'"&amp;B67&amp;"'!B5")</f>
      </c>
      <c r="D67" s="5">
        <f>INDIRECT("'"&amp;B67&amp;"'!C5")</f>
      </c>
      <c r="E67" s="5">
        <f>INDIRECT("'"&amp;B67&amp;"'!D5")</f>
      </c>
      <c r="F67" s="5">
        <v>0</v>
      </c>
      <c r="G67" s="5">
        <f>INDIRECT("'"&amp;B67&amp;"'!B3")</f>
      </c>
    </row>
    <row r="68" spans="1:9" x14ac:dyDescent="0.25">
      <c r="A68" s="5">
        <v>58</v>
      </c>
      <c r="B68" s="2" t="s">
        <v>139</v>
      </c>
      <c r="C68" s="5">
        <f>INDIRECT("'"&amp;B68&amp;"'!B5")</f>
      </c>
      <c r="D68" s="5">
        <f>INDIRECT("'"&amp;B68&amp;"'!C5")</f>
      </c>
      <c r="E68" s="5">
        <f>INDIRECT("'"&amp;B68&amp;"'!D5")</f>
      </c>
      <c r="F68" s="5">
        <v>0</v>
      </c>
      <c r="G68" s="5">
        <f>INDIRECT("'"&amp;B68&amp;"'!B3")</f>
      </c>
    </row>
    <row r="69" spans="1:9" x14ac:dyDescent="0.25">
      <c r="A69" s="5">
        <v>59</v>
      </c>
      <c r="B69" s="2" t="s">
        <v>141</v>
      </c>
      <c r="C69" s="5">
        <f>INDIRECT("'"&amp;B69&amp;"'!B5")</f>
      </c>
      <c r="D69" s="5">
        <f>INDIRECT("'"&amp;B69&amp;"'!C5")</f>
      </c>
      <c r="E69" s="5">
        <f>INDIRECT("'"&amp;B69&amp;"'!D5")</f>
      </c>
      <c r="F69" s="5">
        <v>0</v>
      </c>
      <c r="G69" s="5">
        <f>INDIRECT("'"&amp;B69&amp;"'!B3")</f>
      </c>
    </row>
    <row r="70" spans="1:9" x14ac:dyDescent="0.25">
      <c r="A70" s="5">
        <v>60</v>
      </c>
      <c r="B70" s="2" t="s">
        <v>143</v>
      </c>
      <c r="C70" s="5">
        <f>INDIRECT("'"&amp;B70&amp;"'!B5")</f>
      </c>
      <c r="D70" s="5">
        <f>INDIRECT("'"&amp;B70&amp;"'!C5")</f>
      </c>
      <c r="E70" s="5">
        <f>INDIRECT("'"&amp;B70&amp;"'!D5")</f>
      </c>
      <c r="F70" s="5">
        <v>0</v>
      </c>
      <c r="G70" s="5">
        <f>INDIRECT("'"&amp;B70&amp;"'!B3")</f>
      </c>
    </row>
    <row r="71" spans="1:9" x14ac:dyDescent="0.25">
      <c r="A71" s="5">
        <v>61</v>
      </c>
      <c r="B71" s="2" t="s">
        <v>145</v>
      </c>
      <c r="C71" s="5">
        <f>INDIRECT("'"&amp;B71&amp;"'!B5")</f>
      </c>
      <c r="D71" s="5">
        <f>INDIRECT("'"&amp;B71&amp;"'!C5")</f>
      </c>
      <c r="E71" s="5">
        <f>INDIRECT("'"&amp;B71&amp;"'!D5")</f>
      </c>
      <c r="F71" s="5">
        <v>0</v>
      </c>
      <c r="G71" s="5">
        <f>INDIRECT("'"&amp;B71&amp;"'!B3")</f>
      </c>
    </row>
    <row r="72" spans="1:9" x14ac:dyDescent="0.25">
      <c r="A72" s="5">
        <v>62</v>
      </c>
      <c r="B72" s="2" t="s">
        <v>147</v>
      </c>
      <c r="C72" s="5">
        <f>INDIRECT("'"&amp;B72&amp;"'!B5")</f>
      </c>
      <c r="D72" s="5">
        <f>INDIRECT("'"&amp;B72&amp;"'!C5")</f>
      </c>
      <c r="E72" s="5">
        <f>INDIRECT("'"&amp;B72&amp;"'!D5")</f>
      </c>
      <c r="F72" s="5">
        <v>0</v>
      </c>
      <c r="G72" s="5">
        <f>INDIRECT("'"&amp;B72&amp;"'!B3")</f>
      </c>
    </row>
    <row r="73" spans="1:9" x14ac:dyDescent="0.25">
      <c r="A73" s="5" t="s">
        <v>1985</v>
      </c>
      <c r="B73" s="2"/>
      <c r="C73" s="5">
        <f>SUM(C11:C72)</f>
      </c>
      <c r="D73" s="5">
        <f>SUM(D11:D72)</f>
      </c>
      <c r="E73" s="5">
        <f>SUM(E11:E72)</f>
      </c>
      <c r="F73" s="5"/>
      <c r="G73" s="5">
        <f>SUM(G11:G72)</f>
      </c>
    </row>
    <row r="74" spans="1:9" x14ac:dyDescent="0.25"/>
    <row r="75" spans="1:7" x14ac:dyDescent="0.25">
      <c r="A75" s="5"/>
      <c r="B75" s="2"/>
      <c r="C75" s="5"/>
      <c r="D75" s="5"/>
      <c r="E75" s="5"/>
      <c r="F75" s="5"/>
      <c r="G75" s="5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261</v>
      </c>
      <c r="C1" s="15"/>
      <c r="D1" s="15"/>
    </row>
    <row r="2" spans="1:4" x14ac:dyDescent="0.25">
      <c r="A2" s="9" t="s">
        <v>351</v>
      </c>
      <c r="B2" s="11" t="s">
        <v>262</v>
      </c>
      <c r="C2" s="11"/>
      <c r="D2" s="11"/>
    </row>
    <row r="3" spans="1:4" x14ac:dyDescent="0.25">
      <c r="A3" s="9" t="s">
        <v>352</v>
      </c>
      <c r="B3" s="11">
        <f>SUM(B5:D5)</f>
        <v>8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8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8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8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1251</v>
      </c>
      <c r="B11" s="2" t="s">
        <v>1252</v>
      </c>
      <c r="C11" s="2" t="s">
        <v>1253</v>
      </c>
      <c r="D11" s="2" t="s">
        <v>1254</v>
      </c>
      <c r="E11" s="2" t="s">
        <v>263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1256</v>
      </c>
      <c r="B12" s="2" t="s">
        <v>1257</v>
      </c>
      <c r="C12" s="2" t="s">
        <v>1258</v>
      </c>
      <c r="D12" s="2" t="s">
        <v>1259</v>
      </c>
      <c r="E12" s="2" t="s">
        <v>263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1260</v>
      </c>
      <c r="B13" s="2" t="s">
        <v>1261</v>
      </c>
      <c r="C13" s="2" t="s">
        <v>1262</v>
      </c>
      <c r="D13" s="2" t="s">
        <v>1263</v>
      </c>
      <c r="E13" s="2" t="s">
        <v>263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1264</v>
      </c>
      <c r="B14" s="2" t="s">
        <v>1265</v>
      </c>
      <c r="C14" s="2" t="s">
        <v>1266</v>
      </c>
      <c r="D14" s="2" t="s">
        <v>1267</v>
      </c>
      <c r="E14" s="2" t="s">
        <v>263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1268</v>
      </c>
      <c r="B15" s="2" t="s">
        <v>1269</v>
      </c>
      <c r="C15" s="2" t="s">
        <v>1270</v>
      </c>
      <c r="D15" s="2" t="s">
        <v>1271</v>
      </c>
      <c r="E15" s="2" t="s">
        <v>263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60" customHeight="1" spans="1:15" x14ac:dyDescent="0.25">
      <c r="A16" s="5" t="s">
        <v>1272</v>
      </c>
      <c r="B16" s="2" t="s">
        <v>1273</v>
      </c>
      <c r="C16" s="2" t="s">
        <v>1274</v>
      </c>
      <c r="D16" s="2" t="s">
        <v>1275</v>
      </c>
      <c r="E16" s="2" t="s">
        <v>263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60" customHeight="1" spans="1:15" x14ac:dyDescent="0.25">
      <c r="A17" s="5" t="s">
        <v>1276</v>
      </c>
      <c r="B17" s="2" t="s">
        <v>1277</v>
      </c>
      <c r="C17" s="2" t="s">
        <v>1278</v>
      </c>
      <c r="D17" s="2" t="s">
        <v>1279</v>
      </c>
      <c r="E17" s="2" t="s">
        <v>263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60" customHeight="1" spans="1:15" x14ac:dyDescent="0.25">
      <c r="A18" s="5" t="s">
        <v>1280</v>
      </c>
      <c r="B18" s="2" t="s">
        <v>1281</v>
      </c>
      <c r="C18" s="2" t="s">
        <v>1282</v>
      </c>
      <c r="D18" s="2" t="s">
        <v>1283</v>
      </c>
      <c r="E18" s="2" t="s">
        <v>263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264</v>
      </c>
      <c r="C1" s="15"/>
      <c r="D1" s="15"/>
    </row>
    <row r="2" spans="1:4" x14ac:dyDescent="0.25">
      <c r="A2" s="9" t="s">
        <v>351</v>
      </c>
      <c r="B2" s="11" t="s">
        <v>265</v>
      </c>
      <c r="C2" s="11"/>
      <c r="D2" s="11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4" customHeight="1" spans="1:15" x14ac:dyDescent="0.25">
      <c r="A11" s="5" t="s">
        <v>1284</v>
      </c>
      <c r="B11" s="2" t="s">
        <v>1285</v>
      </c>
      <c r="C11" s="2" t="s">
        <v>1286</v>
      </c>
      <c r="D11" s="2" t="s">
        <v>1287</v>
      </c>
      <c r="E11" s="2" t="s">
        <v>266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74" customHeight="1" spans="1:15" x14ac:dyDescent="0.25">
      <c r="A12" s="5" t="s">
        <v>1288</v>
      </c>
      <c r="B12" s="2" t="s">
        <v>1257</v>
      </c>
      <c r="C12" s="2" t="s">
        <v>1289</v>
      </c>
      <c r="D12" s="2" t="s">
        <v>1290</v>
      </c>
      <c r="E12" s="2" t="s">
        <v>266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74" customHeight="1" spans="1:15" x14ac:dyDescent="0.25">
      <c r="A13" s="5" t="s">
        <v>1291</v>
      </c>
      <c r="B13" s="2" t="s">
        <v>1292</v>
      </c>
      <c r="C13" s="2" t="s">
        <v>1293</v>
      </c>
      <c r="D13" s="2" t="s">
        <v>1294</v>
      </c>
      <c r="E13" s="2" t="s">
        <v>266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74" customHeight="1" spans="1:15" x14ac:dyDescent="0.25">
      <c r="A14" s="5" t="s">
        <v>1295</v>
      </c>
      <c r="B14" s="2" t="s">
        <v>1296</v>
      </c>
      <c r="C14" s="2" t="s">
        <v>1297</v>
      </c>
      <c r="D14" s="2" t="s">
        <v>1298</v>
      </c>
      <c r="E14" s="2" t="s">
        <v>266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74" customHeight="1" spans="1:15" x14ac:dyDescent="0.25">
      <c r="A15" s="5" t="s">
        <v>1299</v>
      </c>
      <c r="B15" s="2" t="s">
        <v>1300</v>
      </c>
      <c r="C15" s="2" t="s">
        <v>1301</v>
      </c>
      <c r="D15" s="2" t="s">
        <v>1302</v>
      </c>
      <c r="E15" s="2" t="s">
        <v>266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267</v>
      </c>
      <c r="C1" s="15"/>
      <c r="D1" s="15"/>
    </row>
    <row r="2" spans="1:4" x14ac:dyDescent="0.25">
      <c r="A2" s="9" t="s">
        <v>351</v>
      </c>
      <c r="B2" s="11" t="s">
        <v>268</v>
      </c>
      <c r="C2" s="11"/>
      <c r="D2" s="11"/>
    </row>
    <row r="3" spans="1:4" x14ac:dyDescent="0.25">
      <c r="A3" s="9" t="s">
        <v>352</v>
      </c>
      <c r="B3" s="11">
        <f>SUM(B5:D5)</f>
        <v>7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7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7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7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1303</v>
      </c>
      <c r="B11" s="2" t="s">
        <v>1304</v>
      </c>
      <c r="C11" s="2" t="s">
        <v>1305</v>
      </c>
      <c r="D11" s="2" t="s">
        <v>1306</v>
      </c>
      <c r="E11" s="2" t="s">
        <v>269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1307</v>
      </c>
      <c r="B12" s="2" t="s">
        <v>1308</v>
      </c>
      <c r="C12" s="2" t="s">
        <v>1309</v>
      </c>
      <c r="D12" s="2" t="s">
        <v>1310</v>
      </c>
      <c r="E12" s="2" t="s">
        <v>269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1311</v>
      </c>
      <c r="B13" s="2" t="s">
        <v>1312</v>
      </c>
      <c r="C13" s="2" t="s">
        <v>1313</v>
      </c>
      <c r="D13" s="2" t="s">
        <v>1314</v>
      </c>
      <c r="E13" s="2" t="s">
        <v>269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1315</v>
      </c>
      <c r="B14" s="2" t="s">
        <v>1257</v>
      </c>
      <c r="C14" s="2" t="s">
        <v>1316</v>
      </c>
      <c r="D14" s="2" t="s">
        <v>1317</v>
      </c>
      <c r="E14" s="2" t="s">
        <v>269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1318</v>
      </c>
      <c r="B15" s="2" t="s">
        <v>1319</v>
      </c>
      <c r="C15" s="2" t="s">
        <v>1320</v>
      </c>
      <c r="D15" s="2" t="s">
        <v>1321</v>
      </c>
      <c r="E15" s="2" t="s">
        <v>269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60" customHeight="1" spans="1:15" x14ac:dyDescent="0.25">
      <c r="A16" s="5" t="s">
        <v>1322</v>
      </c>
      <c r="B16" s="2" t="s">
        <v>1323</v>
      </c>
      <c r="C16" s="2" t="s">
        <v>1324</v>
      </c>
      <c r="D16" s="2" t="s">
        <v>1325</v>
      </c>
      <c r="E16" s="2" t="s">
        <v>269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60" customHeight="1" spans="1:15" x14ac:dyDescent="0.25">
      <c r="A17" s="5" t="s">
        <v>1326</v>
      </c>
      <c r="B17" s="2" t="s">
        <v>1327</v>
      </c>
      <c r="C17" s="2" t="s">
        <v>1328</v>
      </c>
      <c r="D17" s="2" t="s">
        <v>1329</v>
      </c>
      <c r="E17" s="2" t="s">
        <v>269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270</v>
      </c>
      <c r="C1" s="15"/>
      <c r="D1" s="15"/>
    </row>
    <row r="2" spans="1:4" x14ac:dyDescent="0.25">
      <c r="A2" s="9" t="s">
        <v>351</v>
      </c>
      <c r="B2" s="11" t="s">
        <v>271</v>
      </c>
      <c r="C2" s="11"/>
      <c r="D2" s="11"/>
    </row>
    <row r="3" spans="1:4" x14ac:dyDescent="0.25">
      <c r="A3" s="9" t="s">
        <v>352</v>
      </c>
      <c r="B3" s="11">
        <f>SUM(B5:D5)</f>
        <v>2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2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2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2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1330</v>
      </c>
      <c r="B11" s="2" t="s">
        <v>1331</v>
      </c>
      <c r="C11" s="2" t="s">
        <v>1332</v>
      </c>
      <c r="D11" s="2" t="s">
        <v>1333</v>
      </c>
      <c r="E11" s="2" t="s">
        <v>272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1334</v>
      </c>
      <c r="B12" s="2" t="s">
        <v>1335</v>
      </c>
      <c r="C12" s="2" t="s">
        <v>1336</v>
      </c>
      <c r="D12" s="2" t="s">
        <v>1337</v>
      </c>
      <c r="E12" s="2" t="s">
        <v>272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273</v>
      </c>
      <c r="C1" s="15"/>
      <c r="D1" s="15"/>
    </row>
    <row r="2" spans="1:4" x14ac:dyDescent="0.25">
      <c r="A2" s="9" t="s">
        <v>351</v>
      </c>
      <c r="B2" s="11" t="s">
        <v>274</v>
      </c>
      <c r="C2" s="11"/>
      <c r="D2" s="11"/>
    </row>
    <row r="3" spans="1:4" x14ac:dyDescent="0.25">
      <c r="A3" s="9" t="s">
        <v>352</v>
      </c>
      <c r="B3" s="11">
        <f>SUM(B5:D5)</f>
        <v>6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6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6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6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4" customHeight="1" spans="1:15" x14ac:dyDescent="0.25">
      <c r="A11" s="5" t="s">
        <v>1338</v>
      </c>
      <c r="B11" s="2" t="s">
        <v>1339</v>
      </c>
      <c r="C11" s="2" t="s">
        <v>1340</v>
      </c>
      <c r="D11" s="2" t="s">
        <v>1341</v>
      </c>
      <c r="E11" s="2" t="s">
        <v>275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74" customHeight="1" spans="1:15" x14ac:dyDescent="0.25">
      <c r="A12" s="5" t="s">
        <v>1342</v>
      </c>
      <c r="B12" s="2" t="s">
        <v>1343</v>
      </c>
      <c r="C12" s="2" t="s">
        <v>1344</v>
      </c>
      <c r="D12" s="2" t="s">
        <v>1345</v>
      </c>
      <c r="E12" s="2" t="s">
        <v>275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74" customHeight="1" spans="1:15" x14ac:dyDescent="0.25">
      <c r="A13" s="5" t="s">
        <v>1346</v>
      </c>
      <c r="B13" s="2" t="s">
        <v>1347</v>
      </c>
      <c r="C13" s="2" t="s">
        <v>1348</v>
      </c>
      <c r="D13" s="2" t="s">
        <v>1349</v>
      </c>
      <c r="E13" s="2" t="s">
        <v>275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74" customHeight="1" spans="1:15" x14ac:dyDescent="0.25">
      <c r="A14" s="5" t="s">
        <v>1350</v>
      </c>
      <c r="B14" s="2" t="s">
        <v>1351</v>
      </c>
      <c r="C14" s="2" t="s">
        <v>1352</v>
      </c>
      <c r="D14" s="2" t="s">
        <v>1353</v>
      </c>
      <c r="E14" s="2" t="s">
        <v>275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74" customHeight="1" spans="1:15" x14ac:dyDescent="0.25">
      <c r="A15" s="5" t="s">
        <v>1354</v>
      </c>
      <c r="B15" s="2" t="s">
        <v>1355</v>
      </c>
      <c r="C15" s="2" t="s">
        <v>1356</v>
      </c>
      <c r="D15" s="2" t="s">
        <v>1357</v>
      </c>
      <c r="E15" s="2" t="s">
        <v>275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74" customHeight="1" spans="1:15" x14ac:dyDescent="0.25">
      <c r="A16" s="5" t="s">
        <v>1358</v>
      </c>
      <c r="B16" s="2" t="s">
        <v>1359</v>
      </c>
      <c r="C16" s="2" t="s">
        <v>1360</v>
      </c>
      <c r="D16" s="2" t="s">
        <v>1361</v>
      </c>
      <c r="E16" s="2" t="s">
        <v>275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276</v>
      </c>
      <c r="C1" s="15"/>
      <c r="D1" s="15"/>
    </row>
    <row r="2" spans="1:4" x14ac:dyDescent="0.25">
      <c r="A2" s="9" t="s">
        <v>351</v>
      </c>
      <c r="B2" s="11" t="s">
        <v>277</v>
      </c>
      <c r="C2" s="11"/>
      <c r="D2" s="11"/>
    </row>
    <row r="3" spans="1:4" x14ac:dyDescent="0.25">
      <c r="A3" s="9" t="s">
        <v>352</v>
      </c>
      <c r="B3" s="11">
        <f>SUM(B5:D5)</f>
        <v>6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6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6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6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1362</v>
      </c>
      <c r="B11" s="2" t="s">
        <v>1363</v>
      </c>
      <c r="C11" s="2" t="s">
        <v>1364</v>
      </c>
      <c r="D11" s="2" t="s">
        <v>1365</v>
      </c>
      <c r="E11" s="2" t="s">
        <v>278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1366</v>
      </c>
      <c r="B12" s="2" t="s">
        <v>1367</v>
      </c>
      <c r="C12" s="2" t="s">
        <v>1368</v>
      </c>
      <c r="D12" s="2" t="s">
        <v>1369</v>
      </c>
      <c r="E12" s="2" t="s">
        <v>278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1370</v>
      </c>
      <c r="B13" s="2" t="s">
        <v>1371</v>
      </c>
      <c r="C13" s="2" t="s">
        <v>1372</v>
      </c>
      <c r="D13" s="2" t="s">
        <v>1373</v>
      </c>
      <c r="E13" s="2" t="s">
        <v>278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1374</v>
      </c>
      <c r="B14" s="2" t="s">
        <v>1375</v>
      </c>
      <c r="C14" s="2" t="s">
        <v>1376</v>
      </c>
      <c r="D14" s="2" t="s">
        <v>1377</v>
      </c>
      <c r="E14" s="2" t="s">
        <v>278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1378</v>
      </c>
      <c r="B15" s="2" t="s">
        <v>1379</v>
      </c>
      <c r="C15" s="2" t="s">
        <v>1380</v>
      </c>
      <c r="D15" s="2" t="s">
        <v>1381</v>
      </c>
      <c r="E15" s="2" t="s">
        <v>278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60" customHeight="1" spans="1:15" x14ac:dyDescent="0.25">
      <c r="A16" s="5" t="s">
        <v>1382</v>
      </c>
      <c r="B16" s="2" t="s">
        <v>1383</v>
      </c>
      <c r="C16" s="2" t="s">
        <v>1384</v>
      </c>
      <c r="D16" s="2" t="s">
        <v>1385</v>
      </c>
      <c r="E16" s="2" t="s">
        <v>278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279</v>
      </c>
      <c r="C1" s="15"/>
      <c r="D1" s="15"/>
    </row>
    <row r="2" spans="1:4" x14ac:dyDescent="0.25">
      <c r="A2" s="9" t="s">
        <v>351</v>
      </c>
      <c r="B2" s="11" t="s">
        <v>280</v>
      </c>
      <c r="C2" s="11"/>
      <c r="D2" s="11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88" customHeight="1" spans="1:15" x14ac:dyDescent="0.25">
      <c r="A11" s="5" t="s">
        <v>1386</v>
      </c>
      <c r="B11" s="2" t="s">
        <v>1387</v>
      </c>
      <c r="C11" s="2" t="s">
        <v>1388</v>
      </c>
      <c r="D11" s="2" t="s">
        <v>1389</v>
      </c>
      <c r="E11" s="2" t="s">
        <v>281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88" customHeight="1" spans="1:15" x14ac:dyDescent="0.25">
      <c r="A12" s="5" t="s">
        <v>1390</v>
      </c>
      <c r="B12" s="2" t="s">
        <v>1391</v>
      </c>
      <c r="C12" s="2" t="s">
        <v>1392</v>
      </c>
      <c r="D12" s="2" t="s">
        <v>1393</v>
      </c>
      <c r="E12" s="2" t="s">
        <v>281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88" customHeight="1" spans="1:15" x14ac:dyDescent="0.25">
      <c r="A13" s="5" t="s">
        <v>1394</v>
      </c>
      <c r="B13" s="2" t="s">
        <v>1395</v>
      </c>
      <c r="C13" s="2" t="s">
        <v>1396</v>
      </c>
      <c r="D13" s="2" t="s">
        <v>1397</v>
      </c>
      <c r="E13" s="2" t="s">
        <v>281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88" customHeight="1" spans="1:15" x14ac:dyDescent="0.25">
      <c r="A14" s="5" t="s">
        <v>1398</v>
      </c>
      <c r="B14" s="2" t="s">
        <v>1399</v>
      </c>
      <c r="C14" s="2" t="s">
        <v>1400</v>
      </c>
      <c r="D14" s="2" t="s">
        <v>1401</v>
      </c>
      <c r="E14" s="2" t="s">
        <v>281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88" customHeight="1" spans="1:15" x14ac:dyDescent="0.25">
      <c r="A15" s="5" t="s">
        <v>1402</v>
      </c>
      <c r="B15" s="2" t="s">
        <v>1403</v>
      </c>
      <c r="C15" s="2" t="s">
        <v>1404</v>
      </c>
      <c r="D15" s="2" t="s">
        <v>1405</v>
      </c>
      <c r="E15" s="2" t="s">
        <v>281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282</v>
      </c>
      <c r="C1" s="15"/>
      <c r="D1" s="15"/>
    </row>
    <row r="2" spans="1:4" x14ac:dyDescent="0.25">
      <c r="A2" s="9" t="s">
        <v>351</v>
      </c>
      <c r="B2" s="11" t="s">
        <v>283</v>
      </c>
      <c r="C2" s="11"/>
      <c r="D2" s="11"/>
    </row>
    <row r="3" spans="1:4" x14ac:dyDescent="0.25">
      <c r="A3" s="9" t="s">
        <v>352</v>
      </c>
      <c r="B3" s="11">
        <f>SUM(B5:D5)</f>
        <v>6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6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6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6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4" customHeight="1" spans="1:15" x14ac:dyDescent="0.25">
      <c r="A11" s="5" t="s">
        <v>1406</v>
      </c>
      <c r="B11" s="2" t="s">
        <v>1407</v>
      </c>
      <c r="C11" s="2" t="s">
        <v>1408</v>
      </c>
      <c r="D11" s="2" t="s">
        <v>1409</v>
      </c>
      <c r="E11" s="2" t="s">
        <v>284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74" customHeight="1" spans="1:15" x14ac:dyDescent="0.25">
      <c r="A12" s="5" t="s">
        <v>1410</v>
      </c>
      <c r="B12" s="2" t="s">
        <v>1411</v>
      </c>
      <c r="C12" s="2" t="s">
        <v>1412</v>
      </c>
      <c r="D12" s="2" t="s">
        <v>1413</v>
      </c>
      <c r="E12" s="2" t="s">
        <v>284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74" customHeight="1" spans="1:15" x14ac:dyDescent="0.25">
      <c r="A13" s="5" t="s">
        <v>1414</v>
      </c>
      <c r="B13" s="2" t="s">
        <v>1415</v>
      </c>
      <c r="C13" s="2" t="s">
        <v>1416</v>
      </c>
      <c r="D13" s="2" t="s">
        <v>1417</v>
      </c>
      <c r="E13" s="2" t="s">
        <v>284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74" customHeight="1" spans="1:15" x14ac:dyDescent="0.25">
      <c r="A14" s="5" t="s">
        <v>1418</v>
      </c>
      <c r="B14" s="2" t="s">
        <v>1419</v>
      </c>
      <c r="C14" s="2" t="s">
        <v>1420</v>
      </c>
      <c r="D14" s="2" t="s">
        <v>1421</v>
      </c>
      <c r="E14" s="2" t="s">
        <v>284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74" customHeight="1" spans="1:15" x14ac:dyDescent="0.25">
      <c r="A15" s="5" t="s">
        <v>1422</v>
      </c>
      <c r="B15" s="2" t="s">
        <v>1355</v>
      </c>
      <c r="C15" s="2" t="s">
        <v>1423</v>
      </c>
      <c r="D15" s="2" t="s">
        <v>1424</v>
      </c>
      <c r="E15" s="2" t="s">
        <v>284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74" customHeight="1" spans="1:15" x14ac:dyDescent="0.25">
      <c r="A16" s="5" t="s">
        <v>1425</v>
      </c>
      <c r="B16" s="2" t="s">
        <v>1426</v>
      </c>
      <c r="C16" s="2" t="s">
        <v>1427</v>
      </c>
      <c r="D16" s="2" t="s">
        <v>1428</v>
      </c>
      <c r="E16" s="2" t="s">
        <v>284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285</v>
      </c>
      <c r="C1" s="15"/>
      <c r="D1" s="15"/>
    </row>
    <row r="2" spans="1:4" x14ac:dyDescent="0.25">
      <c r="A2" s="9" t="s">
        <v>351</v>
      </c>
      <c r="B2" s="11" t="s">
        <v>286</v>
      </c>
      <c r="C2" s="11"/>
      <c r="D2" s="11"/>
    </row>
    <row r="3" spans="1:4" x14ac:dyDescent="0.25">
      <c r="A3" s="9" t="s">
        <v>352</v>
      </c>
      <c r="B3" s="11">
        <f>SUM(B5:D5)</f>
        <v>10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10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10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10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1429</v>
      </c>
      <c r="B11" s="2" t="s">
        <v>1430</v>
      </c>
      <c r="C11" s="2" t="s">
        <v>1431</v>
      </c>
      <c r="D11" s="2" t="s">
        <v>1432</v>
      </c>
      <c r="E11" s="2" t="s">
        <v>287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1433</v>
      </c>
      <c r="B12" s="2" t="s">
        <v>1434</v>
      </c>
      <c r="C12" s="2" t="s">
        <v>1435</v>
      </c>
      <c r="D12" s="2" t="s">
        <v>1436</v>
      </c>
      <c r="E12" s="2" t="s">
        <v>287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1437</v>
      </c>
      <c r="B13" s="2" t="s">
        <v>1438</v>
      </c>
      <c r="C13" s="2" t="s">
        <v>1439</v>
      </c>
      <c r="D13" s="2" t="s">
        <v>1440</v>
      </c>
      <c r="E13" s="2" t="s">
        <v>287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1441</v>
      </c>
      <c r="B14" s="2" t="s">
        <v>1442</v>
      </c>
      <c r="C14" s="2" t="s">
        <v>1443</v>
      </c>
      <c r="D14" s="2" t="s">
        <v>1444</v>
      </c>
      <c r="E14" s="2" t="s">
        <v>287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1445</v>
      </c>
      <c r="B15" s="2" t="s">
        <v>1446</v>
      </c>
      <c r="C15" s="2" t="s">
        <v>1447</v>
      </c>
      <c r="D15" s="2" t="s">
        <v>1448</v>
      </c>
      <c r="E15" s="2" t="s">
        <v>287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60" customHeight="1" spans="1:15" x14ac:dyDescent="0.25">
      <c r="A16" s="5" t="s">
        <v>1449</v>
      </c>
      <c r="B16" s="2" t="s">
        <v>1450</v>
      </c>
      <c r="C16" s="2" t="s">
        <v>1451</v>
      </c>
      <c r="D16" s="2" t="s">
        <v>1452</v>
      </c>
      <c r="E16" s="2" t="s">
        <v>287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60" customHeight="1" spans="1:15" x14ac:dyDescent="0.25">
      <c r="A17" s="5" t="s">
        <v>1453</v>
      </c>
      <c r="B17" s="2" t="s">
        <v>1454</v>
      </c>
      <c r="C17" s="2" t="s">
        <v>1455</v>
      </c>
      <c r="D17" s="2" t="s">
        <v>1456</v>
      </c>
      <c r="E17" s="2" t="s">
        <v>287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60" customHeight="1" spans="1:15" x14ac:dyDescent="0.25">
      <c r="A18" s="5" t="s">
        <v>1457</v>
      </c>
      <c r="B18" s="2" t="s">
        <v>1458</v>
      </c>
      <c r="C18" s="2" t="s">
        <v>1459</v>
      </c>
      <c r="D18" s="2" t="s">
        <v>1460</v>
      </c>
      <c r="E18" s="2" t="s">
        <v>287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  <row r="19" ht="60" customHeight="1" spans="1:15" x14ac:dyDescent="0.25">
      <c r="A19" s="5" t="s">
        <v>1461</v>
      </c>
      <c r="B19" s="2" t="s">
        <v>1462</v>
      </c>
      <c r="C19" s="2" t="s">
        <v>1463</v>
      </c>
      <c r="D19" s="2" t="s">
        <v>1464</v>
      </c>
      <c r="E19" s="2" t="s">
        <v>287</v>
      </c>
      <c r="F19" s="5" t="s">
        <v>354</v>
      </c>
      <c r="G19" s="5" t="s">
        <v>1255</v>
      </c>
      <c r="H19" s="2" t="s">
        <v>373</v>
      </c>
      <c r="I19" s="5" t="s">
        <v>354</v>
      </c>
      <c r="J19" s="5" t="s">
        <v>1255</v>
      </c>
      <c r="K19" s="2" t="s">
        <v>373</v>
      </c>
      <c r="L19" s="5" t="s">
        <v>354</v>
      </c>
      <c r="M19" s="5" t="s">
        <v>1255</v>
      </c>
      <c r="N19" s="2" t="s">
        <v>373</v>
      </c>
      <c r="O19" s="5" t="s">
        <v>374</v>
      </c>
    </row>
    <row r="20" ht="60" customHeight="1" spans="1:15" x14ac:dyDescent="0.25">
      <c r="A20" s="5" t="s">
        <v>1465</v>
      </c>
      <c r="B20" s="2" t="s">
        <v>1466</v>
      </c>
      <c r="C20" s="2" t="s">
        <v>1467</v>
      </c>
      <c r="D20" s="2" t="s">
        <v>1468</v>
      </c>
      <c r="E20" s="2" t="s">
        <v>287</v>
      </c>
      <c r="F20" s="5" t="s">
        <v>354</v>
      </c>
      <c r="G20" s="5" t="s">
        <v>1255</v>
      </c>
      <c r="H20" s="2" t="s">
        <v>373</v>
      </c>
      <c r="I20" s="5" t="s">
        <v>354</v>
      </c>
      <c r="J20" s="5" t="s">
        <v>1255</v>
      </c>
      <c r="K20" s="2" t="s">
        <v>373</v>
      </c>
      <c r="L20" s="5" t="s">
        <v>354</v>
      </c>
      <c r="M20" s="5" t="s">
        <v>1255</v>
      </c>
      <c r="N20" s="2" t="s">
        <v>373</v>
      </c>
      <c r="O20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288</v>
      </c>
      <c r="C1" s="15"/>
      <c r="D1" s="15"/>
    </row>
    <row r="2" spans="1:4" x14ac:dyDescent="0.25">
      <c r="A2" s="9" t="s">
        <v>351</v>
      </c>
      <c r="B2" s="11" t="s">
        <v>289</v>
      </c>
      <c r="C2" s="11"/>
      <c r="D2" s="11"/>
    </row>
    <row r="3" spans="1:4" x14ac:dyDescent="0.25">
      <c r="A3" s="9" t="s">
        <v>352</v>
      </c>
      <c r="B3" s="11">
        <f>SUM(B5:D5)</f>
        <v>10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10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10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10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1469</v>
      </c>
      <c r="B11" s="2" t="s">
        <v>1470</v>
      </c>
      <c r="C11" s="2" t="s">
        <v>1471</v>
      </c>
      <c r="D11" s="2" t="s">
        <v>1472</v>
      </c>
      <c r="E11" s="2" t="s">
        <v>290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1473</v>
      </c>
      <c r="B12" s="2" t="s">
        <v>1474</v>
      </c>
      <c r="C12" s="2" t="s">
        <v>1475</v>
      </c>
      <c r="D12" s="2" t="s">
        <v>1476</v>
      </c>
      <c r="E12" s="2" t="s">
        <v>290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1477</v>
      </c>
      <c r="B13" s="2" t="s">
        <v>1478</v>
      </c>
      <c r="C13" s="2" t="s">
        <v>1479</v>
      </c>
      <c r="D13" s="2" t="s">
        <v>1480</v>
      </c>
      <c r="E13" s="2" t="s">
        <v>290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1481</v>
      </c>
      <c r="B14" s="2" t="s">
        <v>1482</v>
      </c>
      <c r="C14" s="2" t="s">
        <v>1483</v>
      </c>
      <c r="D14" s="2" t="s">
        <v>1484</v>
      </c>
      <c r="E14" s="2" t="s">
        <v>290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1485</v>
      </c>
      <c r="B15" s="2" t="s">
        <v>1486</v>
      </c>
      <c r="C15" s="2" t="s">
        <v>1487</v>
      </c>
      <c r="D15" s="2" t="s">
        <v>1488</v>
      </c>
      <c r="E15" s="2" t="s">
        <v>290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60" customHeight="1" spans="1:15" x14ac:dyDescent="0.25">
      <c r="A16" s="5" t="s">
        <v>1489</v>
      </c>
      <c r="B16" s="2" t="s">
        <v>1490</v>
      </c>
      <c r="C16" s="2" t="s">
        <v>1491</v>
      </c>
      <c r="D16" s="2" t="s">
        <v>1492</v>
      </c>
      <c r="E16" s="2" t="s">
        <v>290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60" customHeight="1" spans="1:15" x14ac:dyDescent="0.25">
      <c r="A17" s="5" t="s">
        <v>1493</v>
      </c>
      <c r="B17" s="2" t="s">
        <v>1494</v>
      </c>
      <c r="C17" s="2" t="s">
        <v>1495</v>
      </c>
      <c r="D17" s="2" t="s">
        <v>1279</v>
      </c>
      <c r="E17" s="2" t="s">
        <v>290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60" customHeight="1" spans="1:15" x14ac:dyDescent="0.25">
      <c r="A18" s="5" t="s">
        <v>1496</v>
      </c>
      <c r="B18" s="2" t="s">
        <v>1497</v>
      </c>
      <c r="C18" s="2" t="s">
        <v>1498</v>
      </c>
      <c r="D18" s="2" t="s">
        <v>1499</v>
      </c>
      <c r="E18" s="2" t="s">
        <v>290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  <row r="19" ht="60" customHeight="1" spans="1:15" x14ac:dyDescent="0.25">
      <c r="A19" s="5" t="s">
        <v>1500</v>
      </c>
      <c r="B19" s="2" t="s">
        <v>1501</v>
      </c>
      <c r="C19" s="2" t="s">
        <v>1502</v>
      </c>
      <c r="D19" s="2" t="s">
        <v>1503</v>
      </c>
      <c r="E19" s="2" t="s">
        <v>290</v>
      </c>
      <c r="F19" s="5" t="s">
        <v>354</v>
      </c>
      <c r="G19" s="5" t="s">
        <v>1255</v>
      </c>
      <c r="H19" s="2" t="s">
        <v>373</v>
      </c>
      <c r="I19" s="5" t="s">
        <v>354</v>
      </c>
      <c r="J19" s="5" t="s">
        <v>1255</v>
      </c>
      <c r="K19" s="2" t="s">
        <v>373</v>
      </c>
      <c r="L19" s="5" t="s">
        <v>354</v>
      </c>
      <c r="M19" s="5" t="s">
        <v>1255</v>
      </c>
      <c r="N19" s="2" t="s">
        <v>373</v>
      </c>
      <c r="O19" s="5" t="s">
        <v>374</v>
      </c>
    </row>
    <row r="20" ht="60" customHeight="1" spans="1:15" x14ac:dyDescent="0.25">
      <c r="A20" s="5" t="s">
        <v>1504</v>
      </c>
      <c r="B20" s="2" t="s">
        <v>1505</v>
      </c>
      <c r="C20" s="2" t="s">
        <v>1506</v>
      </c>
      <c r="D20" s="2" t="s">
        <v>1507</v>
      </c>
      <c r="E20" s="2" t="s">
        <v>290</v>
      </c>
      <c r="F20" s="5" t="s">
        <v>354</v>
      </c>
      <c r="G20" s="5" t="s">
        <v>1255</v>
      </c>
      <c r="H20" s="2" t="s">
        <v>373</v>
      </c>
      <c r="I20" s="5" t="s">
        <v>354</v>
      </c>
      <c r="J20" s="5" t="s">
        <v>1255</v>
      </c>
      <c r="K20" s="2" t="s">
        <v>373</v>
      </c>
      <c r="L20" s="5" t="s">
        <v>354</v>
      </c>
      <c r="M20" s="5" t="s">
        <v>1255</v>
      </c>
      <c r="N20" s="2" t="s">
        <v>373</v>
      </c>
      <c r="O20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291</v>
      </c>
      <c r="C1" s="15"/>
      <c r="D1" s="15"/>
    </row>
    <row r="2" spans="1:4" x14ac:dyDescent="0.25">
      <c r="A2" s="9" t="s">
        <v>351</v>
      </c>
      <c r="B2" s="11" t="s">
        <v>292</v>
      </c>
      <c r="C2" s="11"/>
      <c r="D2" s="11"/>
    </row>
    <row r="3" spans="1:4" x14ac:dyDescent="0.25">
      <c r="A3" s="9" t="s">
        <v>352</v>
      </c>
      <c r="B3" s="11">
        <f>SUM(B5:D5)</f>
        <v>6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6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6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6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1508</v>
      </c>
      <c r="B11" s="2" t="s">
        <v>1509</v>
      </c>
      <c r="C11" s="2" t="s">
        <v>1510</v>
      </c>
      <c r="D11" s="2" t="s">
        <v>1511</v>
      </c>
      <c r="E11" s="2" t="s">
        <v>293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1512</v>
      </c>
      <c r="B12" s="2" t="s">
        <v>1513</v>
      </c>
      <c r="C12" s="2" t="s">
        <v>1514</v>
      </c>
      <c r="D12" s="2" t="s">
        <v>1515</v>
      </c>
      <c r="E12" s="2" t="s">
        <v>293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1516</v>
      </c>
      <c r="B13" s="2" t="s">
        <v>1517</v>
      </c>
      <c r="C13" s="2" t="s">
        <v>1518</v>
      </c>
      <c r="D13" s="2" t="s">
        <v>1519</v>
      </c>
      <c r="E13" s="2" t="s">
        <v>293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46" customHeight="1" spans="1:15" x14ac:dyDescent="0.25">
      <c r="A14" s="5" t="s">
        <v>1520</v>
      </c>
      <c r="B14" s="2" t="s">
        <v>1257</v>
      </c>
      <c r="C14" s="2" t="s">
        <v>1521</v>
      </c>
      <c r="D14" s="2" t="s">
        <v>1522</v>
      </c>
      <c r="E14" s="2" t="s">
        <v>293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46" customHeight="1" spans="1:15" x14ac:dyDescent="0.25">
      <c r="A15" s="5" t="s">
        <v>1523</v>
      </c>
      <c r="B15" s="2" t="s">
        <v>1524</v>
      </c>
      <c r="C15" s="2" t="s">
        <v>1525</v>
      </c>
      <c r="D15" s="2" t="s">
        <v>1526</v>
      </c>
      <c r="E15" s="2" t="s">
        <v>293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46" customHeight="1" spans="1:15" x14ac:dyDescent="0.25">
      <c r="A16" s="5" t="s">
        <v>1527</v>
      </c>
      <c r="B16" s="2" t="s">
        <v>1528</v>
      </c>
      <c r="C16" s="2" t="s">
        <v>1529</v>
      </c>
      <c r="D16" s="2" t="s">
        <v>1530</v>
      </c>
      <c r="E16" s="2" t="s">
        <v>293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294</v>
      </c>
      <c r="C1" s="15"/>
      <c r="D1" s="15"/>
    </row>
    <row r="2" spans="1:4" x14ac:dyDescent="0.25">
      <c r="A2" s="9" t="s">
        <v>351</v>
      </c>
      <c r="B2" s="11" t="s">
        <v>295</v>
      </c>
      <c r="C2" s="11"/>
      <c r="D2" s="11"/>
    </row>
    <row r="3" spans="1:4" x14ac:dyDescent="0.25">
      <c r="A3" s="9" t="s">
        <v>352</v>
      </c>
      <c r="B3" s="11">
        <f>SUM(B5:D5)</f>
        <v>7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7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7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7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4" customHeight="1" spans="1:15" x14ac:dyDescent="0.25">
      <c r="A11" s="5" t="s">
        <v>1531</v>
      </c>
      <c r="B11" s="2" t="s">
        <v>1532</v>
      </c>
      <c r="C11" s="2" t="s">
        <v>1533</v>
      </c>
      <c r="D11" s="2" t="s">
        <v>1534</v>
      </c>
      <c r="E11" s="2" t="s">
        <v>296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74" customHeight="1" spans="1:15" x14ac:dyDescent="0.25">
      <c r="A12" s="5" t="s">
        <v>1535</v>
      </c>
      <c r="B12" s="2" t="s">
        <v>1536</v>
      </c>
      <c r="C12" s="2" t="s">
        <v>1537</v>
      </c>
      <c r="D12" s="2" t="s">
        <v>1538</v>
      </c>
      <c r="E12" s="2" t="s">
        <v>296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74" customHeight="1" spans="1:15" x14ac:dyDescent="0.25">
      <c r="A13" s="5" t="s">
        <v>1539</v>
      </c>
      <c r="B13" s="2" t="s">
        <v>1540</v>
      </c>
      <c r="C13" s="2" t="s">
        <v>1541</v>
      </c>
      <c r="D13" s="2" t="s">
        <v>1542</v>
      </c>
      <c r="E13" s="2" t="s">
        <v>296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74" customHeight="1" spans="1:15" x14ac:dyDescent="0.25">
      <c r="A14" s="5" t="s">
        <v>1543</v>
      </c>
      <c r="B14" s="2" t="s">
        <v>1544</v>
      </c>
      <c r="C14" s="2" t="s">
        <v>1545</v>
      </c>
      <c r="D14" s="2" t="s">
        <v>1546</v>
      </c>
      <c r="E14" s="2" t="s">
        <v>296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74" customHeight="1" spans="1:15" x14ac:dyDescent="0.25">
      <c r="A15" s="5" t="s">
        <v>1547</v>
      </c>
      <c r="B15" s="2" t="s">
        <v>1548</v>
      </c>
      <c r="C15" s="2" t="s">
        <v>1549</v>
      </c>
      <c r="D15" s="2" t="s">
        <v>1550</v>
      </c>
      <c r="E15" s="2" t="s">
        <v>296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74" customHeight="1" spans="1:15" x14ac:dyDescent="0.25">
      <c r="A16" s="5" t="s">
        <v>1551</v>
      </c>
      <c r="B16" s="2" t="s">
        <v>1552</v>
      </c>
      <c r="C16" s="2" t="s">
        <v>1553</v>
      </c>
      <c r="D16" s="2" t="s">
        <v>1554</v>
      </c>
      <c r="E16" s="2" t="s">
        <v>296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74" customHeight="1" spans="1:15" x14ac:dyDescent="0.25">
      <c r="A17" s="5" t="s">
        <v>1555</v>
      </c>
      <c r="B17" s="2" t="s">
        <v>1556</v>
      </c>
      <c r="C17" s="2" t="s">
        <v>1557</v>
      </c>
      <c r="D17" s="2" t="s">
        <v>1558</v>
      </c>
      <c r="E17" s="2" t="s">
        <v>296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297</v>
      </c>
      <c r="C1" s="15"/>
      <c r="D1" s="15"/>
    </row>
    <row r="2" spans="1:4" x14ac:dyDescent="0.25">
      <c r="A2" s="9" t="s">
        <v>351</v>
      </c>
      <c r="B2" s="11" t="s">
        <v>298</v>
      </c>
      <c r="C2" s="11"/>
      <c r="D2" s="11"/>
    </row>
    <row r="3" spans="1:4" x14ac:dyDescent="0.25">
      <c r="A3" s="9" t="s">
        <v>352</v>
      </c>
      <c r="B3" s="11">
        <f>SUM(B5:D5)</f>
        <v>7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7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7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7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4" customHeight="1" spans="1:15" x14ac:dyDescent="0.25">
      <c r="A11" s="5" t="s">
        <v>1559</v>
      </c>
      <c r="B11" s="2" t="s">
        <v>1560</v>
      </c>
      <c r="C11" s="2" t="s">
        <v>1561</v>
      </c>
      <c r="D11" s="2" t="s">
        <v>1562</v>
      </c>
      <c r="E11" s="2" t="s">
        <v>299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74" customHeight="1" spans="1:15" x14ac:dyDescent="0.25">
      <c r="A12" s="5" t="s">
        <v>1563</v>
      </c>
      <c r="B12" s="2" t="s">
        <v>1564</v>
      </c>
      <c r="C12" s="2" t="s">
        <v>1565</v>
      </c>
      <c r="D12" s="2" t="s">
        <v>1566</v>
      </c>
      <c r="E12" s="2" t="s">
        <v>299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74" customHeight="1" spans="1:15" x14ac:dyDescent="0.25">
      <c r="A13" s="5" t="s">
        <v>1567</v>
      </c>
      <c r="B13" s="2" t="s">
        <v>1568</v>
      </c>
      <c r="C13" s="2" t="s">
        <v>1569</v>
      </c>
      <c r="D13" s="2" t="s">
        <v>1570</v>
      </c>
      <c r="E13" s="2" t="s">
        <v>299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74" customHeight="1" spans="1:15" x14ac:dyDescent="0.25">
      <c r="A14" s="5" t="s">
        <v>1571</v>
      </c>
      <c r="B14" s="2" t="s">
        <v>1572</v>
      </c>
      <c r="C14" s="2" t="s">
        <v>1573</v>
      </c>
      <c r="D14" s="2" t="s">
        <v>1574</v>
      </c>
      <c r="E14" s="2" t="s">
        <v>299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74" customHeight="1" spans="1:15" x14ac:dyDescent="0.25">
      <c r="A15" s="5" t="s">
        <v>1575</v>
      </c>
      <c r="B15" s="2" t="s">
        <v>1576</v>
      </c>
      <c r="C15" s="2" t="s">
        <v>1577</v>
      </c>
      <c r="D15" s="2" t="s">
        <v>1578</v>
      </c>
      <c r="E15" s="2" t="s">
        <v>299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74" customHeight="1" spans="1:15" x14ac:dyDescent="0.25">
      <c r="A16" s="5" t="s">
        <v>1579</v>
      </c>
      <c r="B16" s="2" t="s">
        <v>1580</v>
      </c>
      <c r="C16" s="2" t="s">
        <v>1581</v>
      </c>
      <c r="D16" s="2" t="s">
        <v>1582</v>
      </c>
      <c r="E16" s="2" t="s">
        <v>299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74" customHeight="1" spans="1:15" x14ac:dyDescent="0.25">
      <c r="A17" s="5" t="s">
        <v>1583</v>
      </c>
      <c r="B17" s="2" t="s">
        <v>1584</v>
      </c>
      <c r="C17" s="2" t="s">
        <v>1585</v>
      </c>
      <c r="D17" s="2" t="s">
        <v>1586</v>
      </c>
      <c r="E17" s="2" t="s">
        <v>299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300</v>
      </c>
      <c r="C1" s="15"/>
      <c r="D1" s="15"/>
    </row>
    <row r="2" spans="1:4" x14ac:dyDescent="0.25">
      <c r="A2" s="9" t="s">
        <v>351</v>
      </c>
      <c r="B2" s="11" t="s">
        <v>301</v>
      </c>
      <c r="C2" s="11"/>
      <c r="D2" s="11"/>
    </row>
    <row r="3" spans="1:4" x14ac:dyDescent="0.25">
      <c r="A3" s="9" t="s">
        <v>352</v>
      </c>
      <c r="B3" s="11">
        <f>SUM(B5:D5)</f>
        <v>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4" customHeight="1" spans="1:15" x14ac:dyDescent="0.25">
      <c r="A11" s="5" t="s">
        <v>1587</v>
      </c>
      <c r="B11" s="2" t="s">
        <v>1588</v>
      </c>
      <c r="C11" s="2" t="s">
        <v>1589</v>
      </c>
      <c r="D11" s="2" t="s">
        <v>1590</v>
      </c>
      <c r="E11" s="2" t="s">
        <v>302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74" customHeight="1" spans="1:15" x14ac:dyDescent="0.25">
      <c r="A12" s="5" t="s">
        <v>1591</v>
      </c>
      <c r="B12" s="2" t="s">
        <v>1592</v>
      </c>
      <c r="C12" s="2" t="s">
        <v>1593</v>
      </c>
      <c r="D12" s="2" t="s">
        <v>1594</v>
      </c>
      <c r="E12" s="2" t="s">
        <v>302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74" customHeight="1" spans="1:15" x14ac:dyDescent="0.25">
      <c r="A13" s="5" t="s">
        <v>1595</v>
      </c>
      <c r="B13" s="2" t="s">
        <v>1596</v>
      </c>
      <c r="C13" s="2" t="s">
        <v>1597</v>
      </c>
      <c r="D13" s="2" t="s">
        <v>1598</v>
      </c>
      <c r="E13" s="2" t="s">
        <v>302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74" customHeight="1" spans="1:15" x14ac:dyDescent="0.25">
      <c r="A14" s="5" t="s">
        <v>1599</v>
      </c>
      <c r="B14" s="2" t="s">
        <v>1600</v>
      </c>
      <c r="C14" s="2" t="s">
        <v>1601</v>
      </c>
      <c r="D14" s="2" t="s">
        <v>1602</v>
      </c>
      <c r="E14" s="2" t="s">
        <v>302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303</v>
      </c>
      <c r="C1" s="15"/>
      <c r="D1" s="15"/>
    </row>
    <row r="2" spans="1:4" x14ac:dyDescent="0.25">
      <c r="A2" s="9" t="s">
        <v>351</v>
      </c>
      <c r="B2" s="11" t="s">
        <v>304</v>
      </c>
      <c r="C2" s="11"/>
      <c r="D2" s="11"/>
    </row>
    <row r="3" spans="1:4" x14ac:dyDescent="0.25">
      <c r="A3" s="9" t="s">
        <v>352</v>
      </c>
      <c r="B3" s="11">
        <f>SUM(B5:D5)</f>
        <v>2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2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2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2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88" customHeight="1" spans="1:15" x14ac:dyDescent="0.25">
      <c r="A11" s="5" t="s">
        <v>1603</v>
      </c>
      <c r="B11" s="2" t="s">
        <v>1604</v>
      </c>
      <c r="C11" s="2" t="s">
        <v>1605</v>
      </c>
      <c r="D11" s="2" t="s">
        <v>1606</v>
      </c>
      <c r="E11" s="2" t="s">
        <v>305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88" customHeight="1" spans="1:15" x14ac:dyDescent="0.25">
      <c r="A12" s="5" t="s">
        <v>1607</v>
      </c>
      <c r="B12" s="2" t="s">
        <v>1608</v>
      </c>
      <c r="C12" s="2" t="s">
        <v>1609</v>
      </c>
      <c r="D12" s="2" t="s">
        <v>1610</v>
      </c>
      <c r="E12" s="2" t="s">
        <v>305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306</v>
      </c>
      <c r="C1" s="15"/>
      <c r="D1" s="15"/>
    </row>
    <row r="2" spans="1:4" x14ac:dyDescent="0.25">
      <c r="A2" s="9" t="s">
        <v>351</v>
      </c>
      <c r="B2" s="11" t="s">
        <v>307</v>
      </c>
      <c r="C2" s="11"/>
      <c r="D2" s="11"/>
    </row>
    <row r="3" spans="1:4" x14ac:dyDescent="0.25">
      <c r="A3" s="9" t="s">
        <v>352</v>
      </c>
      <c r="B3" s="11">
        <f>SUM(B5:D5)</f>
        <v>4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4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4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4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88" customHeight="1" spans="1:15" x14ac:dyDescent="0.25">
      <c r="A11" s="5" t="s">
        <v>1611</v>
      </c>
      <c r="B11" s="2" t="s">
        <v>1612</v>
      </c>
      <c r="C11" s="2" t="s">
        <v>1613</v>
      </c>
      <c r="D11" s="2" t="s">
        <v>1614</v>
      </c>
      <c r="E11" s="2" t="s">
        <v>308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88" customHeight="1" spans="1:15" x14ac:dyDescent="0.25">
      <c r="A12" s="5" t="s">
        <v>1615</v>
      </c>
      <c r="B12" s="2" t="s">
        <v>1616</v>
      </c>
      <c r="C12" s="2" t="s">
        <v>1617</v>
      </c>
      <c r="D12" s="2" t="s">
        <v>1618</v>
      </c>
      <c r="E12" s="2" t="s">
        <v>308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88" customHeight="1" spans="1:15" x14ac:dyDescent="0.25">
      <c r="A13" s="5" t="s">
        <v>1619</v>
      </c>
      <c r="B13" s="2" t="s">
        <v>1620</v>
      </c>
      <c r="C13" s="2" t="s">
        <v>1621</v>
      </c>
      <c r="D13" s="2" t="s">
        <v>1622</v>
      </c>
      <c r="E13" s="2" t="s">
        <v>308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88" customHeight="1" spans="1:15" x14ac:dyDescent="0.25">
      <c r="A14" s="5" t="s">
        <v>1623</v>
      </c>
      <c r="B14" s="2" t="s">
        <v>1624</v>
      </c>
      <c r="C14" s="2" t="s">
        <v>1625</v>
      </c>
      <c r="D14" s="2" t="s">
        <v>1626</v>
      </c>
      <c r="E14" s="2" t="s">
        <v>308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309</v>
      </c>
      <c r="C1" s="15"/>
      <c r="D1" s="15"/>
    </row>
    <row r="2" spans="1:4" x14ac:dyDescent="0.25">
      <c r="A2" s="9" t="s">
        <v>351</v>
      </c>
      <c r="B2" s="11" t="s">
        <v>310</v>
      </c>
      <c r="C2" s="11"/>
      <c r="D2" s="11"/>
    </row>
    <row r="3" spans="1:4" x14ac:dyDescent="0.25">
      <c r="A3" s="9" t="s">
        <v>352</v>
      </c>
      <c r="B3" s="11">
        <f>SUM(B5:D5)</f>
        <v>9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9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9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9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1627</v>
      </c>
      <c r="B11" s="2" t="s">
        <v>1628</v>
      </c>
      <c r="C11" s="2" t="s">
        <v>1629</v>
      </c>
      <c r="D11" s="2" t="s">
        <v>1630</v>
      </c>
      <c r="E11" s="2" t="s">
        <v>311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1631</v>
      </c>
      <c r="B12" s="2" t="s">
        <v>1632</v>
      </c>
      <c r="C12" s="2" t="s">
        <v>1633</v>
      </c>
      <c r="D12" s="2" t="s">
        <v>1634</v>
      </c>
      <c r="E12" s="2" t="s">
        <v>311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1635</v>
      </c>
      <c r="B13" s="2" t="s">
        <v>1636</v>
      </c>
      <c r="C13" s="2" t="s">
        <v>1637</v>
      </c>
      <c r="D13" s="2" t="s">
        <v>1638</v>
      </c>
      <c r="E13" s="2" t="s">
        <v>311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46" customHeight="1" spans="1:15" x14ac:dyDescent="0.25">
      <c r="A14" s="5" t="s">
        <v>1639</v>
      </c>
      <c r="B14" s="2" t="s">
        <v>1640</v>
      </c>
      <c r="C14" s="2" t="s">
        <v>1641</v>
      </c>
      <c r="D14" s="2" t="s">
        <v>1484</v>
      </c>
      <c r="E14" s="2" t="s">
        <v>311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46" customHeight="1" spans="1:15" x14ac:dyDescent="0.25">
      <c r="A15" s="5" t="s">
        <v>1642</v>
      </c>
      <c r="B15" s="2" t="s">
        <v>1486</v>
      </c>
      <c r="C15" s="2" t="s">
        <v>1643</v>
      </c>
      <c r="D15" s="2" t="s">
        <v>1488</v>
      </c>
      <c r="E15" s="2" t="s">
        <v>311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46" customHeight="1" spans="1:15" x14ac:dyDescent="0.25">
      <c r="A16" s="5" t="s">
        <v>1644</v>
      </c>
      <c r="B16" s="2" t="s">
        <v>1490</v>
      </c>
      <c r="C16" s="2" t="s">
        <v>1645</v>
      </c>
      <c r="D16" s="2" t="s">
        <v>1492</v>
      </c>
      <c r="E16" s="2" t="s">
        <v>311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46" customHeight="1" spans="1:15" x14ac:dyDescent="0.25">
      <c r="A17" s="5" t="s">
        <v>1646</v>
      </c>
      <c r="B17" s="2" t="s">
        <v>1647</v>
      </c>
      <c r="C17" s="2" t="s">
        <v>1648</v>
      </c>
      <c r="D17" s="2" t="s">
        <v>1649</v>
      </c>
      <c r="E17" s="2" t="s">
        <v>311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46" customHeight="1" spans="1:15" x14ac:dyDescent="0.25">
      <c r="A18" s="5" t="s">
        <v>1650</v>
      </c>
      <c r="B18" s="2" t="s">
        <v>1651</v>
      </c>
      <c r="C18" s="2" t="s">
        <v>1652</v>
      </c>
      <c r="D18" s="2" t="s">
        <v>1653</v>
      </c>
      <c r="E18" s="2" t="s">
        <v>311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  <row r="19" ht="46" customHeight="1" spans="1:15" x14ac:dyDescent="0.25">
      <c r="A19" s="5" t="s">
        <v>1654</v>
      </c>
      <c r="B19" s="2" t="s">
        <v>1655</v>
      </c>
      <c r="C19" s="2" t="s">
        <v>1656</v>
      </c>
      <c r="D19" s="2" t="s">
        <v>1657</v>
      </c>
      <c r="E19" s="2" t="s">
        <v>311</v>
      </c>
      <c r="F19" s="5" t="s">
        <v>354</v>
      </c>
      <c r="G19" s="5" t="s">
        <v>1255</v>
      </c>
      <c r="H19" s="2" t="s">
        <v>373</v>
      </c>
      <c r="I19" s="5" t="s">
        <v>354</v>
      </c>
      <c r="J19" s="5" t="s">
        <v>1255</v>
      </c>
      <c r="K19" s="2" t="s">
        <v>373</v>
      </c>
      <c r="L19" s="5" t="s">
        <v>354</v>
      </c>
      <c r="M19" s="5" t="s">
        <v>1255</v>
      </c>
      <c r="N19" s="2" t="s">
        <v>373</v>
      </c>
      <c r="O19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312</v>
      </c>
      <c r="C1" s="15"/>
      <c r="D1" s="15"/>
    </row>
    <row r="2" spans="1:4" x14ac:dyDescent="0.25">
      <c r="A2" s="9" t="s">
        <v>351</v>
      </c>
      <c r="B2" s="11" t="s">
        <v>313</v>
      </c>
      <c r="C2" s="11"/>
      <c r="D2" s="11"/>
    </row>
    <row r="3" spans="1:4" x14ac:dyDescent="0.25">
      <c r="A3" s="9" t="s">
        <v>352</v>
      </c>
      <c r="B3" s="11">
        <f>SUM(B5:D5)</f>
        <v>6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6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6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6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1658</v>
      </c>
      <c r="B11" s="2" t="s">
        <v>1659</v>
      </c>
      <c r="C11" s="2" t="s">
        <v>1660</v>
      </c>
      <c r="D11" s="2" t="s">
        <v>1661</v>
      </c>
      <c r="E11" s="2" t="s">
        <v>314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1662</v>
      </c>
      <c r="B12" s="2" t="s">
        <v>1335</v>
      </c>
      <c r="C12" s="2" t="s">
        <v>1663</v>
      </c>
      <c r="D12" s="2" t="s">
        <v>1337</v>
      </c>
      <c r="E12" s="2" t="s">
        <v>314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1664</v>
      </c>
      <c r="B13" s="2" t="s">
        <v>1665</v>
      </c>
      <c r="C13" s="2" t="s">
        <v>1666</v>
      </c>
      <c r="D13" s="2" t="s">
        <v>1667</v>
      </c>
      <c r="E13" s="2" t="s">
        <v>314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1668</v>
      </c>
      <c r="B14" s="2" t="s">
        <v>1669</v>
      </c>
      <c r="C14" s="2" t="s">
        <v>1670</v>
      </c>
      <c r="D14" s="2" t="s">
        <v>1671</v>
      </c>
      <c r="E14" s="2" t="s">
        <v>314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1672</v>
      </c>
      <c r="B15" s="2" t="s">
        <v>1673</v>
      </c>
      <c r="C15" s="2" t="s">
        <v>1674</v>
      </c>
      <c r="D15" s="2" t="s">
        <v>1675</v>
      </c>
      <c r="E15" s="2" t="s">
        <v>314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60" customHeight="1" spans="1:15" x14ac:dyDescent="0.25">
      <c r="A16" s="5" t="s">
        <v>1676</v>
      </c>
      <c r="B16" s="2" t="s">
        <v>1458</v>
      </c>
      <c r="C16" s="2" t="s">
        <v>1677</v>
      </c>
      <c r="D16" s="2" t="s">
        <v>1678</v>
      </c>
      <c r="E16" s="2" t="s">
        <v>314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315</v>
      </c>
      <c r="C1" s="15"/>
      <c r="D1" s="15"/>
    </row>
    <row r="2" spans="1:4" x14ac:dyDescent="0.25">
      <c r="A2" s="9" t="s">
        <v>351</v>
      </c>
      <c r="B2" s="11" t="s">
        <v>316</v>
      </c>
      <c r="C2" s="11"/>
      <c r="D2" s="11"/>
    </row>
    <row r="3" spans="1:4" x14ac:dyDescent="0.25">
      <c r="A3" s="9" t="s">
        <v>352</v>
      </c>
      <c r="B3" s="11">
        <f>SUM(B5:D5)</f>
        <v>9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9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9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9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1679</v>
      </c>
      <c r="B11" s="2" t="s">
        <v>1680</v>
      </c>
      <c r="C11" s="2" t="s">
        <v>1681</v>
      </c>
      <c r="D11" s="2" t="s">
        <v>1682</v>
      </c>
      <c r="E11" s="2" t="s">
        <v>317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1683</v>
      </c>
      <c r="B12" s="2" t="s">
        <v>1684</v>
      </c>
      <c r="C12" s="2" t="s">
        <v>1685</v>
      </c>
      <c r="D12" s="2" t="s">
        <v>1686</v>
      </c>
      <c r="E12" s="2" t="s">
        <v>317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1687</v>
      </c>
      <c r="B13" s="2" t="s">
        <v>1688</v>
      </c>
      <c r="C13" s="2" t="s">
        <v>1689</v>
      </c>
      <c r="D13" s="2" t="s">
        <v>1690</v>
      </c>
      <c r="E13" s="2" t="s">
        <v>317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46" customHeight="1" spans="1:15" x14ac:dyDescent="0.25">
      <c r="A14" s="5" t="s">
        <v>1691</v>
      </c>
      <c r="B14" s="2" t="s">
        <v>1692</v>
      </c>
      <c r="C14" s="2" t="s">
        <v>1693</v>
      </c>
      <c r="D14" s="2" t="s">
        <v>1694</v>
      </c>
      <c r="E14" s="2" t="s">
        <v>317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46" customHeight="1" spans="1:15" x14ac:dyDescent="0.25">
      <c r="A15" s="5" t="s">
        <v>1695</v>
      </c>
      <c r="B15" s="2" t="s">
        <v>1257</v>
      </c>
      <c r="C15" s="2" t="s">
        <v>1696</v>
      </c>
      <c r="D15" s="2" t="s">
        <v>1697</v>
      </c>
      <c r="E15" s="2" t="s">
        <v>317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46" customHeight="1" spans="1:15" x14ac:dyDescent="0.25">
      <c r="A16" s="5" t="s">
        <v>1698</v>
      </c>
      <c r="B16" s="2" t="s">
        <v>1699</v>
      </c>
      <c r="C16" s="2" t="s">
        <v>1700</v>
      </c>
      <c r="D16" s="2" t="s">
        <v>1701</v>
      </c>
      <c r="E16" s="2" t="s">
        <v>317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46" customHeight="1" spans="1:15" x14ac:dyDescent="0.25">
      <c r="A17" s="5" t="s">
        <v>1702</v>
      </c>
      <c r="B17" s="2" t="s">
        <v>1703</v>
      </c>
      <c r="C17" s="2" t="s">
        <v>1704</v>
      </c>
      <c r="D17" s="2" t="s">
        <v>1705</v>
      </c>
      <c r="E17" s="2" t="s">
        <v>317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46" customHeight="1" spans="1:15" x14ac:dyDescent="0.25">
      <c r="A18" s="5" t="s">
        <v>1706</v>
      </c>
      <c r="B18" s="2" t="s">
        <v>1707</v>
      </c>
      <c r="C18" s="2" t="s">
        <v>1708</v>
      </c>
      <c r="D18" s="2" t="s">
        <v>1709</v>
      </c>
      <c r="E18" s="2" t="s">
        <v>317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  <row r="19" ht="46" customHeight="1" spans="1:15" x14ac:dyDescent="0.25">
      <c r="A19" s="5" t="s">
        <v>1710</v>
      </c>
      <c r="B19" s="2" t="s">
        <v>1711</v>
      </c>
      <c r="C19" s="2" t="s">
        <v>1712</v>
      </c>
      <c r="D19" s="2" t="s">
        <v>1713</v>
      </c>
      <c r="E19" s="2" t="s">
        <v>317</v>
      </c>
      <c r="F19" s="5" t="s">
        <v>354</v>
      </c>
      <c r="G19" s="5" t="s">
        <v>1255</v>
      </c>
      <c r="H19" s="2" t="s">
        <v>373</v>
      </c>
      <c r="I19" s="5" t="s">
        <v>354</v>
      </c>
      <c r="J19" s="5" t="s">
        <v>1255</v>
      </c>
      <c r="K19" s="2" t="s">
        <v>373</v>
      </c>
      <c r="L19" s="5" t="s">
        <v>354</v>
      </c>
      <c r="M19" s="5" t="s">
        <v>1255</v>
      </c>
      <c r="N19" s="2" t="s">
        <v>373</v>
      </c>
      <c r="O19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318</v>
      </c>
      <c r="C1" s="15"/>
      <c r="D1" s="15"/>
    </row>
    <row r="2" spans="1:4" x14ac:dyDescent="0.25">
      <c r="A2" s="9" t="s">
        <v>351</v>
      </c>
      <c r="B2" s="11" t="s">
        <v>319</v>
      </c>
      <c r="C2" s="11"/>
      <c r="D2" s="11"/>
    </row>
    <row r="3" spans="1:4" x14ac:dyDescent="0.25">
      <c r="A3" s="9" t="s">
        <v>352</v>
      </c>
      <c r="B3" s="11">
        <f>SUM(B5:D5)</f>
        <v>3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3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3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3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1714</v>
      </c>
      <c r="B11" s="2" t="s">
        <v>1715</v>
      </c>
      <c r="C11" s="2" t="s">
        <v>1716</v>
      </c>
      <c r="D11" s="2" t="s">
        <v>1279</v>
      </c>
      <c r="E11" s="2" t="s">
        <v>320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1717</v>
      </c>
      <c r="B12" s="2" t="s">
        <v>1718</v>
      </c>
      <c r="C12" s="2" t="s">
        <v>1719</v>
      </c>
      <c r="D12" s="2" t="s">
        <v>1279</v>
      </c>
      <c r="E12" s="2" t="s">
        <v>320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1720</v>
      </c>
      <c r="B13" s="2" t="s">
        <v>1721</v>
      </c>
      <c r="C13" s="2" t="s">
        <v>1722</v>
      </c>
      <c r="D13" s="2" t="s">
        <v>1723</v>
      </c>
      <c r="E13" s="2" t="s">
        <v>320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321</v>
      </c>
      <c r="C1" s="15"/>
      <c r="D1" s="15"/>
    </row>
    <row r="2" spans="1:4" x14ac:dyDescent="0.25">
      <c r="A2" s="9" t="s">
        <v>351</v>
      </c>
      <c r="B2" s="11" t="s">
        <v>322</v>
      </c>
      <c r="C2" s="11"/>
      <c r="D2" s="11"/>
    </row>
    <row r="3" spans="1:4" x14ac:dyDescent="0.25">
      <c r="A3" s="9" t="s">
        <v>352</v>
      </c>
      <c r="B3" s="11">
        <f>SUM(B5:D5)</f>
        <v>8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8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8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8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1724</v>
      </c>
      <c r="B11" s="2" t="s">
        <v>1725</v>
      </c>
      <c r="C11" s="2" t="s">
        <v>1726</v>
      </c>
      <c r="D11" s="2" t="s">
        <v>1727</v>
      </c>
      <c r="E11" s="2" t="s">
        <v>323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1728</v>
      </c>
      <c r="B12" s="2" t="s">
        <v>1729</v>
      </c>
      <c r="C12" s="2" t="s">
        <v>1730</v>
      </c>
      <c r="D12" s="2" t="s">
        <v>1731</v>
      </c>
      <c r="E12" s="2" t="s">
        <v>323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1732</v>
      </c>
      <c r="B13" s="2" t="s">
        <v>1733</v>
      </c>
      <c r="C13" s="2" t="s">
        <v>1734</v>
      </c>
      <c r="D13" s="2" t="s">
        <v>1735</v>
      </c>
      <c r="E13" s="2" t="s">
        <v>323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46" customHeight="1" spans="1:15" x14ac:dyDescent="0.25">
      <c r="A14" s="5" t="s">
        <v>1736</v>
      </c>
      <c r="B14" s="2" t="s">
        <v>1257</v>
      </c>
      <c r="C14" s="2" t="s">
        <v>1737</v>
      </c>
      <c r="D14" s="2" t="s">
        <v>1738</v>
      </c>
      <c r="E14" s="2" t="s">
        <v>323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46" customHeight="1" spans="1:15" x14ac:dyDescent="0.25">
      <c r="A15" s="5" t="s">
        <v>1739</v>
      </c>
      <c r="B15" s="2" t="s">
        <v>1740</v>
      </c>
      <c r="C15" s="2" t="s">
        <v>1741</v>
      </c>
      <c r="D15" s="2" t="s">
        <v>1742</v>
      </c>
      <c r="E15" s="2" t="s">
        <v>323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46" customHeight="1" spans="1:15" x14ac:dyDescent="0.25">
      <c r="A16" s="5" t="s">
        <v>1743</v>
      </c>
      <c r="B16" s="2" t="s">
        <v>1744</v>
      </c>
      <c r="C16" s="2" t="s">
        <v>1745</v>
      </c>
      <c r="D16" s="2" t="s">
        <v>1746</v>
      </c>
      <c r="E16" s="2" t="s">
        <v>323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46" customHeight="1" spans="1:15" x14ac:dyDescent="0.25">
      <c r="A17" s="5" t="s">
        <v>1747</v>
      </c>
      <c r="B17" s="2" t="s">
        <v>1748</v>
      </c>
      <c r="C17" s="2" t="s">
        <v>1749</v>
      </c>
      <c r="D17" s="2" t="s">
        <v>1750</v>
      </c>
      <c r="E17" s="2" t="s">
        <v>323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46" customHeight="1" spans="1:15" x14ac:dyDescent="0.25">
      <c r="A18" s="5" t="s">
        <v>1751</v>
      </c>
      <c r="B18" s="2" t="s">
        <v>1752</v>
      </c>
      <c r="C18" s="2" t="s">
        <v>1753</v>
      </c>
      <c r="D18" s="2" t="s">
        <v>1754</v>
      </c>
      <c r="E18" s="2" t="s">
        <v>323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324</v>
      </c>
      <c r="C1" s="15"/>
      <c r="D1" s="15"/>
    </row>
    <row r="2" spans="1:4" x14ac:dyDescent="0.25">
      <c r="A2" s="9" t="s">
        <v>351</v>
      </c>
      <c r="B2" s="11" t="s">
        <v>325</v>
      </c>
      <c r="C2" s="11"/>
      <c r="D2" s="11"/>
    </row>
    <row r="3" spans="1:4" x14ac:dyDescent="0.25">
      <c r="A3" s="9" t="s">
        <v>352</v>
      </c>
      <c r="B3" s="11">
        <f>SUM(B5:D5)</f>
        <v>7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7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7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7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1755</v>
      </c>
      <c r="B11" s="2" t="s">
        <v>1756</v>
      </c>
      <c r="C11" s="2" t="s">
        <v>1757</v>
      </c>
      <c r="D11" s="2" t="s">
        <v>1758</v>
      </c>
      <c r="E11" s="2" t="s">
        <v>326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1759</v>
      </c>
      <c r="B12" s="2" t="s">
        <v>1760</v>
      </c>
      <c r="C12" s="2" t="s">
        <v>1761</v>
      </c>
      <c r="D12" s="2" t="s">
        <v>1762</v>
      </c>
      <c r="E12" s="2" t="s">
        <v>326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1763</v>
      </c>
      <c r="B13" s="2" t="s">
        <v>1764</v>
      </c>
      <c r="C13" s="2" t="s">
        <v>1765</v>
      </c>
      <c r="D13" s="2" t="s">
        <v>1766</v>
      </c>
      <c r="E13" s="2" t="s">
        <v>326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46" customHeight="1" spans="1:15" x14ac:dyDescent="0.25">
      <c r="A14" s="5" t="s">
        <v>1767</v>
      </c>
      <c r="B14" s="2" t="s">
        <v>1768</v>
      </c>
      <c r="C14" s="2" t="s">
        <v>1769</v>
      </c>
      <c r="D14" s="2" t="s">
        <v>1770</v>
      </c>
      <c r="E14" s="2" t="s">
        <v>326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46" customHeight="1" spans="1:15" x14ac:dyDescent="0.25">
      <c r="A15" s="5" t="s">
        <v>1771</v>
      </c>
      <c r="B15" s="2" t="s">
        <v>1772</v>
      </c>
      <c r="C15" s="2" t="s">
        <v>1773</v>
      </c>
      <c r="D15" s="2" t="s">
        <v>1774</v>
      </c>
      <c r="E15" s="2" t="s">
        <v>326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46" customHeight="1" spans="1:15" x14ac:dyDescent="0.25">
      <c r="A16" s="5" t="s">
        <v>1775</v>
      </c>
      <c r="B16" s="2" t="s">
        <v>1776</v>
      </c>
      <c r="C16" s="2" t="s">
        <v>1777</v>
      </c>
      <c r="D16" s="2" t="s">
        <v>1778</v>
      </c>
      <c r="E16" s="2" t="s">
        <v>326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46" customHeight="1" spans="1:15" x14ac:dyDescent="0.25">
      <c r="A17" s="5" t="s">
        <v>1779</v>
      </c>
      <c r="B17" s="2" t="s">
        <v>1780</v>
      </c>
      <c r="C17" s="2" t="s">
        <v>1781</v>
      </c>
      <c r="D17" s="2" t="s">
        <v>1782</v>
      </c>
      <c r="E17" s="2" t="s">
        <v>326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327</v>
      </c>
      <c r="C1" s="15"/>
      <c r="D1" s="15"/>
    </row>
    <row r="2" spans="1:4" x14ac:dyDescent="0.25">
      <c r="A2" s="9" t="s">
        <v>351</v>
      </c>
      <c r="B2" s="11" t="s">
        <v>328</v>
      </c>
      <c r="C2" s="11"/>
      <c r="D2" s="11"/>
    </row>
    <row r="3" spans="1:4" x14ac:dyDescent="0.25">
      <c r="A3" s="9" t="s">
        <v>352</v>
      </c>
      <c r="B3" s="11">
        <f>SUM(B5:D5)</f>
        <v>10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10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10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10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1783</v>
      </c>
      <c r="B11" s="2" t="s">
        <v>1784</v>
      </c>
      <c r="C11" s="2" t="s">
        <v>1785</v>
      </c>
      <c r="D11" s="2" t="s">
        <v>1786</v>
      </c>
      <c r="E11" s="2" t="s">
        <v>329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1787</v>
      </c>
      <c r="B12" s="2" t="s">
        <v>1788</v>
      </c>
      <c r="C12" s="2" t="s">
        <v>1789</v>
      </c>
      <c r="D12" s="2" t="s">
        <v>1790</v>
      </c>
      <c r="E12" s="2" t="s">
        <v>329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1791</v>
      </c>
      <c r="B13" s="2" t="s">
        <v>1792</v>
      </c>
      <c r="C13" s="2" t="s">
        <v>1793</v>
      </c>
      <c r="D13" s="2" t="s">
        <v>1794</v>
      </c>
      <c r="E13" s="2" t="s">
        <v>329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1795</v>
      </c>
      <c r="B14" s="2" t="s">
        <v>1796</v>
      </c>
      <c r="C14" s="2" t="s">
        <v>1797</v>
      </c>
      <c r="D14" s="2" t="s">
        <v>1798</v>
      </c>
      <c r="E14" s="2" t="s">
        <v>329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1799</v>
      </c>
      <c r="B15" s="2" t="s">
        <v>1800</v>
      </c>
      <c r="C15" s="2" t="s">
        <v>1801</v>
      </c>
      <c r="D15" s="2" t="s">
        <v>1802</v>
      </c>
      <c r="E15" s="2" t="s">
        <v>329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60" customHeight="1" spans="1:15" x14ac:dyDescent="0.25">
      <c r="A16" s="5" t="s">
        <v>1803</v>
      </c>
      <c r="B16" s="2" t="s">
        <v>1804</v>
      </c>
      <c r="C16" s="2" t="s">
        <v>1805</v>
      </c>
      <c r="D16" s="2" t="s">
        <v>1806</v>
      </c>
      <c r="E16" s="2" t="s">
        <v>329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60" customHeight="1" spans="1:15" x14ac:dyDescent="0.25">
      <c r="A17" s="5" t="s">
        <v>1807</v>
      </c>
      <c r="B17" s="2" t="s">
        <v>1808</v>
      </c>
      <c r="C17" s="2" t="s">
        <v>1809</v>
      </c>
      <c r="D17" s="2" t="s">
        <v>1810</v>
      </c>
      <c r="E17" s="2" t="s">
        <v>329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60" customHeight="1" spans="1:15" x14ac:dyDescent="0.25">
      <c r="A18" s="5" t="s">
        <v>1811</v>
      </c>
      <c r="B18" s="2" t="s">
        <v>1812</v>
      </c>
      <c r="C18" s="2" t="s">
        <v>1813</v>
      </c>
      <c r="D18" s="2" t="s">
        <v>1814</v>
      </c>
      <c r="E18" s="2" t="s">
        <v>329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  <row r="19" ht="60" customHeight="1" spans="1:15" x14ac:dyDescent="0.25">
      <c r="A19" s="5" t="s">
        <v>1815</v>
      </c>
      <c r="B19" s="2" t="s">
        <v>1816</v>
      </c>
      <c r="C19" s="2" t="s">
        <v>1817</v>
      </c>
      <c r="D19" s="2" t="s">
        <v>1818</v>
      </c>
      <c r="E19" s="2" t="s">
        <v>329</v>
      </c>
      <c r="F19" s="5" t="s">
        <v>354</v>
      </c>
      <c r="G19" s="5" t="s">
        <v>1255</v>
      </c>
      <c r="H19" s="2" t="s">
        <v>373</v>
      </c>
      <c r="I19" s="5" t="s">
        <v>354</v>
      </c>
      <c r="J19" s="5" t="s">
        <v>1255</v>
      </c>
      <c r="K19" s="2" t="s">
        <v>373</v>
      </c>
      <c r="L19" s="5" t="s">
        <v>354</v>
      </c>
      <c r="M19" s="5" t="s">
        <v>1255</v>
      </c>
      <c r="N19" s="2" t="s">
        <v>373</v>
      </c>
      <c r="O19" s="5" t="s">
        <v>374</v>
      </c>
    </row>
    <row r="20" ht="60" customHeight="1" spans="1:15" x14ac:dyDescent="0.25">
      <c r="A20" s="5" t="s">
        <v>1819</v>
      </c>
      <c r="B20" s="2" t="s">
        <v>1820</v>
      </c>
      <c r="C20" s="2" t="s">
        <v>1821</v>
      </c>
      <c r="D20" s="2" t="s">
        <v>1822</v>
      </c>
      <c r="E20" s="2" t="s">
        <v>329</v>
      </c>
      <c r="F20" s="5" t="s">
        <v>354</v>
      </c>
      <c r="G20" s="5" t="s">
        <v>1255</v>
      </c>
      <c r="H20" s="2" t="s">
        <v>373</v>
      </c>
      <c r="I20" s="5" t="s">
        <v>354</v>
      </c>
      <c r="J20" s="5" t="s">
        <v>1255</v>
      </c>
      <c r="K20" s="2" t="s">
        <v>373</v>
      </c>
      <c r="L20" s="5" t="s">
        <v>354</v>
      </c>
      <c r="M20" s="5" t="s">
        <v>1255</v>
      </c>
      <c r="N20" s="2" t="s">
        <v>373</v>
      </c>
      <c r="O20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330</v>
      </c>
      <c r="C1" s="15"/>
      <c r="D1" s="15"/>
    </row>
    <row r="2" spans="1:4" x14ac:dyDescent="0.25">
      <c r="A2" s="9" t="s">
        <v>351</v>
      </c>
      <c r="B2" s="11" t="s">
        <v>331</v>
      </c>
      <c r="C2" s="11"/>
      <c r="D2" s="11"/>
    </row>
    <row r="3" spans="1:4" x14ac:dyDescent="0.25">
      <c r="A3" s="9" t="s">
        <v>352</v>
      </c>
      <c r="B3" s="11">
        <f>SUM(B5:D5)</f>
        <v>9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9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9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9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32" customHeight="1" spans="1:15" x14ac:dyDescent="0.25">
      <c r="A11" s="5" t="s">
        <v>1823</v>
      </c>
      <c r="B11" s="2" t="s">
        <v>1824</v>
      </c>
      <c r="C11" s="2" t="s">
        <v>1825</v>
      </c>
      <c r="D11" s="2" t="s">
        <v>1826</v>
      </c>
      <c r="E11" s="2" t="s">
        <v>332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32" customHeight="1" spans="1:15" x14ac:dyDescent="0.25">
      <c r="A12" s="5" t="s">
        <v>1827</v>
      </c>
      <c r="B12" s="2" t="s">
        <v>1828</v>
      </c>
      <c r="C12" s="2" t="s">
        <v>1829</v>
      </c>
      <c r="D12" s="2" t="s">
        <v>1830</v>
      </c>
      <c r="E12" s="2" t="s">
        <v>332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32" customHeight="1" spans="1:15" x14ac:dyDescent="0.25">
      <c r="A13" s="5" t="s">
        <v>1831</v>
      </c>
      <c r="B13" s="2" t="s">
        <v>1832</v>
      </c>
      <c r="C13" s="2" t="s">
        <v>1833</v>
      </c>
      <c r="D13" s="2" t="s">
        <v>1834</v>
      </c>
      <c r="E13" s="2" t="s">
        <v>332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32" customHeight="1" spans="1:15" x14ac:dyDescent="0.25">
      <c r="A14" s="5" t="s">
        <v>1835</v>
      </c>
      <c r="B14" s="2" t="s">
        <v>1836</v>
      </c>
      <c r="C14" s="2" t="s">
        <v>1837</v>
      </c>
      <c r="D14" s="2" t="s">
        <v>1838</v>
      </c>
      <c r="E14" s="2" t="s">
        <v>332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32" customHeight="1" spans="1:15" x14ac:dyDescent="0.25">
      <c r="A15" s="5" t="s">
        <v>1839</v>
      </c>
      <c r="B15" s="2" t="s">
        <v>1840</v>
      </c>
      <c r="C15" s="2" t="s">
        <v>1841</v>
      </c>
      <c r="D15" s="2" t="s">
        <v>1842</v>
      </c>
      <c r="E15" s="2" t="s">
        <v>332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32" customHeight="1" spans="1:15" x14ac:dyDescent="0.25">
      <c r="A16" s="5" t="s">
        <v>1843</v>
      </c>
      <c r="B16" s="2" t="s">
        <v>1844</v>
      </c>
      <c r="C16" s="2" t="s">
        <v>1845</v>
      </c>
      <c r="D16" s="2" t="s">
        <v>1846</v>
      </c>
      <c r="E16" s="2" t="s">
        <v>332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  <row r="17" ht="32" customHeight="1" spans="1:15" x14ac:dyDescent="0.25">
      <c r="A17" s="5" t="s">
        <v>1847</v>
      </c>
      <c r="B17" s="2" t="s">
        <v>1848</v>
      </c>
      <c r="C17" s="2" t="s">
        <v>1849</v>
      </c>
      <c r="D17" s="2" t="s">
        <v>1850</v>
      </c>
      <c r="E17" s="2" t="s">
        <v>332</v>
      </c>
      <c r="F17" s="5" t="s">
        <v>354</v>
      </c>
      <c r="G17" s="5" t="s">
        <v>1255</v>
      </c>
      <c r="H17" s="2" t="s">
        <v>373</v>
      </c>
      <c r="I17" s="5" t="s">
        <v>354</v>
      </c>
      <c r="J17" s="5" t="s">
        <v>1255</v>
      </c>
      <c r="K17" s="2" t="s">
        <v>373</v>
      </c>
      <c r="L17" s="5" t="s">
        <v>354</v>
      </c>
      <c r="M17" s="5" t="s">
        <v>1255</v>
      </c>
      <c r="N17" s="2" t="s">
        <v>373</v>
      </c>
      <c r="O17" s="5" t="s">
        <v>374</v>
      </c>
    </row>
    <row r="18" ht="32" customHeight="1" spans="1:15" x14ac:dyDescent="0.25">
      <c r="A18" s="5" t="s">
        <v>1851</v>
      </c>
      <c r="B18" s="2" t="s">
        <v>1852</v>
      </c>
      <c r="C18" s="2" t="s">
        <v>1853</v>
      </c>
      <c r="D18" s="2" t="s">
        <v>1850</v>
      </c>
      <c r="E18" s="2" t="s">
        <v>332</v>
      </c>
      <c r="F18" s="5" t="s">
        <v>354</v>
      </c>
      <c r="G18" s="5" t="s">
        <v>1255</v>
      </c>
      <c r="H18" s="2" t="s">
        <v>373</v>
      </c>
      <c r="I18" s="5" t="s">
        <v>354</v>
      </c>
      <c r="J18" s="5" t="s">
        <v>1255</v>
      </c>
      <c r="K18" s="2" t="s">
        <v>373</v>
      </c>
      <c r="L18" s="5" t="s">
        <v>354</v>
      </c>
      <c r="M18" s="5" t="s">
        <v>1255</v>
      </c>
      <c r="N18" s="2" t="s">
        <v>373</v>
      </c>
      <c r="O18" s="5" t="s">
        <v>374</v>
      </c>
    </row>
    <row r="19" ht="32" customHeight="1" spans="1:15" x14ac:dyDescent="0.25">
      <c r="A19" s="5" t="s">
        <v>1854</v>
      </c>
      <c r="B19" s="2" t="s">
        <v>1855</v>
      </c>
      <c r="C19" s="2" t="s">
        <v>1856</v>
      </c>
      <c r="D19" s="2" t="s">
        <v>1850</v>
      </c>
      <c r="E19" s="2" t="s">
        <v>332</v>
      </c>
      <c r="F19" s="5" t="s">
        <v>354</v>
      </c>
      <c r="G19" s="5" t="s">
        <v>1255</v>
      </c>
      <c r="H19" s="2" t="s">
        <v>373</v>
      </c>
      <c r="I19" s="5" t="s">
        <v>354</v>
      </c>
      <c r="J19" s="5" t="s">
        <v>1255</v>
      </c>
      <c r="K19" s="2" t="s">
        <v>373</v>
      </c>
      <c r="L19" s="5" t="s">
        <v>354</v>
      </c>
      <c r="M19" s="5" t="s">
        <v>1255</v>
      </c>
      <c r="N19" s="2" t="s">
        <v>373</v>
      </c>
      <c r="O19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333</v>
      </c>
      <c r="C1" s="15"/>
      <c r="D1" s="15"/>
    </row>
    <row r="2" spans="1:4" x14ac:dyDescent="0.25">
      <c r="A2" s="9" t="s">
        <v>351</v>
      </c>
      <c r="B2" s="11" t="s">
        <v>334</v>
      </c>
      <c r="C2" s="11"/>
      <c r="D2" s="11"/>
    </row>
    <row r="3" spans="1:4" x14ac:dyDescent="0.25">
      <c r="A3" s="9" t="s">
        <v>352</v>
      </c>
      <c r="B3" s="11">
        <f>SUM(B5:D5)</f>
        <v>6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6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6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6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74" customHeight="1" spans="1:15" x14ac:dyDescent="0.25">
      <c r="A11" s="5" t="s">
        <v>1857</v>
      </c>
      <c r="B11" s="2" t="s">
        <v>1858</v>
      </c>
      <c r="C11" s="2" t="s">
        <v>1859</v>
      </c>
      <c r="D11" s="2" t="s">
        <v>1860</v>
      </c>
      <c r="E11" s="2" t="s">
        <v>335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74" customHeight="1" spans="1:15" x14ac:dyDescent="0.25">
      <c r="A12" s="5" t="s">
        <v>1861</v>
      </c>
      <c r="B12" s="2" t="s">
        <v>1862</v>
      </c>
      <c r="C12" s="2" t="s">
        <v>1863</v>
      </c>
      <c r="D12" s="2" t="s">
        <v>1864</v>
      </c>
      <c r="E12" s="2" t="s">
        <v>335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74" customHeight="1" spans="1:15" x14ac:dyDescent="0.25">
      <c r="A13" s="5" t="s">
        <v>1865</v>
      </c>
      <c r="B13" s="2" t="s">
        <v>1866</v>
      </c>
      <c r="C13" s="2" t="s">
        <v>1867</v>
      </c>
      <c r="D13" s="2" t="s">
        <v>1868</v>
      </c>
      <c r="E13" s="2" t="s">
        <v>335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74" customHeight="1" spans="1:15" x14ac:dyDescent="0.25">
      <c r="A14" s="5" t="s">
        <v>1869</v>
      </c>
      <c r="B14" s="2" t="s">
        <v>1870</v>
      </c>
      <c r="C14" s="2" t="s">
        <v>1871</v>
      </c>
      <c r="D14" s="2" t="s">
        <v>1872</v>
      </c>
      <c r="E14" s="2" t="s">
        <v>335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74" customHeight="1" spans="1:15" x14ac:dyDescent="0.25">
      <c r="A15" s="5" t="s">
        <v>1873</v>
      </c>
      <c r="B15" s="2" t="s">
        <v>1874</v>
      </c>
      <c r="C15" s="2" t="s">
        <v>1875</v>
      </c>
      <c r="D15" s="2" t="s">
        <v>1876</v>
      </c>
      <c r="E15" s="2" t="s">
        <v>335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  <row r="16" ht="74" customHeight="1" spans="1:15" x14ac:dyDescent="0.25">
      <c r="A16" s="5" t="s">
        <v>1877</v>
      </c>
      <c r="B16" s="2" t="s">
        <v>1878</v>
      </c>
      <c r="C16" s="2" t="s">
        <v>1879</v>
      </c>
      <c r="D16" s="2" t="s">
        <v>1880</v>
      </c>
      <c r="E16" s="2" t="s">
        <v>335</v>
      </c>
      <c r="F16" s="5" t="s">
        <v>354</v>
      </c>
      <c r="G16" s="5" t="s">
        <v>1255</v>
      </c>
      <c r="H16" s="2" t="s">
        <v>373</v>
      </c>
      <c r="I16" s="5" t="s">
        <v>354</v>
      </c>
      <c r="J16" s="5" t="s">
        <v>1255</v>
      </c>
      <c r="K16" s="2" t="s">
        <v>373</v>
      </c>
      <c r="L16" s="5" t="s">
        <v>354</v>
      </c>
      <c r="M16" s="5" t="s">
        <v>1255</v>
      </c>
      <c r="N16" s="2" t="s">
        <v>373</v>
      </c>
      <c r="O16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336</v>
      </c>
      <c r="C1" s="15"/>
      <c r="D1" s="15"/>
    </row>
    <row r="2" spans="1:4" x14ac:dyDescent="0.25">
      <c r="A2" s="9" t="s">
        <v>351</v>
      </c>
      <c r="B2" s="11" t="s">
        <v>337</v>
      </c>
      <c r="C2" s="11"/>
      <c r="D2" s="11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1881</v>
      </c>
      <c r="B11" s="2" t="s">
        <v>1882</v>
      </c>
      <c r="C11" s="2" t="s">
        <v>1883</v>
      </c>
      <c r="D11" s="2" t="s">
        <v>1884</v>
      </c>
      <c r="E11" s="2" t="s">
        <v>338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1885</v>
      </c>
      <c r="B12" s="2" t="s">
        <v>1886</v>
      </c>
      <c r="C12" s="2" t="s">
        <v>1887</v>
      </c>
      <c r="D12" s="2" t="s">
        <v>1888</v>
      </c>
      <c r="E12" s="2" t="s">
        <v>338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1889</v>
      </c>
      <c r="B13" s="2" t="s">
        <v>1890</v>
      </c>
      <c r="C13" s="2" t="s">
        <v>1891</v>
      </c>
      <c r="D13" s="2" t="s">
        <v>1892</v>
      </c>
      <c r="E13" s="2" t="s">
        <v>338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46" customHeight="1" spans="1:15" x14ac:dyDescent="0.25">
      <c r="A14" s="5" t="s">
        <v>1893</v>
      </c>
      <c r="B14" s="2" t="s">
        <v>1894</v>
      </c>
      <c r="C14" s="2" t="s">
        <v>1895</v>
      </c>
      <c r="D14" s="2" t="s">
        <v>1896</v>
      </c>
      <c r="E14" s="2" t="s">
        <v>338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46" customHeight="1" spans="1:15" x14ac:dyDescent="0.25">
      <c r="A15" s="5" t="s">
        <v>1897</v>
      </c>
      <c r="B15" s="2" t="s">
        <v>1898</v>
      </c>
      <c r="C15" s="2" t="s">
        <v>1899</v>
      </c>
      <c r="D15" s="2" t="s">
        <v>1900</v>
      </c>
      <c r="E15" s="2" t="s">
        <v>338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339</v>
      </c>
      <c r="C1" s="15"/>
      <c r="D1" s="15"/>
    </row>
    <row r="2" spans="1:4" x14ac:dyDescent="0.25">
      <c r="A2" s="9" t="s">
        <v>351</v>
      </c>
      <c r="B2" s="11" t="s">
        <v>340</v>
      </c>
      <c r="C2" s="11"/>
      <c r="D2" s="11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1901</v>
      </c>
      <c r="B11" s="2" t="s">
        <v>1902</v>
      </c>
      <c r="C11" s="2" t="s">
        <v>1903</v>
      </c>
      <c r="D11" s="2" t="s">
        <v>1904</v>
      </c>
      <c r="E11" s="2" t="s">
        <v>341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1905</v>
      </c>
      <c r="B12" s="2" t="s">
        <v>1906</v>
      </c>
      <c r="C12" s="2" t="s">
        <v>1907</v>
      </c>
      <c r="D12" s="2" t="s">
        <v>1908</v>
      </c>
      <c r="E12" s="2" t="s">
        <v>341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1909</v>
      </c>
      <c r="B13" s="2" t="s">
        <v>1910</v>
      </c>
      <c r="C13" s="2" t="s">
        <v>1911</v>
      </c>
      <c r="D13" s="2" t="s">
        <v>1912</v>
      </c>
      <c r="E13" s="2" t="s">
        <v>341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1913</v>
      </c>
      <c r="B14" s="2" t="s">
        <v>1914</v>
      </c>
      <c r="C14" s="2" t="s">
        <v>1915</v>
      </c>
      <c r="D14" s="2" t="s">
        <v>1916</v>
      </c>
      <c r="E14" s="2" t="s">
        <v>341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1917</v>
      </c>
      <c r="B15" s="2" t="s">
        <v>1918</v>
      </c>
      <c r="C15" s="2" t="s">
        <v>1919</v>
      </c>
      <c r="D15" s="2" t="s">
        <v>1920</v>
      </c>
      <c r="E15" s="2" t="s">
        <v>341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342</v>
      </c>
      <c r="C1" s="15"/>
      <c r="D1" s="15"/>
    </row>
    <row r="2" spans="1:4" x14ac:dyDescent="0.25">
      <c r="A2" s="9" t="s">
        <v>351</v>
      </c>
      <c r="B2" s="11" t="s">
        <v>343</v>
      </c>
      <c r="C2" s="11"/>
      <c r="D2" s="11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1921</v>
      </c>
      <c r="B11" s="2" t="s">
        <v>1922</v>
      </c>
      <c r="C11" s="2" t="s">
        <v>1923</v>
      </c>
      <c r="D11" s="2" t="s">
        <v>1924</v>
      </c>
      <c r="E11" s="2" t="s">
        <v>344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1925</v>
      </c>
      <c r="B12" s="2" t="s">
        <v>1926</v>
      </c>
      <c r="C12" s="2" t="s">
        <v>1927</v>
      </c>
      <c r="D12" s="2" t="s">
        <v>1928</v>
      </c>
      <c r="E12" s="2" t="s">
        <v>344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1929</v>
      </c>
      <c r="B13" s="2" t="s">
        <v>1930</v>
      </c>
      <c r="C13" s="2" t="s">
        <v>1931</v>
      </c>
      <c r="D13" s="2" t="s">
        <v>1932</v>
      </c>
      <c r="E13" s="2" t="s">
        <v>344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1933</v>
      </c>
      <c r="B14" s="2" t="s">
        <v>1934</v>
      </c>
      <c r="C14" s="2" t="s">
        <v>1935</v>
      </c>
      <c r="D14" s="2" t="s">
        <v>1936</v>
      </c>
      <c r="E14" s="2" t="s">
        <v>344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1937</v>
      </c>
      <c r="B15" s="2" t="s">
        <v>1938</v>
      </c>
      <c r="C15" s="2" t="s">
        <v>1939</v>
      </c>
      <c r="D15" s="2" t="s">
        <v>1940</v>
      </c>
      <c r="E15" s="2" t="s">
        <v>344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345</v>
      </c>
      <c r="C1" s="15"/>
      <c r="D1" s="15"/>
    </row>
    <row r="2" spans="1:4" x14ac:dyDescent="0.25">
      <c r="A2" s="9" t="s">
        <v>351</v>
      </c>
      <c r="B2" s="11" t="s">
        <v>346</v>
      </c>
      <c r="C2" s="11"/>
      <c r="D2" s="11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60" customHeight="1" spans="1:15" x14ac:dyDescent="0.25">
      <c r="A11" s="5" t="s">
        <v>1941</v>
      </c>
      <c r="B11" s="2" t="s">
        <v>1942</v>
      </c>
      <c r="C11" s="2" t="s">
        <v>1943</v>
      </c>
      <c r="D11" s="2" t="s">
        <v>1944</v>
      </c>
      <c r="E11" s="2" t="s">
        <v>347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60" customHeight="1" spans="1:15" x14ac:dyDescent="0.25">
      <c r="A12" s="5" t="s">
        <v>1945</v>
      </c>
      <c r="B12" s="2" t="s">
        <v>1946</v>
      </c>
      <c r="C12" s="2" t="s">
        <v>1947</v>
      </c>
      <c r="D12" s="2" t="s">
        <v>1948</v>
      </c>
      <c r="E12" s="2" t="s">
        <v>347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60" customHeight="1" spans="1:15" x14ac:dyDescent="0.25">
      <c r="A13" s="5" t="s">
        <v>1949</v>
      </c>
      <c r="B13" s="2" t="s">
        <v>1950</v>
      </c>
      <c r="C13" s="2" t="s">
        <v>1951</v>
      </c>
      <c r="D13" s="2" t="s">
        <v>1952</v>
      </c>
      <c r="E13" s="2" t="s">
        <v>347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60" customHeight="1" spans="1:15" x14ac:dyDescent="0.25">
      <c r="A14" s="5" t="s">
        <v>1953</v>
      </c>
      <c r="B14" s="2" t="s">
        <v>1954</v>
      </c>
      <c r="C14" s="2" t="s">
        <v>1955</v>
      </c>
      <c r="D14" s="2" t="s">
        <v>1956</v>
      </c>
      <c r="E14" s="2" t="s">
        <v>347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60" customHeight="1" spans="1:15" x14ac:dyDescent="0.25">
      <c r="A15" s="5" t="s">
        <v>1957</v>
      </c>
      <c r="B15" s="2" t="s">
        <v>1958</v>
      </c>
      <c r="C15" s="2" t="s">
        <v>1959</v>
      </c>
      <c r="D15" s="2" t="s">
        <v>1960</v>
      </c>
      <c r="E15" s="2" t="s">
        <v>347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.05" outlineLevelRow="0" outlineLevelCol="0" x14ac:dyDescent="0" defaultColWidth="9" customHeight="1"/>
  <cols>
    <col min="1" max="1" width="18" customWidth="1"/>
    <col min="2" max="2" width="50" customWidth="1"/>
    <col min="3" max="3" width="60" customWidth="1"/>
    <col min="4" max="4" width="65" customWidth="1"/>
    <col min="5" max="5" width="50" customWidth="1"/>
    <col min="6" max="6" width="12" customWidth="1"/>
    <col min="7" max="8" width="15" customWidth="1"/>
    <col min="9" max="9" width="12" customWidth="1"/>
    <col min="10" max="11" width="15" customWidth="1"/>
    <col min="12" max="12" width="12" customWidth="1"/>
    <col min="13" max="15" width="15" customWidth="1"/>
  </cols>
  <sheetData>
    <row r="1" spans="1:4" x14ac:dyDescent="0.25">
      <c r="A1" s="7" t="s">
        <v>163</v>
      </c>
      <c r="B1" s="15" t="s">
        <v>348</v>
      </c>
      <c r="C1" s="15"/>
      <c r="D1" s="15"/>
    </row>
    <row r="2" spans="1:4" x14ac:dyDescent="0.25">
      <c r="A2" s="9" t="s">
        <v>351</v>
      </c>
      <c r="B2" s="11" t="s">
        <v>349</v>
      </c>
      <c r="C2" s="11"/>
      <c r="D2" s="11"/>
    </row>
    <row r="3" spans="1:4" x14ac:dyDescent="0.25">
      <c r="A3" s="9" t="s">
        <v>352</v>
      </c>
      <c r="B3" s="11">
        <f>SUM(B5:D5)</f>
        <v>5</v>
      </c>
      <c r="C3" s="11"/>
      <c r="D3" s="11"/>
    </row>
    <row r="4" spans="1:4" x14ac:dyDescent="0.25">
      <c r="A4" s="9" t="s">
        <v>353</v>
      </c>
      <c r="B4" s="12" t="s">
        <v>354</v>
      </c>
      <c r="C4" s="12" t="s">
        <v>355</v>
      </c>
      <c r="D4" s="12" t="s">
        <v>356</v>
      </c>
    </row>
    <row r="5" spans="1:4" x14ac:dyDescent="0.25">
      <c r="A5" s="9" t="s">
        <v>357</v>
      </c>
      <c r="B5" s="11">
        <f>COUNTIF(F1:F1000,"Passed")</f>
        <v>5</v>
      </c>
      <c r="C5" s="11">
        <f>COUNTIF(F1:F1000,"Failed")</f>
        <v>0</v>
      </c>
      <c r="D5" s="11">
        <f>COUNTIF(F1:F1000,"Pending")</f>
        <v>0</v>
      </c>
    </row>
    <row r="6" spans="1:4" x14ac:dyDescent="0.25">
      <c r="A6" s="9" t="s">
        <v>358</v>
      </c>
      <c r="B6" s="11">
        <f>COUNTIF(I1:I1000,"Passed")</f>
        <v>5</v>
      </c>
      <c r="C6" s="11">
        <f>COUNTIF(I1:I1000,"Failed")</f>
        <v>0</v>
      </c>
      <c r="D6" s="11">
        <f>COUNTIF(I1:I1000,"Pending")</f>
        <v>0</v>
      </c>
    </row>
    <row r="7" spans="1:4" x14ac:dyDescent="0.25">
      <c r="A7" s="9" t="s">
        <v>359</v>
      </c>
      <c r="B7" s="11">
        <f>COUNTIF(L1:L1000,"Passed")</f>
        <v>5</v>
      </c>
      <c r="C7" s="11">
        <f>COUNTIF(L1:L1000,"Failed")</f>
        <v>0</v>
      </c>
      <c r="D7" s="11">
        <f>COUNTIF(L1:L1000,"Pending")</f>
        <v>0</v>
      </c>
    </row>
    <row r="9" spans="1:15" x14ac:dyDescent="0.25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357</v>
      </c>
      <c r="G9" s="4" t="s">
        <v>365</v>
      </c>
      <c r="H9" s="4" t="s">
        <v>366</v>
      </c>
      <c r="I9" s="4" t="s">
        <v>358</v>
      </c>
      <c r="J9" s="4" t="s">
        <v>365</v>
      </c>
      <c r="K9" s="4" t="s">
        <v>366</v>
      </c>
      <c r="L9" s="4" t="s">
        <v>359</v>
      </c>
      <c r="M9" s="4" t="s">
        <v>365</v>
      </c>
      <c r="N9" s="4" t="s">
        <v>366</v>
      </c>
      <c r="O9" s="4" t="s">
        <v>367</v>
      </c>
    </row>
    <row r="10" ht="30.1" customHeight="1" spans="1:15" x14ac:dyDescent="0.25">
      <c r="A10" s="13" t="s">
        <v>368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46" customHeight="1" spans="1:15" x14ac:dyDescent="0.25">
      <c r="A11" s="5" t="s">
        <v>1961</v>
      </c>
      <c r="B11" s="2" t="s">
        <v>1962</v>
      </c>
      <c r="C11" s="2" t="s">
        <v>1963</v>
      </c>
      <c r="D11" s="2" t="s">
        <v>1964</v>
      </c>
      <c r="E11" s="2" t="s">
        <v>350</v>
      </c>
      <c r="F11" s="5" t="s">
        <v>354</v>
      </c>
      <c r="G11" s="5" t="s">
        <v>1255</v>
      </c>
      <c r="H11" s="2" t="s">
        <v>373</v>
      </c>
      <c r="I11" s="5" t="s">
        <v>354</v>
      </c>
      <c r="J11" s="5" t="s">
        <v>1255</v>
      </c>
      <c r="K11" s="2" t="s">
        <v>373</v>
      </c>
      <c r="L11" s="5" t="s">
        <v>354</v>
      </c>
      <c r="M11" s="5" t="s">
        <v>1255</v>
      </c>
      <c r="N11" s="2" t="s">
        <v>373</v>
      </c>
      <c r="O11" s="5" t="s">
        <v>374</v>
      </c>
    </row>
    <row r="12" ht="46" customHeight="1" spans="1:15" x14ac:dyDescent="0.25">
      <c r="A12" s="5" t="s">
        <v>1965</v>
      </c>
      <c r="B12" s="2" t="s">
        <v>1966</v>
      </c>
      <c r="C12" s="2" t="s">
        <v>1967</v>
      </c>
      <c r="D12" s="2" t="s">
        <v>1968</v>
      </c>
      <c r="E12" s="2" t="s">
        <v>350</v>
      </c>
      <c r="F12" s="5" t="s">
        <v>354</v>
      </c>
      <c r="G12" s="5" t="s">
        <v>1255</v>
      </c>
      <c r="H12" s="2" t="s">
        <v>373</v>
      </c>
      <c r="I12" s="5" t="s">
        <v>354</v>
      </c>
      <c r="J12" s="5" t="s">
        <v>1255</v>
      </c>
      <c r="K12" s="2" t="s">
        <v>373</v>
      </c>
      <c r="L12" s="5" t="s">
        <v>354</v>
      </c>
      <c r="M12" s="5" t="s">
        <v>1255</v>
      </c>
      <c r="N12" s="2" t="s">
        <v>373</v>
      </c>
      <c r="O12" s="5" t="s">
        <v>374</v>
      </c>
    </row>
    <row r="13" ht="46" customHeight="1" spans="1:15" x14ac:dyDescent="0.25">
      <c r="A13" s="5" t="s">
        <v>1969</v>
      </c>
      <c r="B13" s="2" t="s">
        <v>1970</v>
      </c>
      <c r="C13" s="2" t="s">
        <v>1971</v>
      </c>
      <c r="D13" s="2" t="s">
        <v>1972</v>
      </c>
      <c r="E13" s="2" t="s">
        <v>350</v>
      </c>
      <c r="F13" s="5" t="s">
        <v>354</v>
      </c>
      <c r="G13" s="5" t="s">
        <v>1255</v>
      </c>
      <c r="H13" s="2" t="s">
        <v>373</v>
      </c>
      <c r="I13" s="5" t="s">
        <v>354</v>
      </c>
      <c r="J13" s="5" t="s">
        <v>1255</v>
      </c>
      <c r="K13" s="2" t="s">
        <v>373</v>
      </c>
      <c r="L13" s="5" t="s">
        <v>354</v>
      </c>
      <c r="M13" s="5" t="s">
        <v>1255</v>
      </c>
      <c r="N13" s="2" t="s">
        <v>373</v>
      </c>
      <c r="O13" s="5" t="s">
        <v>374</v>
      </c>
    </row>
    <row r="14" ht="46" customHeight="1" spans="1:15" x14ac:dyDescent="0.25">
      <c r="A14" s="5" t="s">
        <v>1973</v>
      </c>
      <c r="B14" s="2" t="s">
        <v>1974</v>
      </c>
      <c r="C14" s="2" t="s">
        <v>1975</v>
      </c>
      <c r="D14" s="2" t="s">
        <v>1976</v>
      </c>
      <c r="E14" s="2" t="s">
        <v>350</v>
      </c>
      <c r="F14" s="5" t="s">
        <v>354</v>
      </c>
      <c r="G14" s="5" t="s">
        <v>1255</v>
      </c>
      <c r="H14" s="2" t="s">
        <v>373</v>
      </c>
      <c r="I14" s="5" t="s">
        <v>354</v>
      </c>
      <c r="J14" s="5" t="s">
        <v>1255</v>
      </c>
      <c r="K14" s="2" t="s">
        <v>373</v>
      </c>
      <c r="L14" s="5" t="s">
        <v>354</v>
      </c>
      <c r="M14" s="5" t="s">
        <v>1255</v>
      </c>
      <c r="N14" s="2" t="s">
        <v>373</v>
      </c>
      <c r="O14" s="5" t="s">
        <v>374</v>
      </c>
    </row>
    <row r="15" ht="46" customHeight="1" spans="1:15" x14ac:dyDescent="0.25">
      <c r="A15" s="5" t="s">
        <v>1977</v>
      </c>
      <c r="B15" s="2" t="s">
        <v>1978</v>
      </c>
      <c r="C15" s="2" t="s">
        <v>1979</v>
      </c>
      <c r="D15" s="2" t="s">
        <v>1980</v>
      </c>
      <c r="E15" s="2" t="s">
        <v>350</v>
      </c>
      <c r="F15" s="5" t="s">
        <v>354</v>
      </c>
      <c r="G15" s="5" t="s">
        <v>1255</v>
      </c>
      <c r="H15" s="2" t="s">
        <v>373</v>
      </c>
      <c r="I15" s="5" t="s">
        <v>354</v>
      </c>
      <c r="J15" s="5" t="s">
        <v>1255</v>
      </c>
      <c r="K15" s="2" t="s">
        <v>373</v>
      </c>
      <c r="L15" s="5" t="s">
        <v>354</v>
      </c>
      <c r="M15" s="5" t="s">
        <v>1255</v>
      </c>
      <c r="N15" s="2" t="s">
        <v>373</v>
      </c>
      <c r="O15" s="5" t="s">
        <v>374</v>
      </c>
    </row>
  </sheetData>
  <mergeCells count="4">
    <mergeCell ref="B1:D1"/>
    <mergeCell ref="B2:D2"/>
    <mergeCell ref="B3:D3"/>
    <mergeCell ref="A10:O10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Cover</vt:lpstr>
      <vt:lpstr>Test Cases</vt:lpstr>
      <vt:lpstr>Login</vt:lpstr>
      <vt:lpstr>ForgotResetPassword</vt:lpstr>
      <vt:lpstr>VerifyEmail</vt:lpstr>
      <vt:lpstr>RegisterHR</vt:lpstr>
      <vt:lpstr>RegisterJobseeker</vt:lpstr>
      <vt:lpstr>AdminAccessControl</vt:lpstr>
      <vt:lpstr>AdminManageUsers</vt:lpstr>
      <vt:lpstr>CandidateForbidden</vt:lpstr>
      <vt:lpstr>HrProfile</vt:lpstr>
      <vt:lpstr>AuthInterceptor</vt:lpstr>
      <vt:lpstr>ErrorInterceptor</vt:lpstr>
      <vt:lpstr>StudioQuota</vt:lpstr>
      <vt:lpstr>StudioCtaStates</vt:lpstr>
      <vt:lpstr>StudioFlow</vt:lpstr>
      <vt:lpstr>StudioKbLibrary</vt:lpstr>
      <vt:lpstr>StudioSampleJd</vt:lpstr>
      <vt:lpstr>StudioSourcesPanel</vt:lpstr>
      <vt:lpstr>HistoryPublishedSet</vt:lpstr>
      <vt:lpstr>QuestionBuilder</vt:lpstr>
      <vt:lpstr>UiStudioInteractions</vt:lpstr>
      <vt:lpstr>UiToastStacking</vt:lpstr>
      <vt:lpstr>InfoTooltip</vt:lpstr>
      <vt:lpstr>HrNoRoleGate</vt:lpstr>
      <vt:lpstr>UiUpgradeModal</vt:lpstr>
      <vt:lpstr>UiSidebarDrawerAndLogo</vt:lpstr>
      <vt:lpstr>UiDarkModeToggle</vt:lpstr>
      <vt:lpstr>UiResponsiveOverflowShell</vt:lpstr>
      <vt:lpstr>SharedUtils</vt:lpstr>
      <vt:lpstr>CandidateAndAdminUtils</vt:lpstr>
      <vt:lpstr>GamificationAndHistoryUtils</vt:lpstr>
      <vt:lpstr>PermissionsAndCitations</vt:lpstr>
      <vt:lpstr>QuestionTemplateInfer</vt:lpstr>
      <vt:lpstr>AdminPlatformSettings</vt:lpstr>
      <vt:lpstr>AdminAiConfig</vt:lpstr>
      <vt:lpstr>AdminCompanies</vt:lpstr>
      <vt:lpstr>AdminKnowledgeWrapper</vt:lpstr>
      <vt:lpstr>AdminDashboard</vt:lpstr>
      <vt:lpstr>AdminMarketplace</vt:lpstr>
      <vt:lpstr>AdminPlans</vt:lpstr>
      <vt:lpstr>HrDashboard</vt:lpstr>
      <vt:lpstr>HrHistory</vt:lpstr>
      <vt:lpstr>CandidateBilling</vt:lpstr>
      <vt:lpstr>CandidateDashboard</vt:lpstr>
      <vt:lpstr>CandidateProfile</vt:lpstr>
      <vt:lpstr>CandidateSettings</vt:lpstr>
      <vt:lpstr>CandidateSubscriptionContext</vt:lpstr>
      <vt:lpstr>CandidateUpgradeModal</vt:lpstr>
      <vt:lpstr>FeedbackResultClient</vt:lpstr>
      <vt:lpstr>HrBilling</vt:lpstr>
      <vt:lpstr>HrKnowledge</vt:lpstr>
      <vt:lpstr>HrRecommendations</vt:lpstr>
      <vt:lpstr>HrSettingsPrefsNotifs</vt:lpstr>
      <vt:lpstr>Invitations</vt:lpstr>
      <vt:lpstr>Marketplace</vt:lpstr>
      <vt:lpstr>PracticeSession</vt:lpstr>
      <vt:lpstr>PremiumRevokedDialog</vt:lpstr>
      <vt:lpstr>SubscriptionRealtime</vt:lpstr>
      <vt:lpstr>SecuritySection</vt:lpstr>
      <vt:lpstr>XpHistorySection</vt:lpstr>
      <vt:lpstr>DailyGoalSettings</vt:lpstr>
      <vt:lpstr>GamificationProgressCard</vt:lpstr>
      <vt:lpstr>AchievementGrid</vt:lpstr>
      <vt:lpstr>Test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dangk</cp:lastModifiedBy>
  <dcterms:created xsi:type="dcterms:W3CDTF">2026-08-10T07:35:00Z</dcterms:created>
  <dcterms:modified xsi:type="dcterms:W3CDTF">2026-08-17T09:12:09Z</dcterms:modified>
</cp:coreProperties>
</file>