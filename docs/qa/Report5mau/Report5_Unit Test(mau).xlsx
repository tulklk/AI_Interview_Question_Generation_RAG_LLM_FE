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4360" activeTab="7"/>
  </bookViews>
  <sheets>
    <sheet name="Guideline" sheetId="1" r:id="rId1"/>
    <sheet name="Cover" sheetId="2" r:id="rId2"/>
    <sheet name="Functions" sheetId="3" r:id="rId3"/>
    <sheet name="Statistics" sheetId="4" r:id="rId4"/>
    <sheet name="Example" sheetId="5" r:id="rId5"/>
    <sheet name="AIToolService" sheetId="6" r:id="rId6"/>
    <sheet name="AmenityService" sheetId="7" r:id="rId7"/>
    <sheet name="Auth-Login" sheetId="8" r:id="rId8"/>
    <sheet name="Auth-Register" sheetId="9" r:id="rId9"/>
    <sheet name="Auth-VerifyOtp" sheetId="10" r:id="rId10"/>
    <sheet name="Auth-ResetPwd" sheetId="11" r:id="rId11"/>
    <sheet name="Auth-ChangePwd" sheetId="12" r:id="rId12"/>
    <sheet name="BookingNotif-Created" sheetId="13" r:id="rId13"/>
    <sheet name="BookingNotif-Approved" sheetId="14" r:id="rId14"/>
    <sheet name="Conv-GetOrCreate" sheetId="15" r:id="rId15"/>
    <sheet name="Conv-Query" sheetId="16" r:id="rId16"/>
    <sheet name="Dashboard-Stats" sheetId="17" r:id="rId17"/>
    <sheet name="Dashboard-Listing" sheetId="18" r:id="rId18"/>
    <sheet name="DataSeeder-Admin" sheetId="19" r:id="rId19"/>
    <sheet name="Contract-CRUD-1" sheetId="20" r:id="rId20"/>
    <sheet name="Contract-CRUD-2" sheetId="21" r:id="rId21"/>
    <sheet name="Contract-Signing-1" sheetId="22" r:id="rId22"/>
    <sheet name="Contract-Signing-2" sheetId="23" r:id="rId23"/>
    <sheet name="Contract-Share" sheetId="24" r:id="rId24"/>
    <sheet name="Contract-Calendar" sheetId="25" r:id="rId25"/>
    <sheet name="Listing-CRUD-1" sheetId="26" r:id="rId26"/>
    <sheet name="Listing-CRUD-2" sheetId="27" r:id="rId27"/>
    <sheet name="Listing-Query" sheetId="28" r:id="rId28"/>
    <sheet name="Listing-Report" sheetId="29" r:id="rId29"/>
    <sheet name="Listing-Share-1" sheetId="30" r:id="rId30"/>
    <sheet name="Listing-Share-2" sheetId="31" r:id="rId31"/>
    <sheet name="WalletService" sheetId="32" r:id="rId32"/>
    <sheet name="PrimaryBooking" sheetId="33" r:id="rId33"/>
    <sheet name="ReviewService" sheetId="34" r:id="rId34"/>
    <sheet name="MessageService" sheetId="35" r:id="rId35"/>
    <sheet name="FavoriteListService" sheetId="36" r:id="rId36"/>
    <sheet name="TransactionService" sheetId="37" r:id="rId37"/>
  </sheets>
  <definedNames>
    <definedName name="Z_BE54E0AD_3725_4423_92D7_4F1C045BE1BC_.wvu.PrintArea" localSheetId="3">Statistics!$A:$I</definedName>
    <definedName name="Z_2C0D9096_8D85_462A_A9B5_0B488ADB4269_.wvu.PrintArea" localSheetId="3">Statistics!$A:$I</definedName>
    <definedName name="ACTION">#REF!</definedName>
    <definedName name="Z_6F1DCD5D_5DAC_4817_BF40_2B66F6F593E6_.wvu.PrintArea" localSheetId="3">Statistics!$A:$I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D10" authorId="0">
      <text>
        <r>
          <rPr>
            <sz val="10"/>
            <rFont val="SimSun"/>
            <charset val="134"/>
          </rPr>
          <t>*A: Add
  M: Modify
  D: Delete
======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 xml:space="preserve">
Not mandatory
======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5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6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7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8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9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10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11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12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13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14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15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16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17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18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19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20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21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22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23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24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25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26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27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28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29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30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31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32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33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comments34.xml><?xml version="1.0" encoding="utf-8"?>
<comments xmlns="http://schemas.openxmlformats.org/spreadsheetml/2006/main">
  <authors>
    <author/>
  </authors>
  <commentList>
    <comment ref="A5" authorId="0">
      <text>
        <r>
          <rPr>
            <sz val="10"/>
            <rFont val="SimSun"/>
            <charset val="134"/>
          </rPr>
          <t>Not mandatory
======</t>
        </r>
      </text>
    </comment>
    <comment ref="C10" authorId="0">
      <text>
        <r>
          <rPr>
            <sz val="10"/>
            <rFont val="SimSun"/>
            <charset val="134"/>
          </rPr>
          <t>Not mandatory
======</t>
        </r>
      </text>
    </comment>
  </commentList>
</comments>
</file>

<file path=xl/sharedStrings.xml><?xml version="1.0" encoding="utf-8"?>
<sst xmlns="http://schemas.openxmlformats.org/spreadsheetml/2006/main" count="3158" uniqueCount="777">
  <si>
    <t>Guideline to make and understand Unit Test Case</t>
  </si>
  <si>
    <t>1. Overview</t>
  </si>
  <si>
    <t xml:space="preserve"> - In the template, Unit test cases are based on functions. Each sheet presents test cases for one function.</t>
  </si>
  <si>
    <r>
      <rPr>
        <sz val="10"/>
        <color theme="1"/>
        <rFont val="Tahoma"/>
        <charset val="134"/>
      </rPr>
      <t xml:space="preserve"> - </t>
    </r>
    <r>
      <rPr>
        <b/>
        <sz val="10"/>
        <color theme="1"/>
        <rFont val="Tahoma"/>
        <charset val="134"/>
      </rPr>
      <t>Cover</t>
    </r>
    <r>
      <rPr>
        <sz val="10"/>
        <color theme="1"/>
        <rFont val="Tahoma"/>
        <charset val="134"/>
      </rPr>
      <t>: General information of the project and Unit Test cases</t>
    </r>
  </si>
  <si>
    <r>
      <rPr>
        <sz val="10"/>
        <color theme="1"/>
        <rFont val="Tahoma"/>
        <charset val="134"/>
      </rPr>
      <t xml:space="preserve"> - </t>
    </r>
    <r>
      <rPr>
        <b/>
        <sz val="10"/>
        <color theme="1"/>
        <rFont val="Tahoma"/>
        <charset val="134"/>
      </rPr>
      <t>FunctionList</t>
    </r>
    <r>
      <rPr>
        <sz val="10"/>
        <color theme="1"/>
        <rFont val="Tahoma"/>
        <charset val="134"/>
      </rPr>
      <t xml:space="preserve">: The list of Classes and Functions in the document. 
     + To control that the number of Unit TC meets customer's requirement or the norm, user should fill value for  
     'Normal number of Test cases/KLOC'. </t>
    </r>
  </si>
  <si>
    <r>
      <rPr>
        <sz val="10"/>
        <color theme="1"/>
        <rFont val="Tahoma"/>
        <charset val="134"/>
      </rPr>
      <t xml:space="preserve">     + Click on Function link to open the related Test cases of the function.  
     </t>
    </r>
    <r>
      <rPr>
        <i/>
        <sz val="10"/>
        <color theme="1"/>
        <rFont val="Tahoma"/>
        <charset val="134"/>
      </rPr>
      <t>Note:</t>
    </r>
    <r>
      <rPr>
        <sz val="10"/>
        <color theme="1"/>
        <rFont val="Tahoma"/>
        <charset val="134"/>
      </rPr>
      <t xml:space="preserve"> You should create new Function sheet before creating the link</t>
    </r>
  </si>
  <si>
    <r>
      <rPr>
        <sz val="10"/>
        <color theme="1"/>
        <rFont val="Tahoma"/>
        <charset val="134"/>
      </rPr>
      <t xml:space="preserve"> - </t>
    </r>
    <r>
      <rPr>
        <b/>
        <sz val="10"/>
        <color theme="1"/>
        <rFont val="Tahoma"/>
        <charset val="134"/>
      </rPr>
      <t>Test Report</t>
    </r>
    <r>
      <rPr>
        <sz val="10"/>
        <color theme="1"/>
        <rFont val="Tahoma"/>
        <charset val="134"/>
      </rPr>
      <t>: provive the overview results of Functions Unit test: Test coverage, Test successful coverage 
    (Summary, for normal/abnormal/boundary cases)</t>
    </r>
  </si>
  <si>
    <t xml:space="preserve">     Note:  Should check the formula of "Sub Total" if you add more functions</t>
  </si>
  <si>
    <t>2. Content in Test function sheet</t>
  </si>
  <si>
    <t>2.1 Combination of test cases.</t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</si>
  <si>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</si>
  <si>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</si>
  <si>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</si>
  <si>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 xml:space="preserve"> 2.2 Condition and confirmation of Test cases.</t>
  </si>
  <si>
    <t xml:space="preserve"> Each test case is the combination of condition and confirmation.</t>
  </si>
  <si>
    <t>a. Condition: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</si>
  <si>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</si>
  <si>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</si>
  <si>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</si>
  <si>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</si>
  <si>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Boundary values are limited values that contain upper and lower values.</t>
  </si>
  <si>
    <t xml:space="preserve">                . Abnormal values are non-expected values. And normally it processes exception cases.   </t>
  </si>
  <si>
    <t xml:space="preserve"> </t>
  </si>
  <si>
    <t xml:space="preserve">        - For examples: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</si>
  <si>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</si>
  <si>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</si>
  <si>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</si>
  <si>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</si>
  <si>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t xml:space="preserve">b. Confirmation: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</si>
  <si>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</si>
  <si>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- Confirmation can include: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</si>
  <si>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</si>
  <si>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</si>
  <si>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</si>
  <si>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>c. Type of test cases and result:</t>
  </si>
  <si>
    <t xml:space="preserve">        - Type of test case: It includes normal, boundary and abnormal test cases. User selects the type based on the type of input data.</t>
  </si>
  <si>
    <r>
      <rPr>
        <sz val="10"/>
        <color theme="1"/>
        <rFont val="Tahoma"/>
        <charset val="134"/>
      </rPr>
      <t xml:space="preserve">        - Test case result: the actual output results comparing with the Confirmation.
                 </t>
    </r>
    <r>
      <rPr>
        <b/>
        <sz val="10"/>
        <color theme="1"/>
        <rFont val="Tahoma"/>
        <charset val="134"/>
      </rPr>
      <t>P</t>
    </r>
    <r>
      <rPr>
        <sz val="10"/>
        <color theme="1"/>
        <rFont val="Tahoma"/>
        <charset val="134"/>
      </rPr>
      <t xml:space="preserve"> for Passed and </t>
    </r>
    <r>
      <rPr>
        <b/>
        <sz val="10"/>
        <color theme="1"/>
        <rFont val="Tahoma"/>
        <charset val="134"/>
      </rPr>
      <t>F</t>
    </r>
    <r>
      <rPr>
        <sz val="10"/>
        <color theme="1"/>
        <rFont val="Tahoma"/>
        <charset val="134"/>
      </rPr>
      <t xml:space="preserve"> for Failed cases.
          It can 'OK' or 'NG' (it depends on habit of the teams or customers)</t>
    </r>
  </si>
  <si>
    <t xml:space="preserve"> 2.3. Other items:</t>
  </si>
  <si>
    <t xml:space="preserve"> - Function Code: it is ID of the function and updated automatically according to FunctionList sheet.</t>
  </si>
  <si>
    <t xml:space="preserve"> - Function Name: it is name  of the function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</si>
  <si>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</si>
  <si>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</si>
  <si>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Lines of code: Number of Code line of the function.</t>
  </si>
  <si>
    <t xml:space="preserve"> - Test requirement: Brief description about requirements which are tested in this function, it is not mandatory.</t>
  </si>
  <si>
    <t xml:space="preserve">         </t>
  </si>
  <si>
    <t>UNIT TEST DOCUMENT</t>
  </si>
  <si>
    <t>Project Name</t>
  </si>
  <si>
    <t xml:space="preserve"> AI-powered Shared Business Space Platform with Time-based Subleasing</t>
  </si>
  <si>
    <t>Creator</t>
  </si>
  <si>
    <t>KietNT</t>
  </si>
  <si>
    <t>Project Code</t>
  </si>
  <si>
    <t>SU26SE038</t>
  </si>
  <si>
    <t>Issue Date</t>
  </si>
  <si>
    <t>Document Code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</si>
  <si>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</si>
  <si>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</si>
  <si>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</si>
  <si>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</si>
  <si>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</si>
  <si>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</si>
  <si>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</si>
  <si>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1</t>
  </si>
  <si>
    <t>A</t>
  </si>
  <si>
    <t>Add information to unit test document</t>
  </si>
  <si>
    <t>Cover, Function</t>
  </si>
  <si>
    <t>Function List</t>
  </si>
  <si>
    <t xml:space="preserve">Normal number of Test cases/KLOC </t>
  </si>
  <si>
    <t>Test Environment Setup Description</t>
  </si>
  <si>
    <t>1. Server
   - Local development machine or CI/CD runner.
   - .NET SDK installed.
   - The test server does not need to be started for service-layer unit tests.
2. Database
   - A real database is not required for most unit tests.
   - Repository and UnitOfWork dependencies are mocked.
   - If integration tests are added later, SQL Server or an in-memory database can be configured.
3. Web Browser
   - Not required for current unit tests.
   - Browsers are only needed for manual UI/API testing or end-to-end testing.
4. Operating System
   - Windows, Linux, or macOS can be used.
   - The current project environment is Windows with PowerShell.
5. Runtime and Framework
   - .NET SDK compatible with the project target framework.
   - ASP.NET Core runtime for web/API execution when needed.
6. Testing Framework
   - xUnit is used to define and execute test cases.
   - Test cases are marked with [Fact] or [Theory].
7. Mocking Framework
   - Moq is used to mock dependencies such as repositories, services, and UnitOfWork.
8. Assertion Library
   - FluentAssertions is used to verify expected results in a readable format.
9. Application Configuration
   - Unit tests should provide required configuration values through mocked options or test-specific setup.
   - Production appsettings files are not required for most unit tests.
10. External Services
   - Email service, PayOS payment gateway, Cloudinary, Fal AI, Expo Push Notification, and Turnstile should be mocked.
   - No real external API calls should be made during unit testing.
11. Source Code and Test Projects
   - Production projects:
     FlexiSpace.Application
     FlexiSpace.Domain
     FlexiSpace.Infrastructure
     FlexiSpace.Web
   - Test projects:
     FlexiSpace.Application.Tests
     FlexiSpace.Domain.Tests
     FlexiSpace.Infrastructure.Tests
     FlexiSpace.Web.Tests
12. Test Execution Command
   - Tests can be executed using:
     dotnet test FlexiSpace_CapstoneProject.sln</t>
  </si>
  <si>
    <t>No</t>
  </si>
  <si>
    <t>Requirement
Name</t>
  </si>
  <si>
    <t>Class Name</t>
  </si>
  <si>
    <t>Function Name</t>
  </si>
  <si>
    <t xml:space="preserve"> Function Code(Optional)</t>
  </si>
  <si>
    <t>Sheet Name</t>
  </si>
  <si>
    <t>Description</t>
  </si>
  <si>
    <t>Pre-Condition</t>
  </si>
  <si>
    <t>REQ-AI-001 AI Image Generation</t>
  </si>
  <si>
    <t>AIToolService</t>
  </si>
  <si>
    <t>GenerateImageAsync</t>
  </si>
  <si>
    <t>FUNC-AI-001</t>
  </si>
  <si>
    <t>AIToolServiceTests</t>
  </si>
  <si>
    <t>Generates AI image, uploads result, charges wallet, and stores image history.</t>
  </si>
  <si>
    <t>User wallet, AI provider, Cloudinary service, and unit of work are initialized.</t>
  </si>
  <si>
    <t>REQ-AMN-001 Amenity Management</t>
  </si>
  <si>
    <t>AmenityService</t>
  </si>
  <si>
    <t>GetAllAmenitiesBySpaceIdAsync</t>
  </si>
  <si>
    <t>FUNC-AMN-001</t>
  </si>
  <si>
    <t>AmenityServiceTests</t>
  </si>
  <si>
    <t>Retrieves amenities assigned to a specific space.</t>
  </si>
  <si>
    <t>Space repository and amenity repository are available.</t>
  </si>
  <si>
    <t>REQ-AUTH-001 Authentication</t>
  </si>
  <si>
    <t>AuthService</t>
  </si>
  <si>
    <t>LoginAsync</t>
  </si>
  <si>
    <t>FUNC-AUTH-001</t>
  </si>
  <si>
    <t>AuthServiceTests</t>
  </si>
  <si>
    <t>Authenticates user credentials and returns login result.</t>
  </si>
  <si>
    <t>User repository, password hasher, JWT provider, and Turnstile service are configured.</t>
  </si>
  <si>
    <t>REQ-AUTH-002 User Registration</t>
  </si>
  <si>
    <t>RegisterAsync</t>
  </si>
  <si>
    <t>FUNC-AUTH-002</t>
  </si>
  <si>
    <t>Registers a new user and sends verification OTP.</t>
  </si>
  <si>
    <t>Email service, OTP repository, and user repository are initialized.</t>
  </si>
  <si>
    <t>REQ-AUTH-003 OTP Verification</t>
  </si>
  <si>
    <t>VerifyOtpAsync</t>
  </si>
  <si>
    <t>FUNC-AUTH-003</t>
  </si>
  <si>
    <t>Verifies OTP and activates the user account.</t>
  </si>
  <si>
    <t>OTP data must exist for the target user.</t>
  </si>
  <si>
    <t>REQ-AUTH-004 Password Recovery</t>
  </si>
  <si>
    <t>SendPasswordOtpAsync / ResetPasswordAsync</t>
  </si>
  <si>
    <t>FUNC-AUTH-004</t>
  </si>
  <si>
    <t>Sends password reset OTP and updates password after successful validation.</t>
  </si>
  <si>
    <t>User email must exist and OTP service must be available.</t>
  </si>
  <si>
    <t>REQ-AUTH-005 Password Change</t>
  </si>
  <si>
    <t>ChangePasswordAsync</t>
  </si>
  <si>
    <t>FUNC-AUTH-005</t>
  </si>
  <si>
    <t>Changes current user password after validating the current password.</t>
  </si>
  <si>
    <t>Current user context and password hasher are initialized.</t>
  </si>
  <si>
    <t>REQ-BOOK-001 Booking Notification</t>
  </si>
  <si>
    <t>BookingRequestCreatedNotificationHandler</t>
  </si>
  <si>
    <t>Handle</t>
  </si>
  <si>
    <t>FUNC-NOTI-001</t>
  </si>
  <si>
    <t>BookingNotificationHandlerTests</t>
  </si>
  <si>
    <t>Creates notification when a booking request is created.</t>
  </si>
  <si>
    <t>Notification service and booking event payload are available.</t>
  </si>
  <si>
    <t>REQ-BOOK-002 Booking Approval Notification</t>
  </si>
  <si>
    <t>BookingRequestApprovedNotificationHandler</t>
  </si>
  <si>
    <t>FUNC-NOTI-002</t>
  </si>
  <si>
    <t>Creates notification when a booking request is approved.</t>
  </si>
  <si>
    <t>Notification service and approved booking event payload are available.</t>
  </si>
  <si>
    <t>REQ-CONV-001 Conversation Management</t>
  </si>
  <si>
    <t>ConversationService</t>
  </si>
  <si>
    <t>GetOrCreateConversationAsync</t>
  </si>
  <si>
    <t>FUNC-CONV-001</t>
  </si>
  <si>
    <t>ConversationServiceTests</t>
  </si>
  <si>
    <t>Gets an existing conversation or creates a new one for participants.</t>
  </si>
  <si>
    <t>Conversation repository and unit of work are initialized.</t>
  </si>
  <si>
    <t>REQ-CONV-002 Conversation Query</t>
  </si>
  <si>
    <t>GetConversationsByUserIdAsync / GetConversationByParticipantsAsync</t>
  </si>
  <si>
    <t>FUNC-CONV-002</t>
  </si>
  <si>
    <t>Retrieves conversations by user or participant pair.</t>
  </si>
  <si>
    <t>Conversation repository and mapper are available.</t>
  </si>
  <si>
    <t>REQ-DASH-001 Dashboard Statistics</t>
  </si>
  <si>
    <t>DashboardService</t>
  </si>
  <si>
    <t>GetDashboardStatsAsync</t>
  </si>
  <si>
    <t>FUNC-DASH-001</t>
  </si>
  <si>
    <t>DashboardServiceTests</t>
  </si>
  <si>
    <t>Aggregates dashboard statistics for the system.</t>
  </si>
  <si>
    <t>Required repositories must be initialized</t>
  </si>
  <si>
    <t>REQ-DASH-002 Listing Dashboard</t>
  </si>
  <si>
    <t>GetListingOverviewAsync</t>
  </si>
  <si>
    <t>FUNC-DASH-002</t>
  </si>
  <si>
    <t>Builds listing overview chart data for an owner.</t>
  </si>
  <si>
    <t>Current user context and listing statistics repository are available.</t>
  </si>
  <si>
    <t>REQ-SEED-001 Admin Seeding</t>
  </si>
  <si>
    <t>DataSeederService</t>
  </si>
  <si>
    <t>SeedAdminAccountAsync</t>
  </si>
  <si>
    <t>FUNC-SEED-001</t>
  </si>
  <si>
    <t>DataSeederServiceTests</t>
  </si>
  <si>
    <t>Creates default admin account when it does not exist.</t>
  </si>
  <si>
    <t>Admin email/password configuration and user repository are available.</t>
  </si>
  <si>
    <t>REQ-CONTRACT-001 Contract Management</t>
  </si>
  <si>
    <t>ContractService</t>
  </si>
  <si>
    <t>CreateContractAsync / UpdateContractAsync / DeleteContractAsync</t>
  </si>
  <si>
    <t>FUNC-CONTRACT-001</t>
  </si>
  <si>
    <t>ContractServiceTests</t>
  </si>
  <si>
    <t>Creates, updates, and deletes draft contracts.</t>
  </si>
  <si>
    <t>Contract repository, current user context, mapper, and unit of work are initialized</t>
  </si>
  <si>
    <t>REQ-CONTRACT-002 Contract Signing</t>
  </si>
  <si>
    <t>StartContractSigningAsync / CancelContractSigningAsync / ContractValidateOtpAsync</t>
  </si>
  <si>
    <t>FUNC-CONTRACT-002</t>
  </si>
  <si>
    <t>Controls contract signing workflow, OTP validation, and signing state.</t>
  </si>
  <si>
    <t>Contract must exist and signing participants must be valid.</t>
  </si>
  <si>
    <t>REQ-CONTRACT-003 Contract Sharing</t>
  </si>
  <si>
    <t>ShareContractAsync</t>
  </si>
  <si>
    <t>FUNC-CONTRACT-003</t>
  </si>
  <si>
    <t>Shares a draft contract proposal through conversation message.</t>
  </si>
  <si>
    <t>Current user must be the lessor and contract must be in draft status.</t>
  </si>
  <si>
    <t>REQ-CONTRACT-004 Contract Calendar</t>
  </si>
  <si>
    <t>GetContractCalendarBySpaceAsync</t>
  </si>
  <si>
    <t>FUNC-CONTRACT-004</t>
  </si>
  <si>
    <t>Returns calendar entries for contracts related to a space.</t>
  </si>
  <si>
    <t>Space, contract, and current user data must be available.</t>
  </si>
  <si>
    <t>REQ-LISTING-001 Listing Management</t>
  </si>
  <si>
    <t>ListingService</t>
  </si>
  <si>
    <t>CreateListingAsync / UpdateListingAsync / HardDeleteListingAsync / SoftDeleteListingAsync / RestoreListingAsync</t>
  </si>
  <si>
    <t>FUNC-LISTING-001</t>
  </si>
  <si>
    <t>ListingServiceTests</t>
  </si>
  <si>
    <t>Manages listing creation, update, deletion, restoration, and validation.</t>
  </si>
  <si>
    <t>Listing repository, space repository, wallet service, mapper, and unit of work are initialized.</t>
  </si>
  <si>
    <t>REQ-LISTING-002 Listing Query</t>
  </si>
  <si>
    <t>GetListingByIdAsync / GetAllListingsAsync / GetListingsByCurrentUserAsync / GetListingsByUserIdAsync</t>
  </si>
  <si>
    <t>FUNC-LISTING-002</t>
  </si>
  <si>
    <t>Retrieves listing data by ID, status, current user, or owner.</t>
  </si>
  <si>
    <t>Listing repository and mapper are available.</t>
  </si>
  <si>
    <t>REQ-LISTING-003 Listing Reports</t>
  </si>
  <si>
    <t>CreateListingReportAsync / GetListingReportsAsync / GetReportedListingsAsync / ClearListingReportsAsync</t>
  </si>
  <si>
    <t>FUNC-LISTING-003</t>
  </si>
  <si>
    <t>Creates, retrieves, groups, and clears listing reports.</t>
  </si>
  <si>
    <t>Reporter, listing, and listing report repository must be available.</t>
  </si>
  <si>
    <t>REQ-LISTING-004 Shared Listing</t>
  </si>
  <si>
    <t>CreateShareListingAsync / UpdateShareListingAsync / GetShareListingTimePolicyAsync</t>
  </si>
  <si>
    <t>FUNC-LISTING-004</t>
  </si>
  <si>
    <t>Manages shared listing creation, update, and time policy validation.</t>
  </si>
  <si>
    <t>Space ownership or share usage right must be validated.</t>
  </si>
  <si>
    <t>REQ-WALLET-001 Wallet Management</t>
  </si>
  <si>
    <t>WalletService</t>
  </si>
  <si>
    <t>GetOwnWallet / GetWalletByUserId / UpdateWalletBalance / SpendWalletBalance</t>
  </si>
  <si>
    <t>FUNC-WALLET-001</t>
  </si>
  <si>
    <t>WalletServiceTests</t>
  </si>
  <si>
    <t>Retrieves wallet data and updates wallet balance for payment operations.</t>
  </si>
  <si>
    <t>Current user, wallet repository, transaction history repository, and unit of work are initialized.</t>
  </si>
  <si>
    <t>REQ-BOOKING-001 Booking Request Management</t>
  </si>
  <si>
    <t>PrimaryBookingRequestService</t>
  </si>
  <si>
    <t>CreateBookingRequestAsync / UpdateBookingRequestAsync / UpdateStatusAsync / DeleteBookingRequestAsync</t>
  </si>
  <si>
    <t>FUNC-BOOKING-001</t>
  </si>
  <si>
    <t>PrimaryBookingRequestServiceTests</t>
  </si>
  <si>
    <t>Manages booking request lifecycle and status transitions.</t>
  </si>
  <si>
    <t>Listing, current user, booking repository, mapper, and unit of work are available.</t>
  </si>
  <si>
    <t>REQ-REVIEW-001 Review Management</t>
  </si>
  <si>
    <t>ReviewService</t>
  </si>
  <si>
    <t>GetAllAsync / GetByUserIdAsync / GetBySpaceIdAsync / CreateAsync / DeleteAsync</t>
  </si>
  <si>
    <t>FUNC-REVIEW-001</t>
  </si>
  <si>
    <t>ReviewServiceTests</t>
  </si>
  <si>
    <t>Retrieves, creates, and deletes reviews for spaces or users.</t>
  </si>
  <si>
    <t>Current user, review repository, booking/contract validation data, and mapper are available.</t>
  </si>
  <si>
    <t>REQ-MSG-001 Message Management</t>
  </si>
  <si>
    <t>MessageService</t>
  </si>
  <si>
    <t>GetMessagesAsync / SaveMessageAsync / UpdateMessagesToReadAsync</t>
  </si>
  <si>
    <t>FUNC-MSG-001</t>
  </si>
  <si>
    <t>MessageServiceTests</t>
  </si>
  <si>
    <t>Retrieves, saves, and marks conversation messages as read.</t>
  </si>
  <si>
    <t>Message repository and mapper are available.</t>
  </si>
  <si>
    <t>REQ-FAV-001 Favorite List Management</t>
  </si>
  <si>
    <t>FavoriteListService</t>
  </si>
  <si>
    <t>AddListingsAsync / GetByUserIdAsync / RemoveListingAsync / GetListingDetailAsync</t>
  </si>
  <si>
    <t>FUNC-FAV-001</t>
  </si>
  <si>
    <t>FavoriteListServiceTests</t>
  </si>
  <si>
    <t>Adds, retrieves, and removes listings from a user favorite list; retrieves favorite listing detail.</t>
  </si>
  <si>
    <t>Favorite list repository, listing repository, and current user context are available.</t>
  </si>
  <si>
    <t>REQ-TXN-001 Transaction Management</t>
  </si>
  <si>
    <t>TransactionService</t>
  </si>
  <si>
    <t>CreateTransactionAsync</t>
  </si>
  <si>
    <t>FUNC-TXN-001</t>
  </si>
  <si>
    <t>TransactionServiceTests</t>
  </si>
  <si>
    <t>Creates a PayOS payment transaction for wallet top-up.</t>
  </si>
  <si>
    <t>HttpContextAccessor and PayOS gateway are configured.</t>
  </si>
  <si>
    <t>UNIT TEST REPORT</t>
  </si>
  <si>
    <t>Reviewer/Approver</t>
  </si>
  <si>
    <t>Notes</t>
  </si>
  <si>
    <t>Function code</t>
  </si>
  <si>
    <t>Passed</t>
  </si>
  <si>
    <t>Failed</t>
  </si>
  <si>
    <t>Untested</t>
  </si>
  <si>
    <t>N</t>
  </si>
  <si>
    <t>B</t>
  </si>
  <si>
    <t>Total Test Cases</t>
  </si>
  <si>
    <t>Sub total</t>
  </si>
  <si>
    <t>Test coverage</t>
  </si>
  <si>
    <t>%</t>
  </si>
  <si>
    <t>Test successful coverage</t>
  </si>
  <si>
    <t>Normal case</t>
  </si>
  <si>
    <t>Abnormal case</t>
  </si>
  <si>
    <t>Boundary case</t>
  </si>
  <si>
    <t>Function Code</t>
  </si>
  <si>
    <t>Created By</t>
  </si>
  <si>
    <t>&lt;Developer Name&gt;</t>
  </si>
  <si>
    <t>Executed By</t>
  </si>
  <si>
    <t>Lines  of code</t>
  </si>
  <si>
    <t>Lack of test cases</t>
  </si>
  <si>
    <t>Test requirement</t>
  </si>
  <si>
    <t>&lt;Brief description about requirements which are tested in this function&gt;</t>
  </si>
  <si>
    <t>N/A/B</t>
  </si>
  <si>
    <t>UTCID01</t>
  </si>
  <si>
    <t>UTCID02</t>
  </si>
  <si>
    <t>UTCID07</t>
  </si>
  <si>
    <t>UTCID08</t>
  </si>
  <si>
    <t>UTCID09</t>
  </si>
  <si>
    <t>UTCID10</t>
  </si>
  <si>
    <t>UTCID11</t>
  </si>
  <si>
    <t>UTCID12</t>
  </si>
  <si>
    <t>UTCID13</t>
  </si>
  <si>
    <t>UTCID14</t>
  </si>
  <si>
    <t>UTCID15</t>
  </si>
  <si>
    <t>Condition</t>
  </si>
  <si>
    <t xml:space="preserve">Precondition </t>
  </si>
  <si>
    <t>a</t>
  </si>
  <si>
    <t>O</t>
  </si>
  <si>
    <t>b</t>
  </si>
  <si>
    <t>c</t>
  </si>
  <si>
    <t>Confirm</t>
  </si>
  <si>
    <t>Return</t>
  </si>
  <si>
    <t xml:space="preserve">list </t>
  </si>
  <si>
    <t>null</t>
  </si>
  <si>
    <t>size = 0</t>
  </si>
  <si>
    <t>{-1/2}</t>
  </si>
  <si>
    <t>{1,1}</t>
  </si>
  <si>
    <t>{1,-3}</t>
  </si>
  <si>
    <t>Exception</t>
  </si>
  <si>
    <t>Log message</t>
  </si>
  <si>
    <t>"please input a&gt;= -1"</t>
  </si>
  <si>
    <t>Result</t>
  </si>
  <si>
    <t>Type(N : Normal, A : Abnormal, B : Boundary)</t>
  </si>
  <si>
    <t>Passed/Failed</t>
  </si>
  <si>
    <t>Executed Date</t>
  </si>
  <si>
    <t>Defect ID</t>
  </si>
  <si>
    <t>Verify AI image generation: wallet balance gating, AI provider call, Cloudinary upload, payment, and history logging.</t>
  </si>
  <si>
    <t>UTCID03</t>
  </si>
  <si>
    <t>UTCID04</t>
  </si>
  <si>
    <t>UTCID05</t>
  </si>
  <si>
    <t>UTCID06</t>
  </si>
  <si>
    <t>FalAiService, PictureURL, wallet service, history repository mocks initialized</t>
  </si>
  <si>
    <t>Wallet / AI provider state</t>
  </si>
  <si>
    <t>Wallet found, Balance=5000, AI+Cloudinary succeed, wallet spend succeeds</t>
  </si>
  <si>
    <t>GetOwnWallet returns IsSuccess=false (wallet not found)</t>
  </si>
  <si>
    <t>Wallet found, Balance=1999 (below 2000 minimum)</t>
  </si>
  <si>
    <t>Wallet ok, FalAiService.GenerateInpaintingAsync returns empty string</t>
  </si>
  <si>
    <t>Wallet ok, AI+upload succeed, SpendWalletBalance returns IsSuccess=false ("wallet locked")</t>
  </si>
  <si>
    <t>GetOwnWallet throws InvalidOperationException("service unavailable")</t>
  </si>
  <si>
    <t>IsSuccess=true, Data=Cloudinary URL; history AddAsync called once (UserId/Prompt/ResultImageUrl); SaveChangesAsync once</t>
  </si>
  <si>
    <t>IsSuccess=false, Message="Không tìm thấy ví của bạn hoặc bạn chưa đăng nhập."; AI service never called</t>
  </si>
  <si>
    <t>IsSuccess=false, Message="Số dư ví không đủ. Cần tối thiểu 2000 để sử dụng tính năng AI."; AI service never called</t>
  </si>
  <si>
    <t>IsSuccess=false, Message="Không thể sinh ảnh từ AI."; SpendWalletBalance never called</t>
  </si>
  <si>
    <t>IsSuccess=false, Message="Đã xảy ra lỗi khi thanh toán: wallet locked"; history AddAsync never called</t>
  </si>
  <si>
    <t>IsSuccess=false, Message="Lỗi hệ thống: service unavailable"</t>
  </si>
  <si>
    <t>P</t>
  </si>
  <si>
    <t>Verify amenities retrieval for a space under various space/amenity repository states.</t>
  </si>
  <si>
    <t>Space repository and amenity repository mocks are initialized</t>
  </si>
  <si>
    <t>spaceId lookup</t>
  </si>
  <si>
    <t>Space not found</t>
  </si>
  <si>
    <t>Space found (Id=123)</t>
  </si>
  <si>
    <t>Space repository throws InvalidOperationException("Db failure")</t>
  </si>
  <si>
    <t>Amenity repository result</t>
  </si>
  <si>
    <t>Empty list</t>
  </si>
  <si>
    <t>2 amenities (Id=1,2 / Quantity=2,5)</t>
  </si>
  <si>
    <t>null (repository returns null)</t>
  </si>
  <si>
    <t>1 amenity matching spaceId filter</t>
  </si>
  <si>
    <t>IsSuccess=false, IsNotFound=true, Message contains "Không tìm thấy mặt bằng với ID đã cho.", Data=null</t>
  </si>
  <si>
    <t>IsSuccess=true, Data empty, Message contains "Không có tiện ích nào cho mặt bằng này."</t>
  </si>
  <si>
    <t>IsSuccess=true, Data has 2 items mapped correctly (Id, SpaceId, Quantity)</t>
  </si>
  <si>
    <t>IsSuccess=true, Data has 1 item, SpaceId matches filter</t>
  </si>
  <si>
    <t>IsSuccess=false, Message contains "Lỗi khi lấy danh sách tiện ích: Db failure", Data=null</t>
  </si>
  <si>
    <t>Verify login flow: CAPTCHA verification, account lookup, credential match.</t>
  </si>
  <si>
    <t>Turnstile, user repository, JWT provider mocks are initialized</t>
  </si>
  <si>
    <t>Turnstile token / account lookup</t>
  </si>
  <si>
    <t>invalid-token (verification fails)</t>
  </si>
  <si>
    <t>valid-token; account not found for email</t>
  </si>
  <si>
    <t>valid-token; account found, password matches, Active/IsActive=true</t>
  </si>
  <si>
    <t>IsSuccess=false, Message contains "Xác thực CAPTCHA thất bại", Data=null</t>
  </si>
  <si>
    <t>IsSuccess=false, Message contains "Tài khoản hoặc mật khẩu không chính xác", Data=null</t>
  </si>
  <si>
    <t>IsSuccess=true, Message="Đăng nhập thành công.", Data.AccessToken="generated-jwt-token", Data.Message contains UserId</t>
  </si>
  <si>
    <t>Verify registration flow: duplicate email handling, OTP dispatch, unverified account re-registration.</t>
  </si>
  <si>
    <t>Turnstile verified=true, email/OTP/user repository mocks initialized</t>
  </si>
  <si>
    <t>Existing account state for request.Email</t>
  </si>
  <si>
    <t>Active account already exists (IsActive=true)</t>
  </si>
  <si>
    <t>No account exists</t>
  </si>
  <si>
    <t>Unverified account exists (IsActive=false)</t>
  </si>
  <si>
    <t>IsSuccess=false, Message contains "Email này đã được sử dụng hệ thống"</t>
  </si>
  <si>
    <t>IsSuccess=true, Message contains "Đăng ký thành công", new User added (IsActive=false), OTP cached, ResendOtpEmailAsync called once</t>
  </si>
  <si>
    <t>IsSuccess=true, existing account fields updated (UserName/Name/Phone/Password hash), AddAsync never called, UpdateAsync called once, OTP email resent once</t>
  </si>
  <si>
    <t>Verify OTP code validation and account activation.</t>
  </si>
  <si>
    <t>OTP cached under key OTP:Register:{email}</t>
  </si>
  <si>
    <t>OTP code entered vs cached</t>
  </si>
  <si>
    <t>Entered "000000" != cached "123456"</t>
  </si>
  <si>
    <t>Entered code matches cached code, account exists (IsActive=false)</t>
  </si>
  <si>
    <t>IsSuccess=false, Message contains "Mã OTP không chính xác hoặc đã hết hạn"</t>
  </si>
  <si>
    <t>IsSuccess=true, Message contains "Xác thực OTP thành công", Data.AccessToken="otp-token", account.IsActive=true, OTP cache entry removed</t>
  </si>
  <si>
    <t>Verify password reset OTP dispatch, email normalization, and OTP-based password update.</t>
  </si>
  <si>
    <t>OTP cache key OTP:Password:{email} set/removed per scenario</t>
  </si>
  <si>
    <t>Input state</t>
  </si>
  <si>
    <t>SendPasswordOtpAsync: email not found in user repository</t>
  </si>
  <si>
    <t>SendPasswordOtpAsync: email " User@Email.com " (whitespace/casing), user exists</t>
  </si>
  <si>
    <t>ResetPasswordAsync: cache entry empty/removed, entered "000000"</t>
  </si>
  <si>
    <t>ResetPasswordAsync: entered code "123456" matches cached code, account exists</t>
  </si>
  <si>
    <t>IsSuccess=false, Message contains "Email"; ResendOtpEmailAsync never called</t>
  </si>
  <si>
    <t>IsSuccess=true; cache key normalized to "OTP:Password:user@email.com" holds 6-char OTP; email sent once</t>
  </si>
  <si>
    <t>IsSuccess=true, Message contains "Đặt lại mật khẩu thành công", account.Password re-hashed to NewPassword, OTP cache entry removed</t>
  </si>
  <si>
    <t>Verify current password validation and password change.</t>
  </si>
  <si>
    <t>Account found by email with hashed current password</t>
  </si>
  <si>
    <t>Current password provided</t>
  </si>
  <si>
    <t>"WrongPassword!" (does not match stored hash)</t>
  </si>
  <si>
    <t>"CurrentPassword1!" (matches stored hash)</t>
  </si>
  <si>
    <t>IsSuccess=false, Message contains "Mật khẩu hiện tại không chính xác"</t>
  </si>
  <si>
    <t>IsSuccess=true, Message contains "Đổi mật khẩu thành công", account.Password re-hashed to NewPassword</t>
  </si>
  <si>
    <t>Verify booking-created notification is sent to the lessor, guarded by empty LessorId, and exceptions are swallowed.</t>
  </si>
  <si>
    <t>NotificationService mock initialized</t>
  </si>
  <si>
    <t>Event payload</t>
  </si>
  <si>
    <t>LessorId = " " (blank)</t>
  </si>
  <si>
    <t>Valid LessorId="lessor-1", NotificationService.CreateAsync succeeds</t>
  </si>
  <si>
    <t>Valid LessorId, NotificationService.CreateAsync throws InvalidOperationException("notification failed")</t>
  </si>
  <si>
    <t>CreateAsync never called</t>
  </si>
  <si>
    <t>CreateAsync called once with ("lessor-1", "Yeu cau dat cho moi", "Co nguoi vua gui yeu cau dat cho cho Space A.", Booking, "10")</t>
  </si>
  <si>
    <t>Handle does not throw (exception swallowed)</t>
  </si>
  <si>
    <t>Verify booking-approved notification is sent to the lessee, guarded by empty LesseeId.</t>
  </si>
  <si>
    <t>LesseeId = "" (empty)</t>
  </si>
  <si>
    <t>Valid LesseeId="lessee-1", NotificationService.CreateAsync succeeds</t>
  </si>
  <si>
    <t>CreateAsync called once with ("lessee-1", "Yeu cau dat cho da duoc duyet", "Yeu cau dat cho cua ban cho space #30 da duoc nguoi cho thue chap thuan.", Booking, "10")</t>
  </si>
  <si>
    <t>Verify conversation lookup/creation between lessor and lessee.</t>
  </si>
  <si>
    <t>Conversation repository mock initialized</t>
  </si>
  <si>
    <t>Existing conversation for (lessorId, lesseeId)</t>
  </si>
  <si>
    <t>Conversation already exists</t>
  </si>
  <si>
    <t>No conversation exists (null)</t>
  </si>
  <si>
    <t>Repository throws InvalidOperationException("Db failure")</t>
  </si>
  <si>
    <t>IsSuccess=true, Data=existing conversation.Id, Message contains "đã tồn tại", AddAsync/SaveChangesAsync never called</t>
  </si>
  <si>
    <t>IsSuccess=true, Data=new non-empty Id, Message contains "mới đã được tạo", AddAsync+SaveChangesAsync called once</t>
  </si>
  <si>
    <t>Throws Exception with message containing "Lỗi khi lấy hoặc tạo cuộc trò chuyện: Db failure"</t>
  </si>
  <si>
    <t>Verify conversation queries by user and by participant pair.</t>
  </si>
  <si>
    <t>Conversation repository / mapper mocks initialized</t>
  </si>
  <si>
    <t>Query type / repository result</t>
  </si>
  <si>
    <t>GetConversationsByUserIdAsync("user-1") -&gt; repository returns 1 conversation</t>
  </si>
  <si>
    <t>GetConversationByParticipantsAsync(lessor,lessee) -&gt; repository returns null (not found)</t>
  </si>
  <si>
    <t>GetConversationByParticipantsAsync(lessor,lessee) -&gt; repository throws InvalidOperationException("Db failure")</t>
  </si>
  <si>
    <t>IsSuccess=true, Data equivalent to mapped ConversationResp list, Message="Lấy danh sách cuộc trò chuyện thành công."</t>
  </si>
  <si>
    <t>IsSuccess=false, IsNotFound=true, Data=null, Message contains "Không tìm thấy"</t>
  </si>
  <si>
    <t>IsSuccess=false, Message="Db failure"</t>
  </si>
  <si>
    <t>Verify dashboard statistics aggregation from wallets and transaction histories.</t>
  </si>
  <si>
    <t>Wallet repository and transaction history repository mocks initialized</t>
  </si>
  <si>
    <t>Repository result</t>
  </si>
  <si>
    <t>Wallets=[150000,250000]; Histories: listing(-50000), AI(-2000)x2, other(-10000, ignored)</t>
  </si>
  <si>
    <t>Wallet repository throws Exception("Database connection failed")</t>
  </si>
  <si>
    <t>IsSuccess=true, TotalWalletBalance=400000, TotalListingSpent=50000, TotalListingCount=1, TotalAiImageSpent=4000, TotalAiImageCount=2, TotalSpent=54000, Message="Lấy dữ liệu dashboard thành công."</t>
  </si>
  <si>
    <t>IsSuccess=false, Data=null, Message contains "Lỗi khi tải dữ liệu dashboard: Database connection failed"</t>
  </si>
  <si>
    <t>Verify owner listing overview chart aggregation: totals, view/booking trends, contract and expiry trends.</t>
  </si>
  <si>
    <t>Listing/ListingViewDailyStat/PrimaryBookingRequest/Contract repository mocks initialized</t>
  </si>
  <si>
    <t>Current user / data state</t>
  </si>
  <si>
    <t>Current user id = " " (blank, not registered)</t>
  </si>
  <si>
    <t>Owner "owner-1" with 3 listings (Available/Expired/Available), view stats, 1 booking request, 2 active contracts; rangeDays=7, futureDays=3</t>
  </si>
  <si>
    <t>Owner "owner-1", ListingRepository.GetAllAsync throws InvalidOperationException("Overview failure")</t>
  </si>
  <si>
    <t>IsSuccess=false, Message="Register first!"; ListingRepository.GetAllAsync never called</t>
  </si>
  <si>
    <t>IsSuccess=true; TotalListings=3, ActiveListings=2, SignedContracts=2, ExpiredListings=1; NewListingsTrend/ActiveInteractionTrend have 7 points; SignedContractsTrend has 6; ExpiredTrend has 10 (mixed past/future)</t>
  </si>
  <si>
    <t>IsSuccess=false, Message contains "Overview failure"</t>
  </si>
  <si>
    <t>F</t>
  </si>
  <si>
    <t>Verify default admin account seeding based on configuration.</t>
  </si>
  <si>
    <t>User repository mock initialized</t>
  </si>
  <si>
    <t>AdminAccount configuration / existing admin</t>
  </si>
  <si>
    <t>Configuration empty (missing Email/Password)</t>
  </si>
  <si>
    <t>Valid configuration, admin with same email already exists</t>
  </si>
  <si>
    <t>Valid configuration, no admin account exists (null)</t>
  </si>
  <si>
    <t>GetAsync/AddAsync/SaveChangesAsync never called</t>
  </si>
  <si>
    <t>AddAsync never called, SaveChangesAsync never called</t>
  </si>
  <si>
    <t>AddAsync called once with Email/Name/Phone/Role=ADMIN/IsActive=true, SaveChangesAsync called once</t>
  </si>
  <si>
    <t>Verify contract creation, update, and deletion — part 1: creation validation, retrieval by id/list, snapshot check.</t>
  </si>
  <si>
    <t>Space/Booking/Conversation/Profile/User repository mocks initialized</t>
  </si>
  <si>
    <t>Action / lookup state</t>
  </si>
  <si>
    <t>CreateContractAsync: request.Duration = 0 (invalid)</t>
  </si>
  <si>
    <t>CreateContractAsync: valid request, space/booking/conversation found, both profiles verified</t>
  </si>
  <si>
    <t>CreateContractAsync: ContractRepository.AddAsync throws InvalidOperationException("Create contract failure")</t>
  </si>
  <si>
    <t>GetAllContractsAsync: contracts include Lessor/Lessee navigation, current user = lessor-1</t>
  </si>
  <si>
    <t>GetAllContractsAsync: repository GetAllAsync throws InvalidOperationException("Get contracts failure")</t>
  </si>
  <si>
    <t>GetContractByIdAsync: current user (lessee-1) is a participant</t>
  </si>
  <si>
    <t>GetContractByIdAsync: current user ("other-user") is not a participant</t>
  </si>
  <si>
    <t>GetContractByIdAsync: repository GetAsync throws InvalidOperationException("Get contract failure")</t>
  </si>
  <si>
    <t>GetContractSnapshotByIdAsync: contract found but ContractSnapshot="" (not yet signed)</t>
  </si>
  <si>
    <t>IsSuccess=false, Message contains "Thời hạn", AddAsync never called</t>
  </si>
  <si>
    <t>IsSuccess=true, Data populated (Lessor/Lessee number cards, names, addresses), EndDate=StartDate+1 month, ContractVerification+1 schedule created, AddAsync+CommitTransactionAsync once</t>
  </si>
  <si>
    <t>IsSuccess=false, Message="Create contract failure", RollbackTransactionAsync called once</t>
  </si>
  <si>
    <t>IsSuccess=true, Data equivalent to responses, LessorNickName/LesseeNickName populated</t>
  </si>
  <si>
    <t>IsSuccess=false, Message="Get contracts failure" or "Get contract failure" (repository exception)</t>
  </si>
  <si>
    <t>IsSuccess=true, Data equivalent to response, nick names populated</t>
  </si>
  <si>
    <t>IsSuccess=false, Message contains "không có quyền"</t>
  </si>
  <si>
    <t>IsSuccess=false, Message contains "chưa được ký"</t>
  </si>
  <si>
    <t>Verify contract creation, update, and deletion — part 2: update, delete, deactivation of expired contracts, private helper branches.</t>
  </si>
  <si>
    <t>Contract repository mock initialized; current user context varies</t>
  </si>
  <si>
    <t>UpdateContractAsync: Draft contract owned by current user (lessor-1), valid request</t>
  </si>
  <si>
    <t>UpdateContractAsync: contract not found</t>
  </si>
  <si>
    <t>UpdateContractAsync: repository GetAsync throws InvalidOperationException("Update contract failure")</t>
  </si>
  <si>
    <t>DeleteContractAsync: contract not found</t>
  </si>
  <si>
    <t>DeleteContractAsync: Draft contract owned by current user</t>
  </si>
  <si>
    <t>DeleteContractAsync: contract Status=Active (not Draft)</t>
  </si>
  <si>
    <t>DeleteContractAsync: repository GetAsync throws InvalidOperationException("Delete contract failure")</t>
  </si>
  <si>
    <t>DeactivateExpiredContractsAsync: repository returns empty list</t>
  </si>
  <si>
    <t>DeactivateExpiredContractsAsync: 2 Active contracts with EndDate in the past</t>
  </si>
  <si>
    <t>DeactivateExpiredContractsAsync: repository GetAllAsync throws InvalidOperationException("Deactivate failure")</t>
  </si>
  <si>
    <t>Private helpers (CalculateEndDate, PopulateContractParticipantProfilesAsync, SyncContractSchedules, ResetSigningSession) invoked via reflection with boundary/unverified-profile inputs</t>
  </si>
  <si>
    <t>IsSuccess=true, ContractSchedules count=1, EndDate recalculated, Lessor/Lessee Name refreshed, UpdateAsync+SaveChangesAsync once</t>
  </si>
  <si>
    <t>IsSuccess=false, IsNotFound=true (UpdateAsync/RemoveByIdAsync never called), Message contains "Không tìm thấy" where applicable</t>
  </si>
  <si>
    <t>IsSuccess=false, Message="Update contract failure" / "Delete contract failure" / "Deactivate failure" (repository exception)</t>
  </si>
  <si>
    <t>IsSuccess=true, SaveChangesAsync called once</t>
  </si>
  <si>
    <t>IsSuccess=false, RemoveByIdAsync never called</t>
  </si>
  <si>
    <t>IsSuccess=true, Data=0, UpdateAsync never called</t>
  </si>
  <si>
    <t>IsSuccess=true, Data=2, contracts set Status=Expired/IsActive=false/UpdatedBy="SystemBackgroundWorker", UpdateAsync x2</t>
  </si>
  <si>
    <t>CalculateEndDate correct per DurationUnit; unverified-profile path returns verification error message; schedules synced correctly</t>
  </si>
  <si>
    <t>Verify contract signing workflow — part 1: start signing and cancel signing, including guard conditions.</t>
  </si>
  <si>
    <t>Contract exists with ContractVerification and schedule as needed per case</t>
  </si>
  <si>
    <t>Action / contract state</t>
  </si>
  <si>
    <t>StartContractSigningAsync: Draft contract, current user=lessor-1, matching participants</t>
  </si>
  <si>
    <t>StartContractSigningAsync: contract not found</t>
  </si>
  <si>
    <t>StartContractSigningAsync: current user=lessee-1 (not the Lessor)</t>
  </si>
  <si>
    <t>StartContractSigningAsync: request LesseeId does not match contract.LesseeId</t>
  </si>
  <si>
    <t>StartContractSigningAsync: contract Status=Active (not Draft)</t>
  </si>
  <si>
    <t>StartContractSigningAsync: repository GetAsync throws InvalidOperationException("Start signing failure")</t>
  </si>
  <si>
    <t>CancelContractSigningAsync: Signing contract with PreSignSnapshot/Hash, lessor already agreed</t>
  </si>
  <si>
    <t>CancelContractSigningAsync: contract not found</t>
  </si>
  <si>
    <t>CancelContractSigningAsync: current user=lessee-1 (not the Lessor)</t>
  </si>
  <si>
    <t>CancelContractSigningAsync: contract Status=Draft (not Signing)</t>
  </si>
  <si>
    <t>CancelContractSigningAsync: repository GetAsync throws InvalidOperationException("Cancel signing failure")</t>
  </si>
  <si>
    <t>IsSuccess=true, Status=Signing, PreSignSnapshot set (excludes ContractVerification/CreatedAt/UpdatedAt), PreSignHash length=64, UpdateAsync+SaveChangesAsync once</t>
  </si>
  <si>
    <t>IsSuccess=false, IsNotFound=true</t>
  </si>
  <si>
    <t>IsSuccess=false (permission/state mismatch)</t>
  </si>
  <si>
    <t>IsSuccess=false, Message="Start signing failure"</t>
  </si>
  <si>
    <t>IsSuccess=true, Status=Draft, PreSignSnapshot/Hash cleared, ContractVerification.IsLessorAgreed=false, LessorSignedAt=null, UpdateAsync+SaveChangesAsync once</t>
  </si>
  <si>
    <t>IsSuccess=false, Message="Cancel signing failure"</t>
  </si>
  <si>
    <t>Verify contract signing workflow — part 2: full cancel, integrity verification, OTP validation, OTP dispatch.</t>
  </si>
  <si>
    <t>Contract exists with signing/verification state as needed per case</t>
  </si>
  <si>
    <t>CancelContractAsync: Draft contract, current user=lessor-1 (owner)</t>
  </si>
  <si>
    <t>VerifyContractIntegrityAsync: current computed PostSignHash equals stored hash</t>
  </si>
  <si>
    <t>VerifyContractIntegrityAsync: current computed PostSignHash differs from stored hash</t>
  </si>
  <si>
    <t>ContractValidateOtpAsync: cached OTP "123456", entered "123456" but PreSignHash recomputed mismatches stored</t>
  </si>
  <si>
    <t>ContractValidateOtpAsync: cached OTP "123456", entered "000000" (wrong OTP)</t>
  </si>
  <si>
    <t>ContractValidateOtpAsync: current user=lessee-1 (last signer), correct OTP, PreSignHash matches, listing Available/EntireSpace</t>
  </si>
  <si>
    <t>SendContractOtpAsync: contract Status=Draft (no active signing session)</t>
  </si>
  <si>
    <t>SendContractOtpAsync: Signing contract, ContractVerification found (not yet agreed), user email found</t>
  </si>
  <si>
    <t>SendContractOtpAsync: ContractVerification.IsLessorAgreed already true</t>
  </si>
  <si>
    <t>IsSuccess=true, Status=Cancelled, UpdateAsync+SaveChangesAsync once</t>
  </si>
  <si>
    <t>IsSuccess=true, Data.IsTampered=false, OldPostSignHash=NewPostSignHash, IsMatched=true</t>
  </si>
  <si>
    <t>IsSuccess=true, Data.IsTampered=true, NewPostSignHash != OldPostSignHash, IsMatched=false</t>
  </si>
  <si>
    <t>IsSuccess=false, Status reverted to Draft, PreSignSnapshot/Hash cleared, UpdateAsync+SaveChangesAsync once</t>
  </si>
  <si>
    <t>IsSuccess=false, Message contains "không hợp lệ", or email never sent (guard condition)</t>
  </si>
  <si>
    <t>IsSuccess=true, Status=Active/IsActive=true, ContractSnapshot/PostSignHash set, IsLesseeAgreed=true, Listing→Occupied, SpaceUsageRight AddAsync once</t>
  </si>
  <si>
    <t>IsSuccess=false, Message contains "phien ky", ProfileRepository/EmailService never called</t>
  </si>
  <si>
    <t>IsSuccess=true, Data=true, OTP cached (6 chars), email sent once</t>
  </si>
  <si>
    <t>Verify contract sharing via conversation message: existence, ownership, status, and rollback on failure.</t>
  </si>
  <si>
    <t>Contract/Conversation/Message repository mocks initialized</t>
  </si>
  <si>
    <t>Contract lookup / state</t>
  </si>
  <si>
    <t>Contract not found (null)</t>
  </si>
  <si>
    <t>Current user=lessee-1, not the Lessor of Draft contract</t>
  </si>
  <si>
    <t>Contract Status=Signing (not Draft)</t>
  </si>
  <si>
    <t>Contract Draft, owned by current user (lessor-1), conversation found</t>
  </si>
  <si>
    <t>Repository GetAsync throws InvalidOperationException("Share failure")</t>
  </si>
  <si>
    <t>IsSuccess=false, Message contains "Không tìm thấy", Message.AddAsync never called</t>
  </si>
  <si>
    <t>IsSuccess=false, Message.AddAsync never called</t>
  </si>
  <si>
    <t>IsSuccess=true, Data=mapped MessageResponse, Message.AddAsync once (ContractProposal type), Conversation UpdateAsync once, CommitTransactionAsync once</t>
  </si>
  <si>
    <t>IsSuccess=false, Message contains "Share failure", RollbackTransactionAsync called once</t>
  </si>
  <si>
    <t>Verify contract calendar entries returned for owner vs lessee viewpoints.</t>
  </si>
  <si>
    <t>Space/Contract repository mocks initialized; date range from=to=2026-08-03</t>
  </si>
  <si>
    <t>Current user role / contract set</t>
  </si>
  <si>
    <t>Current user = space owner (lessor-1); 1 active contract on space 10</t>
  </si>
  <si>
    <t>Current user = lessee-1 (participant, not owner); 2 active contracts on space 10 (lessee-1 and lessee-2)</t>
  </si>
  <si>
    <t>IsSuccess=true, Data contains single entry, ContractId=7, DisplayLabel="Tenant - Office"</t>
  </si>
  <si>
    <t>IsSuccess=true, Data has 2 entries (ContractId 7,8), DisplayLabels "Tenant One - Office"/"Tenant Two - Retail"</t>
  </si>
  <si>
    <t>Verify listing lifecycle — part 1: creation validation, view-count tracking, update.</t>
  </si>
  <si>
    <t>Wallet service / space / listing repository mocks initialized</t>
  </si>
  <si>
    <t>Action / dependency state</t>
  </si>
  <si>
    <t>CreateListingAsync: WalletService.SpendWalletBalance fails ("Balance not enough")</t>
  </si>
  <si>
    <t>CreateListingAsync: wallet ok, space not found</t>
  </si>
  <si>
    <t>CreateListingAsync: wallet ok, valid space owned by current user, no conflicts</t>
  </si>
  <si>
    <t>CreateListingAsync: AllowedEndTime=start+30d but PriceUnit=PerYear (exceeds period)</t>
  </si>
  <si>
    <t>CreateListingAsync: AllowedStartTime = null</t>
  </si>
  <si>
    <t>CreateListingAsync: AllowedStartTime = yesterday (past)</t>
  </si>
  <si>
    <t>CreateListingAsync: AllowedStartTime == AllowedEndTime</t>
  </si>
  <si>
    <t>CreateListingAsync: Price = 0</t>
  </si>
  <si>
    <t>IncreaseViewCountAsync: listing exists (viewCount=7), no daily stat for today</t>
  </si>
  <si>
    <t>IncreaseViewCountAsync: listing exists, daily stat for today exists (ViewCount=3)</t>
  </si>
  <si>
    <t>IncreaseViewCountAsync: listing not found</t>
  </si>
  <si>
    <t>IncreaseViewCountAsync: repository GetAsync throws InvalidOperationException("View failure")</t>
  </si>
  <si>
    <t>UpdateListingAsync: listing not found</t>
  </si>
  <si>
    <t>UpdateListingAsync: listing exists, owned by current user, valid space, no conflicts</t>
  </si>
  <si>
    <t>UpdateListingAsync: repository GetAsync throws InvalidOperationException("Update listing failure")</t>
  </si>
  <si>
    <t>IsSuccess=false, Message="Balance not enough", space lookup &amp; AddAsync never called</t>
  </si>
  <si>
    <t>IsSuccess=false, Message contains "Không tìm thấy" (space/listing), AddAsync never called</t>
  </si>
  <si>
    <t>IsSuccess=true, Data=mapped response, listing.CreatorId=current user, IsActive=true, Status=Available, ListingType=EntireSpace, AddAsync called once</t>
  </si>
  <si>
    <t>IsSuccess=false, Message contains "PerMonth", AddAsync never called</t>
  </si>
  <si>
    <t>IsSuccess=true, viewCount=8, ListingViewDailyStat added or updated, UpdateAsync+SaveChangesAsync once</t>
  </si>
  <si>
    <t>IsSuccess=false, IsNotFound=true, Message="Không tìm thấy listing với Id đã cho.", UpdateAsync/SaveChangesAsync never called</t>
  </si>
  <si>
    <t>IsSuccess=false, Message="View failure" / "Update listing failure" (repository exception)</t>
  </si>
  <si>
    <t>IsSuccess=true, Data=mapped response, UpdatedAt set, UpdateAsync+SaveChangesAsync once</t>
  </si>
  <si>
    <t>Verify listing lifecycle — part 2: hard/soft delete, ban, restore, renewal, and expiry deactivation.</t>
  </si>
  <si>
    <t>Listing / banner repository mocks initialized</t>
  </si>
  <si>
    <t>HardDeleteListingAsync: listing exists (Id=5)</t>
  </si>
  <si>
    <t>HardDeleteListingAsync: listing not found</t>
  </si>
  <si>
    <t>AcceptOrCancelListingAsync: Status=Ban without a CancelReason</t>
  </si>
  <si>
    <t>AcceptOrCancelListingAsync: Status=Ban with CancelReason="Fraud"; 2 related reports exist</t>
  </si>
  <si>
    <t>AcceptOrCancelListingAsync: repository GetAsync throws InvalidOperationException("Accept failure")</t>
  </si>
  <si>
    <t>SoftDeleteListingAsync: listing exists with an associated active Banner</t>
  </si>
  <si>
    <t>SoftDeleteListingAsync: repository GetAsync throws InvalidOperationException("Db failure")</t>
  </si>
  <si>
    <t>GetSoftDeletedListingsAsync: repository returns 2 listings with IsDeleted=true (Entire+Shared type)</t>
  </si>
  <si>
    <t>RestoreListingAsync: listing exists with IsDeleted=true, IsActive=false</t>
  </si>
  <si>
    <t>RestoreListingAsync: listing not found</t>
  </si>
  <si>
    <t>RenewExpiredListingAsync: listing Status=Expired, owned by current user, wallet spend succeeds</t>
  </si>
  <si>
    <t>RenewExpiredListingAsync: repository GetAsync throws InvalidOperationException("Renew failure")</t>
  </si>
  <si>
    <t>DeactivateExpiredListingsAsync: 1 listing past its posting period, 1 still active</t>
  </si>
  <si>
    <t>DeactivateExpiredListingsAsync: repository GetAllAsync throws InvalidOperationException("Deactivate listing failure")</t>
  </si>
  <si>
    <t>IsSuccess=true, Message contains "listing", RemoveByIdAsync(5)+SaveChangesAsync once</t>
  </si>
  <si>
    <t>IsSuccess=false (not found / missing reason / update guard), Update-side action never called</t>
  </si>
  <si>
    <t>IsSuccess=true, listing.Status=Ban/IsActive=false, all reports marked IsBanned=true (UpdateAsync x2), listing UpdateAsync once</t>
  </si>
  <si>
    <t>IsSuccess=false, Message="Accept failure" / "Db failure" / "Renew failure" / "Deactivate listing failure" (repository exception)</t>
  </si>
  <si>
    <t>IsSuccess=true, listing &amp; banner IsDeleted=true/IsActive=false, banner.UpdatedBy=current user, Banner UpdateAsync once</t>
  </si>
  <si>
    <t>IsSuccess=true, Data equivalent to mapped ShareListingResponse list</t>
  </si>
  <si>
    <t>IsSuccess=true, Data=mapped response, listing.IsDeleted=false/IsActive=true, UpdateAsync once</t>
  </si>
  <si>
    <t>IsSuccess=true, listing.Status=Available/IsActive=true/priorityLevel=75/durationInDays=14, WalletService.SpendWalletBalance called once, UpdateAsync once, or Status=Expired for a lapsed listing (background deactivation)</t>
  </si>
  <si>
    <t>Verify listing retrieval by ID, status filter, current user, and owner userId.</t>
  </si>
  <si>
    <t>Listing repository / cache / mapper mocks initialized</t>
  </si>
  <si>
    <t>Action / input state</t>
  </si>
  <si>
    <t>GetListingByIdAsync: listing not found (Id=99)</t>
  </si>
  <si>
    <t>GetListingByIdAsync: listing exists (Id=5)</t>
  </si>
  <si>
    <t>GetListingByIdAsync: repository GetAsync throws InvalidOperationException("Get listing failure")</t>
  </si>
  <si>
    <t>GetAllListingsAsync: status=null; repo has Available/Occupied/Expired listings mixed</t>
  </si>
  <si>
    <t>GetAllListingsAsync: repository GetAllWithSortAsync throws InvalidOperationException("Get all listing failure")</t>
  </si>
  <si>
    <t>GetListingsByCurrentUserAsync: status=Expired; current user="user-1"</t>
  </si>
  <si>
    <t>GetListingsByCurrentUserAsync: status=null; user-1 has Available/Occupied/Expired/Hidden listings mixed</t>
  </si>
  <si>
    <t>GetListingsByUserIdAsync: userId="user-1", status=null; mixed statuses</t>
  </si>
  <si>
    <t>GetListingsByUserIdAsync: userId=" " (whitespace)</t>
  </si>
  <si>
    <t>IsSuccess=false, Message contains "Không tìm thấy listing"</t>
  </si>
  <si>
    <t>IsSuccess=true, Data=mapped response, cache SetAsync called once</t>
  </si>
  <si>
    <t>IsSuccess=false, Message="Get listing failure" / "Get all listing failure" (repository exception)</t>
  </si>
  <si>
    <t>IsSuccess=true, Data equivalent to mapped list (Available only)</t>
  </si>
  <si>
    <t>IsSuccess=true, Data equivalent to filtered/mapped response (current user Expired only)</t>
  </si>
  <si>
    <t>IsSuccess=true, filtered listings contain only Ids {1,2,3} (excludes Hidden and other user)</t>
  </si>
  <si>
    <t>IsSuccess=true, filtered listings contain only Ids {1,2} (Available/Occupied only)</t>
  </si>
  <si>
    <t>IsSuccess=false, Message="UserId is required.", GetAllWithSortAsync never called</t>
  </si>
  <si>
    <t>Verify listing report creation, detail breakdown, listing report queries, and clearing.</t>
  </si>
  <si>
    <t>Listing / listing report repository mocks initialized</t>
  </si>
  <si>
    <t>CreateListingReportAsync: current user id empty (not logged in)</t>
  </si>
  <si>
    <t>CreateListingReportAsync: user-1 logged in, listing exists, reasons=[FakeInformation, PriceMismatch]</t>
  </si>
  <si>
    <t>GetListingReportDetailAsync: 2 reports for ListingId=5 with overlapping reasons</t>
  </si>
  <si>
    <t>GetListingReportsAsync: listing exists; 2 reports with different CreatedAt</t>
  </si>
  <si>
    <t>GetListingReportsAsync: listing not found (Id=99)</t>
  </si>
  <si>
    <t>GetReportedListingsAsync: 3 reports across 2 listings (one banned)</t>
  </si>
  <si>
    <t>ClearListingReportsAsync: listing exists with 2 reports</t>
  </si>
  <si>
    <t>ClearListingReportsAsync: listingId=0 (invalid)</t>
  </si>
  <si>
    <t>ClearListingReportsAsync: listing exists but has 0 reports</t>
  </si>
  <si>
    <t>IsSuccess=false, Message contains "đăng nhập", AddAsync never called</t>
  </si>
  <si>
    <t>IsSuccess=true, Data=mapped response, Message contains "thành công", AddAsync called once</t>
  </si>
  <si>
    <t>IsSuccess=true, TotalReportCount=2, ReasonBreakdown contains FakeInformation=2 and Other=1</t>
  </si>
  <si>
    <t>IsSuccess=true, Data equivalent to mapped responses ordered newest-first</t>
  </si>
  <si>
    <t>IsSuccess=false, GetAllAsync/GetAsync never called (not found / invalid id guard)</t>
  </si>
  <si>
    <t>IsSuccess=true, grouped by ListingId; listing 5 ReportCount=2/IsBanned=true; listing 6 present separately</t>
  </si>
  <si>
    <t>IsSuccess=true, Data=2 (count removed), RemoveRangeAsync+SaveChangesAsync once</t>
  </si>
  <si>
    <t>IsSuccess=true, Data=0, RemoveRangeAsync never called</t>
  </si>
  <si>
    <t>Verify shared-listing workflow — part 1: time policy lookup, share creation gating and validation.</t>
  </si>
  <si>
    <t>Space / listing / wallet / usage-right repository mocks initialized</t>
  </si>
  <si>
    <t>GetShareListingTimePolicyAsync: current user id blank</t>
  </si>
  <si>
    <t>GetShareListingTimePolicyAsync: space not found</t>
  </si>
  <si>
    <t>GetShareListingTimePolicyAsync: current user owns the space</t>
  </si>
  <si>
    <t>GetShareListingTimePolicyAsync: lessee has active Platform contract (CanShare=true) covering the period</t>
  </si>
  <si>
    <t>GetShareListingTimePolicyAsync: repository throws InvalidOperationException("Policy failure")</t>
  </si>
  <si>
    <t>CreateShareListingAsync: WalletService.SpendWalletBalance fails</t>
  </si>
  <si>
    <t>CreateShareListingAsync: ShareSpaceDetailMaxSubRenter=0 (invalid)</t>
  </si>
  <si>
    <t>CreateShareListingAsync: ShareSpaceDetailAvailabilitiesTimes empty</t>
  </si>
  <si>
    <t>CreateShareListingAsync: availability StartTime(17:00) after EndTime(9:00)</t>
  </si>
  <si>
    <t>CreateShareListingAsync: valid request, current user is space owner</t>
  </si>
  <si>
    <t>IsSuccess=false, Message="Register first!", SpaceRepository.GetAsync never called</t>
  </si>
  <si>
    <t>IsSuccess=true, Data.IsLocked=false</t>
  </si>
  <si>
    <t>IsSuccess=true, Data.IsLocked=true, ContractId=99, Source=Platform</t>
  </si>
  <si>
    <t>IsSuccess=false, Message="Policy failure"</t>
  </si>
  <si>
    <t>IsSuccess=false, Message="Balance not enough", AddAsync never called</t>
  </si>
  <si>
    <t>IsSuccess=false, AddAsync never called</t>
  </si>
  <si>
    <t>IsSuccess=true, listing.CreatorId=owner, ListingType=SharedSpace, Status=Available, ShareSpaceDetail.MaxSubRenter=2, 1 availability time, AddAsync+CommitTransactionAsync once</t>
  </si>
  <si>
    <t>Verify shared-listing workflow — part 2: renter share-right creation, overlap conflict, update, and private helper branches.</t>
  </si>
  <si>
    <t>Space usage right / listing repository mocks initialized</t>
  </si>
  <si>
    <t>CreateShareListingAsync: current user has active PrimaryRenter SpaceUsageRight with CanShare=true</t>
  </si>
  <si>
    <t>CreateShareListingAsync: existing SharedSpace listing has overlapping availability time slot</t>
  </si>
  <si>
    <t>CreateShareListingAsync: WalletService.SpendWalletBalance throws InvalidOperationException("Share create failure")</t>
  </si>
  <si>
    <t>UpdateShareListingAsync: listing not found</t>
  </si>
  <si>
    <t>UpdateShareListingAsync: existing listing ListingType=EntireSpace (not SharedSpace)</t>
  </si>
  <si>
    <t>UpdateShareListingAsync: existing SharedSpace listing, valid request, owner match</t>
  </si>
  <si>
    <t>UpdateShareListingAsync: repository GetAsync throws InvalidOperationException("Share update failure")</t>
  </si>
  <si>
    <t>Private helper branches (ValidatePriceUnitWithinListingPeriod, ValidateShareAvailabilityTime, IsAvailabilityOverlapped, DescribeDateOverlap, GetMaxPriceUnitForListingPeriod, ParseReasons) invoked via reflection with boundary inputs</t>
  </si>
  <si>
    <t>IsSuccess=true, listing.CreatorId=renter, SpaceUsageRightRepository.GetAllAsync once, AddAsync once</t>
  </si>
  <si>
    <t>IsSuccess=false, Message contains "#9" and "10:00", AddAsync never called</t>
  </si>
  <si>
    <t>IsSuccess=false, Message="Share create failure", RollbackTransactionAsync once</t>
  </si>
  <si>
    <t>IsSuccess=false, UpdateAsync never called</t>
  </si>
  <si>
    <t>IsSuccess=false, Message contains "SharedSpace", UpdateAsync never called</t>
  </si>
  <si>
    <t>IsSuccess=true, ShareSpaceDetail rebuilt (MaxSubRenter=2, 1 availability time), UpdateAsync+CommitTransactionAsync once</t>
  </si>
  <si>
    <t>IsSuccess=false, Message="Share update failure", RollbackTransactionAsync once</t>
  </si>
  <si>
    <t>All branch outputs match expected values (error messages, overlap booleans, parsed reasons)</t>
  </si>
  <si>
    <t>Verify wallet retrieval and balance update/spend operations including boundary (floor at zero) and error handling.</t>
  </si>
  <si>
    <t>Wallet / transaction history repository mocks initialized</t>
  </si>
  <si>
    <t>GetAllWallet: repository returns 1 wallet</t>
  </si>
  <si>
    <t>GetOwnWallet: current user id empty (not authenticated)</t>
  </si>
  <si>
    <t>GetOwnWallet: wallet exists for current user</t>
  </si>
  <si>
    <t>GetOwnWallet: wallet not found for current user</t>
  </si>
  <si>
    <t>GetWalletByUserId: wallet not found for user-1</t>
  </si>
  <si>
    <t>GetWalletByUserId: wallet exists for user-1</t>
  </si>
  <si>
    <t>GetWalletByUserId: userId="" (empty)</t>
  </si>
  <si>
    <t>SpendWalletBalance: current user empty</t>
  </si>
  <si>
    <t>SpendWalletBalance(100): wallet not found</t>
  </si>
  <si>
    <t>SpendWalletBalance(100): wallet balance=50 (insufficient)</t>
  </si>
  <si>
    <t>SpendWalletBalance(-30): wallet balance=100 (sufficient)</t>
  </si>
  <si>
    <t>UpdateWalletBalance(user-1, -100): wallet balance=20 (would go negative)</t>
  </si>
  <si>
    <t>UpdateWalletBalance("", 100): userId empty</t>
  </si>
  <si>
    <t>UpdateWalletBalance(user-1, 100): repository throws InvalidOperationException("Db failure")</t>
  </si>
  <si>
    <t>IsSuccess=true, Data equivalent to mapped wallet list</t>
  </si>
  <si>
    <t>IsSuccess=false, Message="User is not authenticated.", GetAsync never called where applicable</t>
  </si>
  <si>
    <t>IsSuccess=true, Data=mapped wallet</t>
  </si>
  <si>
    <t>IsSuccess=false, IsNotFound=true, Message="Wallet not found."</t>
  </si>
  <si>
    <t>IsSuccess=false, Message="UserId is required.", GetAsync never called where applicable</t>
  </si>
  <si>
    <t>IsSuccess=false, Message="Balance not enough" or "Error updating wallet balance: Db failure", UpdateAsync never called where applicable</t>
  </si>
  <si>
    <t>IsSuccess=true, wallet.Balance=70 (100-30), UpdatedBy=user-1, TransactionHistory added (amount=-30), UpdateAsync+SaveChangesAsync once</t>
  </si>
  <si>
    <t>IsSuccess=true, wallet.Balance floored to 0 (not negative), UpdatedBy=admin-1, TransactionHistory added (amount=-100, walletAmount=0)</t>
  </si>
  <si>
    <t>Verify booking request creation validation, status transitions, event publishing, update, and deletion.</t>
  </si>
  <si>
    <t>Listing / booking repository / publisher mocks initialized</t>
  </si>
  <si>
    <t>CreateBookingRequestAsync: listing not found</t>
  </si>
  <si>
    <t>CreateBookingRequestAsync: ExpectedStartDate in the past</t>
  </si>
  <si>
    <t>CreateBookingRequestAsync: current user is the listing owner (lessor)</t>
  </si>
  <si>
    <t>CreateBookingRequestAsync: Duration=0 (invalid)</t>
  </si>
  <si>
    <t>CreateBookingRequestAsync: valid request, current user=lessee-1, listing owner=lessor-1</t>
  </si>
  <si>
    <t>CreateBookingRequestAsync: repository GetAsync throws InvalidOperationException("Create failure")</t>
  </si>
  <si>
    <t>UpdateStatusAsync: booking Pending -&gt; Approved</t>
  </si>
  <si>
    <t>UpdateStatusAsync: booking Pending -&gt; Rejected without a reason</t>
  </si>
  <si>
    <t>UpdateStatusAsync: booking not found</t>
  </si>
  <si>
    <t>UpdateStatusAsync: repository GetAsync throws InvalidOperationException("Status failure")</t>
  </si>
  <si>
    <t>GetBookingRequestByIdAsync: booking not found (Id=99)</t>
  </si>
  <si>
    <t>UpdateBookingRequestAsync: Pending booking, valid request</t>
  </si>
  <si>
    <t>UpdateBookingRequestAsync: booking Status != Pending</t>
  </si>
  <si>
    <t>DeleteBookingRequestAsync: repository GetAsync throws InvalidOperationException("Db failure")</t>
  </si>
  <si>
    <t>IsSuccess=false, Message contains "listing", Data=null</t>
  </si>
  <si>
    <t>IsSuccess=false, Message contains "quá khứ" or "chính mình", AddAsync never called (invalid duration also rejected)</t>
  </si>
  <si>
    <t>IsSuccess=true, Data=mapped response, booking fields set, Status=Pending, ExpectedEndDate=Start+Duration, AddAsync+SaveChangesAsync once, BookingRequestCreatedEvent published once</t>
  </si>
  <si>
    <t>IsSuccess=false, Message="Create failure" / "Status failure" / "Db failure" (repository exception)</t>
  </si>
  <si>
    <t>IsSuccess=true, booking.Status=Approved, BookingRequestApprovedEvent published once</t>
  </si>
  <si>
    <t>IsSuccess=false, Message contains "lý do" or "Pending", UpdateAsync never called</t>
  </si>
  <si>
    <t>IsSuccess=false, IsNotFound=true, Message contains "Không tìm thấy" where applicable</t>
  </si>
  <si>
    <t>IsSuccess=true, Data=mapped response, ExpectedEndDate recalculated, UpdatedAt set, UpdateAsync once</t>
  </si>
  <si>
    <t>Verify review retrieval, creation (space/user target validation, contract participation, duplicate check), and soft-delete.</t>
  </si>
  <si>
    <t>Review / booking / contract repository mocks initialized</t>
  </si>
  <si>
    <t>GetAllAsync: reviews exist</t>
  </si>
  <si>
    <t>GetByUserIdAsync: userId=""</t>
  </si>
  <si>
    <t>GetBySpaceIdAsync: reviews exist for space</t>
  </si>
  <si>
    <t>CreateAsync: current user unauthenticated (null)</t>
  </si>
  <si>
    <t>CreateAsync: no SpaceId nor TargetUserId provided</t>
  </si>
  <si>
    <t>CreateAsync: both SpaceId and TargetUserId provided</t>
  </si>
  <si>
    <t>CreateAsync: booking request not found</t>
  </si>
  <si>
    <t>CreateAsync: valid space review, contract Active, current user is lessee</t>
  </si>
  <si>
    <t>CreateAsync: current user is not a contract participant</t>
  </si>
  <si>
    <t>CreateAsync: duplicate review for same booking already exists</t>
  </si>
  <si>
    <t>CreateAsync: lessee reviews lessor (TargetUserId), contract Expired</t>
  </si>
  <si>
    <t>DeleteAsync: review belongs to current user</t>
  </si>
  <si>
    <t>DeleteAsync: review not found / not owned by current user</t>
  </si>
  <si>
    <t>IsSuccess=true, Data equivalent to mapped reviews</t>
  </si>
  <si>
    <t>IsSuccess=false, Message contains "UserId"</t>
  </si>
  <si>
    <t>IsSuccess=false, Message contains "chưa đăng nhập" or "SpaceId" or "chỉ được" (Create validation guard)</t>
  </si>
  <si>
    <t>IsSuccess=false, IsNotFound=true, Message contains "không tồn tại"</t>
  </si>
  <si>
    <t>IsSuccess=true, Data=response, AddAsync called once (space review or user-target review)</t>
  </si>
  <si>
    <t>IsSuccess=false, Message contains "không có quyền" or "đã được đánh giá", AddAsync never called</t>
  </si>
  <si>
    <t>IsSuccess=true, Data=true, review.IsDeleted=true, UpdatedBy=current user, UpdateAsync once</t>
  </si>
  <si>
    <t>IsSuccess=false, IsNotFound=true or Message contains "của chính mình", UpdateAsync never called</t>
  </si>
  <si>
    <t>Verify message retrieval, saving, and read-status update within a conversation.</t>
  </si>
  <si>
    <t>Message repository / mapper mocks initialized</t>
  </si>
  <si>
    <t>GetMessagesAsync("conversation-1", null, 20): repository returns 1 message</t>
  </si>
  <si>
    <t>GetMessagesAsync: repository throws InvalidOperationException("Db failure")</t>
  </si>
  <si>
    <t>SaveMessageAsync("conversation-1","user-1","Hello"): valid message</t>
  </si>
  <si>
    <t>UpdateMessagesToReadAsync: no unread messages in conversation</t>
  </si>
  <si>
    <t>UpdateMessagesToReadAsync: 2 unread messages from other senders exist</t>
  </si>
  <si>
    <t>IsSuccess=true, Data equivalent to mapped MessageResponse list</t>
  </si>
  <si>
    <t>Throws Exception with message containing "Lỗi khi lấy tin nhắn: Db failure"</t>
  </si>
  <si>
    <t>IsSuccess=true, Data=mapped response, Message contains "Tin nhắn đã được lưu", AddAsync called once (Text type, IsRead=false), SaveChangesAsync called once</t>
  </si>
  <si>
    <t>Returns false, SaveChangesAsync never called</t>
  </si>
  <si>
    <t>Returns true, all messages marked IsRead=true, SaveChangesAsync called once</t>
  </si>
  <si>
    <t>Verify favorite-list add/remove/query behavior including auth, not-found handling, and listing detail lookup.</t>
  </si>
  <si>
    <t>Favorite list / listing repository / current user service mocks initialized</t>
  </si>
  <si>
    <t>AddListingsAsync: current user id empty</t>
  </si>
  <si>
    <t>AddListingsAsync([1,2]): only listing Id=1 exists</t>
  </si>
  <si>
    <t>AddListingsAsync([1,1,2]): both listings exist, no favorite list yet for user-1</t>
  </si>
  <si>
    <t>GetByUserIdAsync: no favorite list exists for user-1</t>
  </si>
  <si>
    <t>GetListingDetailAsync: favorite exists containing the listing</t>
  </si>
  <si>
    <t>GetListingDetailAsync: favorite list exists but listing not in it</t>
  </si>
  <si>
    <t>RemoveListingAsync(2): favorite list has listings [1,2]</t>
  </si>
  <si>
    <t>IsSuccess=false, Message contains "UserId", GetAllAsync never called</t>
  </si>
  <si>
    <t>IsSuccess=false, IsNotFound=true, Message contains "2" (missing listing id), SaveChangesAsync never called</t>
  </si>
  <si>
    <t>IsSuccess=true, Data=mapped response, Message contains "Đã thêm", AddAsync called once with distinct ListingIds [1,2], SaveChangesAsync called once</t>
  </si>
  <si>
    <t>IsSuccess=false, IsNotFound=true, Message contains "chưa có danh sách"</t>
  </si>
  <si>
    <t>IsSuccess=true, Data=mapped ListingResponse</t>
  </si>
  <si>
    <t>IsSuccess=true, Data=mapped response, listing 2 removed from FavoriteListings, SaveChangesAsync called once</t>
  </si>
  <si>
    <t>Verify PayOS transaction creation: input validation, authentication, and payment gateway failure handling.</t>
  </si>
  <si>
    <t>HttpContextAccessor / PayOS gateway mocks initialized</t>
  </si>
  <si>
    <t>Request / context state</t>
  </si>
  <si>
    <t>ReturnUrl=null, CancelUrl="https://cancel.test"</t>
  </si>
  <si>
    <t>Amount=0, ReturnUrl/CancelUrl both provided</t>
  </si>
  <si>
    <t>Amount=100, URLs valid, HttpContext has no authenticated user claims</t>
  </si>
  <si>
    <t>Amount=100, valid user-1 authenticated, PayOSGateway.CreatePaymentLinkAsync throws InvalidOperationException("PayOS failed")</t>
  </si>
  <si>
    <t>Amount=100, valid user-1 authenticated, wallet found, PayOSGateway returns checkout URL</t>
  </si>
  <si>
    <t>IsSuccess=false, Message="ReturnUrl and CancelUrl are required.", Data=null</t>
  </si>
  <si>
    <t>IsSuccess=false, Message="Amount must be greater than zero."</t>
  </si>
  <si>
    <t>IsSuccess=false, Message="Invalid user ID from token"</t>
  </si>
  <si>
    <t>IsSuccess=false, Message="PayOS failed", SaveChangesAsync never called</t>
  </si>
  <si>
    <t>IsSuccess=true, Data="https://checkout.test", Transaction AddAsync called once (Status=Pending), SaveChangesAsync once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</si>
</sst>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m/dd"/>
    <numFmt numFmtId="179" formatCode="d/m/yyyy"/>
    <numFmt numFmtId="180" formatCode="dd/mm/yyyy"/>
  </numFmts>
  <fonts count="54">
    <font>
      <sz val="11"/>
      <color rgb="FF000000"/>
      <name val="MS PGothic"/>
      <charset val="134"/>
      <scheme val="minor"/>
    </font>
    <font>
      <sz val="8"/>
      <color theme="1"/>
      <name val="Tahoma"/>
      <charset val="134"/>
    </font>
    <font>
      <b/>
      <sz val="8"/>
      <color theme="1"/>
      <name val="Tahoma"/>
      <charset val="134"/>
    </font>
    <font>
      <sz val="11"/>
      <name val="MS PGothic"/>
      <charset val="134"/>
      <scheme val="minor"/>
    </font>
    <font>
      <i/>
      <sz val="8"/>
      <color theme="1"/>
      <name val="Tahoma"/>
      <charset val="134"/>
    </font>
    <font>
      <b/>
      <sz val="10"/>
      <color rgb="FFFFFFFF"/>
      <name val="Tahoma"/>
      <charset val="134"/>
    </font>
    <font>
      <b/>
      <sz val="8"/>
      <color rgb="FFFFFFFF"/>
      <name val="Tahoma"/>
      <charset val="134"/>
    </font>
    <font>
      <sz val="8"/>
      <color rgb="FFFFFFFF"/>
      <name val="Tahoma"/>
      <charset val="134"/>
    </font>
    <font>
      <b/>
      <sz val="12"/>
      <color theme="1"/>
      <name val="Tahoma"/>
      <charset val="134"/>
    </font>
    <font>
      <sz val="11"/>
      <color theme="1"/>
      <name val="Tahoma"/>
      <charset val="134"/>
    </font>
    <font>
      <sz val="8"/>
      <color rgb="FF008000"/>
      <name val="Tahoma"/>
      <charset val="134"/>
    </font>
    <font>
      <b/>
      <sz val="12"/>
      <color theme="1"/>
      <name val="Courier New"/>
      <charset val="134"/>
    </font>
    <font>
      <b/>
      <sz val="8"/>
      <color theme="1"/>
      <name val="Courier New"/>
      <charset val="134"/>
    </font>
    <font>
      <sz val="11"/>
      <color theme="1"/>
      <name val="MS PGothic"/>
      <charset val="134"/>
    </font>
    <font>
      <sz val="8"/>
      <color theme="1"/>
      <name val="Courier New"/>
      <charset val="134"/>
    </font>
    <font>
      <sz val="10"/>
      <color theme="1"/>
      <name val="Tahoma"/>
      <charset val="134"/>
    </font>
    <font>
      <b/>
      <sz val="20"/>
      <color rgb="FF000000"/>
      <name val="Tahoma"/>
      <charset val="134"/>
    </font>
    <font>
      <b/>
      <sz val="10"/>
      <color theme="1"/>
      <name val="Tahoma"/>
      <charset val="134"/>
    </font>
    <font>
      <i/>
      <sz val="10"/>
      <color theme="1"/>
      <name val="Tahoma"/>
      <charset val="134"/>
    </font>
    <font>
      <b/>
      <sz val="10"/>
      <color rgb="FF993300"/>
      <name val="Tahoma"/>
      <charset val="134"/>
    </font>
    <font>
      <i/>
      <sz val="10"/>
      <color rgb="FF008000"/>
      <name val="Tahoma"/>
      <charset val="134"/>
    </font>
    <font>
      <u/>
      <sz val="10"/>
      <color rgb="FF0000FF"/>
      <name val="Tahoma"/>
      <charset val="134"/>
    </font>
    <font>
      <sz val="10"/>
      <color rgb="FFFFFFFF"/>
      <name val="Tahoma"/>
      <charset val="134"/>
    </font>
    <font>
      <b/>
      <sz val="11"/>
      <color rgb="FFFFFFFF"/>
      <name val="Tahoma"/>
      <charset val="134"/>
    </font>
    <font>
      <sz val="10"/>
      <color rgb="FF000000"/>
      <name val="Tahoma"/>
      <charset val="134"/>
    </font>
    <font>
      <b/>
      <sz val="10"/>
      <color rgb="FF000000"/>
      <name val="Tahoma"/>
      <charset val="134"/>
    </font>
    <font>
      <b/>
      <sz val="10"/>
      <color rgb="FFFF0000"/>
      <name val="Tahoma"/>
      <charset val="134"/>
    </font>
    <font>
      <b/>
      <sz val="26"/>
      <color rgb="FFFF0000"/>
      <name val="Tahoma"/>
      <charset val="134"/>
    </font>
    <font>
      <i/>
      <sz val="10"/>
      <color theme="1"/>
      <name val="Calibri"/>
      <charset val="134"/>
    </font>
    <font>
      <b/>
      <sz val="18"/>
      <color theme="1"/>
      <name val="Tahoma"/>
      <charset val="134"/>
    </font>
    <font>
      <b/>
      <sz val="11"/>
      <color theme="1"/>
      <name val="Tahoma"/>
      <charset val="134"/>
    </font>
    <font>
      <b/>
      <sz val="14"/>
      <color theme="1"/>
      <name val="Tahoma"/>
      <charset val="134"/>
    </font>
    <font>
      <i/>
      <sz val="11"/>
      <color theme="1"/>
      <name val="Tahoma"/>
      <charset val="134"/>
    </font>
    <font>
      <sz val="11"/>
      <color theme="1"/>
      <name val="MS PGothic"/>
      <charset val="134"/>
      <scheme val="minor"/>
    </font>
    <font>
      <u/>
      <sz val="11"/>
      <color rgb="FF0000FF"/>
      <name val="MS PGothic"/>
      <charset val="0"/>
      <scheme val="minor"/>
    </font>
    <font>
      <u/>
      <sz val="11"/>
      <color rgb="FF800080"/>
      <name val="MS PGothic"/>
      <charset val="0"/>
      <scheme val="minor"/>
    </font>
    <font>
      <sz val="11"/>
      <color rgb="FFFF0000"/>
      <name val="MS PGothic"/>
      <charset val="0"/>
      <scheme val="minor"/>
    </font>
    <font>
      <b/>
      <sz val="18"/>
      <color theme="3"/>
      <name val="MS PGothic"/>
      <charset val="134"/>
      <scheme val="minor"/>
    </font>
    <font>
      <i/>
      <sz val="11"/>
      <color rgb="FF7F7F7F"/>
      <name val="MS PGothic"/>
      <charset val="0"/>
      <scheme val="minor"/>
    </font>
    <font>
      <b/>
      <sz val="15"/>
      <color theme="3"/>
      <name val="MS PGothic"/>
      <charset val="134"/>
      <scheme val="minor"/>
    </font>
    <font>
      <b/>
      <sz val="13"/>
      <color theme="3"/>
      <name val="MS PGothic"/>
      <charset val="134"/>
      <scheme val="minor"/>
    </font>
    <font>
      <b/>
      <sz val="11"/>
      <color theme="3"/>
      <name val="MS PGothic"/>
      <charset val="134"/>
      <scheme val="minor"/>
    </font>
    <font>
      <sz val="11"/>
      <color rgb="FF3F3F76"/>
      <name val="MS PGothic"/>
      <charset val="0"/>
      <scheme val="minor"/>
    </font>
    <font>
      <b/>
      <sz val="11"/>
      <color rgb="FF3F3F3F"/>
      <name val="MS PGothic"/>
      <charset val="0"/>
      <scheme val="minor"/>
    </font>
    <font>
      <b/>
      <sz val="11"/>
      <color rgb="FFFA7D00"/>
      <name val="MS PGothic"/>
      <charset val="0"/>
      <scheme val="minor"/>
    </font>
    <font>
      <b/>
      <sz val="11"/>
      <color rgb="FFFFFFFF"/>
      <name val="MS PGothic"/>
      <charset val="0"/>
      <scheme val="minor"/>
    </font>
    <font>
      <sz val="11"/>
      <color rgb="FFFA7D00"/>
      <name val="MS PGothic"/>
      <charset val="0"/>
      <scheme val="minor"/>
    </font>
    <font>
      <b/>
      <sz val="11"/>
      <color theme="1"/>
      <name val="MS PGothic"/>
      <charset val="0"/>
      <scheme val="minor"/>
    </font>
    <font>
      <sz val="11"/>
      <color rgb="FF006100"/>
      <name val="MS PGothic"/>
      <charset val="0"/>
      <scheme val="minor"/>
    </font>
    <font>
      <sz val="11"/>
      <color rgb="FF9C0006"/>
      <name val="MS PGothic"/>
      <charset val="0"/>
      <scheme val="minor"/>
    </font>
    <font>
      <sz val="11"/>
      <color rgb="FF9C6500"/>
      <name val="MS PGothic"/>
      <charset val="0"/>
      <scheme val="minor"/>
    </font>
    <font>
      <sz val="11"/>
      <color theme="0"/>
      <name val="MS PGothic"/>
      <charset val="0"/>
      <scheme val="minor"/>
    </font>
    <font>
      <sz val="11"/>
      <color theme="1"/>
      <name val="MS PGothic"/>
      <charset val="0"/>
      <scheme val="minor"/>
    </font>
    <font>
      <sz val="10"/>
      <name val="SimSun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FF9900"/>
        <bgColor rgb="FFFF9900"/>
      </patternFill>
    </fill>
    <fill>
      <patternFill patternType="solid">
        <fgColor rgb="FF333399"/>
        <bgColor rgb="FF333399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double">
        <color rgb="FF000000"/>
      </left>
      <right style="hair">
        <color rgb="FF000000"/>
      </right>
      <top style="double">
        <color rgb="FF000000"/>
      </top>
      <bottom style="medium">
        <color rgb="FFFFFFFF"/>
      </bottom>
      <diagonal/>
    </border>
    <border>
      <left/>
      <right/>
      <top style="double">
        <color rgb="FF000000"/>
      </top>
      <bottom style="medium">
        <color rgb="FFFFFFFF"/>
      </bottom>
      <diagonal/>
    </border>
    <border>
      <left/>
      <right style="double">
        <color rgb="FF000000"/>
      </right>
      <top style="double">
        <color rgb="FF000000"/>
      </top>
      <bottom style="medium">
        <color rgb="FFFFFFFF"/>
      </bottom>
      <diagonal/>
    </border>
    <border>
      <left style="double">
        <color rgb="FF000000"/>
      </left>
      <right style="thin">
        <color rgb="FF000000"/>
      </right>
      <top style="medium">
        <color rgb="FFFFFFFF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double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7" borderId="69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70" applyNumberFormat="0" applyFill="0" applyAlignment="0" applyProtection="0">
      <alignment vertical="center"/>
    </xf>
    <xf numFmtId="0" fontId="40" fillId="0" borderId="70" applyNumberFormat="0" applyFill="0" applyAlignment="0" applyProtection="0">
      <alignment vertical="center"/>
    </xf>
    <xf numFmtId="0" fontId="41" fillId="0" borderId="71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8" borderId="72" applyNumberFormat="0" applyAlignment="0" applyProtection="0">
      <alignment vertical="center"/>
    </xf>
    <xf numFmtId="0" fontId="43" fillId="9" borderId="73" applyNumberFormat="0" applyAlignment="0" applyProtection="0">
      <alignment vertical="center"/>
    </xf>
    <xf numFmtId="0" fontId="44" fillId="9" borderId="72" applyNumberFormat="0" applyAlignment="0" applyProtection="0">
      <alignment vertical="center"/>
    </xf>
    <xf numFmtId="0" fontId="45" fillId="10" borderId="74" applyNumberFormat="0" applyAlignment="0" applyProtection="0">
      <alignment vertical="center"/>
    </xf>
    <xf numFmtId="0" fontId="46" fillId="0" borderId="75" applyNumberFormat="0" applyFill="0" applyAlignment="0" applyProtection="0">
      <alignment vertical="center"/>
    </xf>
    <xf numFmtId="0" fontId="47" fillId="0" borderId="76" applyNumberFormat="0" applyFill="0" applyAlignment="0" applyProtection="0">
      <alignment vertical="center"/>
    </xf>
    <xf numFmtId="0" fontId="48" fillId="11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50" fillId="13" borderId="0" applyNumberFormat="0" applyBorder="0" applyAlignment="0" applyProtection="0">
      <alignment vertical="center"/>
    </xf>
    <xf numFmtId="0" fontId="51" fillId="14" borderId="0" applyNumberFormat="0" applyBorder="0" applyAlignment="0" applyProtection="0">
      <alignment vertical="center"/>
    </xf>
    <xf numFmtId="0" fontId="52" fillId="15" borderId="0" applyNumberFormat="0" applyBorder="0" applyAlignment="0" applyProtection="0">
      <alignment vertical="center"/>
    </xf>
    <xf numFmtId="0" fontId="52" fillId="16" borderId="0" applyNumberFormat="0" applyBorder="0" applyAlignment="0" applyProtection="0">
      <alignment vertical="center"/>
    </xf>
    <xf numFmtId="0" fontId="51" fillId="17" borderId="0" applyNumberFormat="0" applyBorder="0" applyAlignment="0" applyProtection="0">
      <alignment vertical="center"/>
    </xf>
    <xf numFmtId="0" fontId="51" fillId="18" borderId="0" applyNumberFormat="0" applyBorder="0" applyAlignment="0" applyProtection="0">
      <alignment vertical="center"/>
    </xf>
    <xf numFmtId="0" fontId="52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1" fillId="25" borderId="0" applyNumberFormat="0" applyBorder="0" applyAlignment="0" applyProtection="0">
      <alignment vertical="center"/>
    </xf>
    <xf numFmtId="0" fontId="51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1" fillId="29" borderId="0" applyNumberFormat="0" applyBorder="0" applyAlignment="0" applyProtection="0">
      <alignment vertical="center"/>
    </xf>
    <xf numFmtId="0" fontId="51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1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1" fillId="37" borderId="0" applyNumberFormat="0" applyBorder="0" applyAlignment="0" applyProtection="0">
      <alignment vertical="center"/>
    </xf>
  </cellStyleXfs>
  <cellXfs count="249">
    <xf numFmtId="0" fontId="0" fillId="0" borderId="0" xfId="0" applyFont="1" applyAlignment="1">
      <alignment vertical="center"/>
    </xf>
    <xf numFmtId="0" fontId="1" fillId="0" borderId="1" xfId="0" applyFont="1" applyBorder="1" applyAlignment="1"/>
    <xf numFmtId="0" fontId="2" fillId="0" borderId="1" xfId="0" applyFont="1" applyBorder="1" applyAlignment="1">
      <alignment horizontal="left"/>
    </xf>
    <xf numFmtId="0" fontId="1" fillId="0" borderId="0" xfId="0" applyFont="1" applyAlignment="1"/>
    <xf numFmtId="0" fontId="1" fillId="0" borderId="0" xfId="0" applyFont="1" applyAlignment="1">
      <alignment horizontal="right"/>
    </xf>
    <xf numFmtId="0" fontId="2" fillId="2" borderId="2" xfId="0" applyFont="1" applyFill="1" applyBorder="1" applyAlignment="1">
      <alignment horizontal="left" wrapText="1"/>
    </xf>
    <xf numFmtId="0" fontId="3" fillId="0" borderId="3" xfId="0" applyFont="1" applyBorder="1" applyAlignment="1">
      <alignment vertical="center"/>
    </xf>
    <xf numFmtId="49" fontId="4" fillId="2" borderId="4" xfId="0" applyNumberFormat="1" applyFont="1" applyFill="1" applyBorder="1" applyAlignment="1">
      <alignment horizontal="left" wrapText="1"/>
    </xf>
    <xf numFmtId="0" fontId="3" fillId="0" borderId="5" xfId="0" applyFont="1" applyBorder="1" applyAlignment="1">
      <alignment vertical="center"/>
    </xf>
    <xf numFmtId="0" fontId="2" fillId="2" borderId="6" xfId="0" applyFont="1" applyFill="1" applyBorder="1" applyAlignment="1">
      <alignment horizontal="left" wrapText="1"/>
    </xf>
    <xf numFmtId="0" fontId="3" fillId="0" borderId="7" xfId="0" applyFont="1" applyBorder="1" applyAlignment="1">
      <alignment vertical="center"/>
    </xf>
    <xf numFmtId="49" fontId="1" fillId="2" borderId="4" xfId="0" applyNumberFormat="1" applyFont="1" applyFill="1" applyBorder="1" applyAlignment="1">
      <alignment horizontal="center" wrapText="1"/>
    </xf>
    <xf numFmtId="0" fontId="3" fillId="0" borderId="8" xfId="0" applyFont="1" applyBorder="1" applyAlignment="1">
      <alignment vertical="center"/>
    </xf>
    <xf numFmtId="49" fontId="1" fillId="0" borderId="0" xfId="0" applyNumberFormat="1" applyFont="1" applyAlignment="1"/>
    <xf numFmtId="0" fontId="2" fillId="2" borderId="9" xfId="0" applyFont="1" applyFill="1" applyBorder="1" applyAlignment="1">
      <alignment horizontal="left" wrapText="1"/>
    </xf>
    <xf numFmtId="0" fontId="3" fillId="0" borderId="10" xfId="0" applyFont="1" applyBorder="1" applyAlignment="1">
      <alignment vertical="center"/>
    </xf>
    <xf numFmtId="0" fontId="4" fillId="2" borderId="11" xfId="0" applyFont="1" applyFill="1" applyBorder="1" applyAlignment="1">
      <alignment horizontal="left" wrapText="1"/>
    </xf>
    <xf numFmtId="0" fontId="3" fillId="0" borderId="12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2" fillId="2" borderId="14" xfId="0" applyFont="1" applyFill="1" applyBorder="1" applyAlignment="1">
      <alignment horizontal="left" wrapText="1"/>
    </xf>
    <xf numFmtId="0" fontId="3" fillId="0" borderId="15" xfId="0" applyFont="1" applyBorder="1" applyAlignment="1">
      <alignment vertical="center"/>
    </xf>
    <xf numFmtId="0" fontId="4" fillId="2" borderId="12" xfId="0" applyFont="1" applyFill="1" applyBorder="1" applyAlignment="1">
      <alignment horizontal="left" wrapText="1"/>
    </xf>
    <xf numFmtId="0" fontId="4" fillId="2" borderId="12" xfId="0" applyFont="1" applyFill="1" applyBorder="1" applyAlignment="1">
      <alignment wrapText="1"/>
    </xf>
    <xf numFmtId="0" fontId="4" fillId="2" borderId="16" xfId="0" applyFont="1" applyFill="1" applyBorder="1" applyAlignment="1">
      <alignment wrapText="1"/>
    </xf>
    <xf numFmtId="0" fontId="4" fillId="2" borderId="14" xfId="0" applyFont="1" applyFill="1" applyBorder="1" applyAlignment="1">
      <alignment horizontal="center" wrapText="1"/>
    </xf>
    <xf numFmtId="0" fontId="4" fillId="2" borderId="15" xfId="0" applyFont="1" applyFill="1" applyBorder="1" applyAlignment="1">
      <alignment horizontal="left" wrapText="1"/>
    </xf>
    <xf numFmtId="0" fontId="1" fillId="2" borderId="14" xfId="0" applyFont="1" applyFill="1" applyBorder="1" applyAlignment="1">
      <alignment horizontal="center" wrapText="1"/>
    </xf>
    <xf numFmtId="0" fontId="3" fillId="0" borderId="17" xfId="0" applyFont="1" applyBorder="1" applyAlignment="1">
      <alignment vertical="center"/>
    </xf>
    <xf numFmtId="0" fontId="4" fillId="2" borderId="14" xfId="0" applyFont="1" applyFill="1" applyBorder="1" applyAlignment="1">
      <alignment horizontal="left" wrapText="1"/>
    </xf>
    <xf numFmtId="0" fontId="2" fillId="2" borderId="9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/>
    </xf>
    <xf numFmtId="0" fontId="3" fillId="0" borderId="19" xfId="0" applyFont="1" applyBorder="1" applyAlignment="1">
      <alignment vertical="center"/>
    </xf>
    <xf numFmtId="0" fontId="1" fillId="2" borderId="20" xfId="0" applyFont="1" applyFill="1" applyBorder="1" applyAlignment="1">
      <alignment horizontal="center" vertical="center"/>
    </xf>
    <xf numFmtId="0" fontId="3" fillId="0" borderId="21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1" fillId="0" borderId="23" xfId="0" applyFont="1" applyBorder="1" applyAlignment="1"/>
    <xf numFmtId="0" fontId="2" fillId="0" borderId="0" xfId="0" applyFont="1" applyAlignment="1">
      <alignment horizontal="left"/>
    </xf>
    <xf numFmtId="15" fontId="5" fillId="3" borderId="24" xfId="0" applyNumberFormat="1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left"/>
    </xf>
    <xf numFmtId="0" fontId="7" fillId="3" borderId="25" xfId="0" applyFont="1" applyFill="1" applyBorder="1" applyAlignment="1"/>
    <xf numFmtId="0" fontId="7" fillId="3" borderId="25" xfId="0" applyFont="1" applyFill="1" applyBorder="1" applyAlignment="1">
      <alignment horizontal="right"/>
    </xf>
    <xf numFmtId="0" fontId="6" fillId="3" borderId="25" xfId="0" applyFont="1" applyFill="1" applyBorder="1" applyAlignment="1">
      <alignment vertical="top" textRotation="180"/>
    </xf>
    <xf numFmtId="0" fontId="6" fillId="3" borderId="26" xfId="0" applyFont="1" applyFill="1" applyBorder="1" applyAlignment="1">
      <alignment vertical="top" textRotation="180"/>
    </xf>
    <xf numFmtId="0" fontId="2" fillId="0" borderId="0" xfId="0" applyFont="1" applyAlignment="1"/>
    <xf numFmtId="0" fontId="6" fillId="3" borderId="27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left" vertical="top"/>
    </xf>
    <xf numFmtId="0" fontId="1" fillId="2" borderId="12" xfId="0" applyFont="1" applyFill="1" applyBorder="1" applyAlignment="1">
      <alignment horizontal="center" vertical="top"/>
    </xf>
    <xf numFmtId="0" fontId="1" fillId="2" borderId="13" xfId="0" applyFont="1" applyFill="1" applyBorder="1" applyAlignment="1">
      <alignment horizontal="right" vertical="top"/>
    </xf>
    <xf numFmtId="0" fontId="4" fillId="4" borderId="0" xfId="0" applyFont="1" applyFill="1" applyBorder="1" applyAlignment="1">
      <alignment horizontal="right"/>
    </xf>
    <xf numFmtId="0" fontId="8" fillId="0" borderId="28" xfId="0" applyFont="1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6" fillId="3" borderId="30" xfId="0" applyFont="1" applyFill="1" applyBorder="1" applyAlignment="1">
      <alignment vertical="center"/>
    </xf>
    <xf numFmtId="0" fontId="2" fillId="2" borderId="14" xfId="0" applyFont="1" applyFill="1" applyBorder="1" applyAlignment="1">
      <alignment horizontal="left" vertical="top"/>
    </xf>
    <xf numFmtId="0" fontId="1" fillId="2" borderId="15" xfId="0" applyFont="1" applyFill="1" applyBorder="1" applyAlignment="1">
      <alignment horizontal="center" vertical="top"/>
    </xf>
    <xf numFmtId="0" fontId="1" fillId="2" borderId="10" xfId="0" applyFont="1" applyFill="1" applyBorder="1" applyAlignment="1">
      <alignment horizontal="right" vertical="top"/>
    </xf>
    <xf numFmtId="0" fontId="8" fillId="0" borderId="31" xfId="0" applyFont="1" applyBorder="1" applyAlignment="1">
      <alignment horizontal="center"/>
    </xf>
    <xf numFmtId="0" fontId="8" fillId="0" borderId="32" xfId="0" applyFont="1" applyBorder="1" applyAlignment="1">
      <alignment horizontal="center"/>
    </xf>
    <xf numFmtId="0" fontId="1" fillId="0" borderId="0" xfId="0" applyFont="1" applyAlignment="1">
      <alignment vertical="top"/>
    </xf>
    <xf numFmtId="0" fontId="1" fillId="4" borderId="0" xfId="0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0" fontId="2" fillId="2" borderId="33" xfId="0" applyFont="1" applyFill="1" applyBorder="1" applyAlignment="1">
      <alignment horizontal="left" vertical="top"/>
    </xf>
    <xf numFmtId="0" fontId="1" fillId="2" borderId="34" xfId="0" applyFont="1" applyFill="1" applyBorder="1" applyAlignment="1">
      <alignment horizontal="center" vertical="top"/>
    </xf>
    <xf numFmtId="0" fontId="1" fillId="2" borderId="35" xfId="0" applyFont="1" applyFill="1" applyBorder="1" applyAlignment="1">
      <alignment horizontal="right" vertical="top"/>
    </xf>
    <xf numFmtId="0" fontId="1" fillId="4" borderId="36" xfId="0" applyFont="1" applyFill="1" applyBorder="1" applyAlignment="1">
      <alignment horizontal="right"/>
    </xf>
    <xf numFmtId="0" fontId="8" fillId="0" borderId="37" xfId="0" applyFont="1" applyBorder="1" applyAlignment="1">
      <alignment horizontal="center"/>
    </xf>
    <xf numFmtId="0" fontId="8" fillId="0" borderId="38" xfId="0" applyFont="1" applyBorder="1" applyAlignment="1">
      <alignment horizontal="center"/>
    </xf>
    <xf numFmtId="0" fontId="6" fillId="3" borderId="27" xfId="0" applyFont="1" applyFill="1" applyBorder="1" applyAlignment="1">
      <alignment vertical="top"/>
    </xf>
    <xf numFmtId="0" fontId="2" fillId="2" borderId="11" xfId="0" applyFont="1" applyFill="1" applyBorder="1" applyAlignment="1"/>
    <xf numFmtId="0" fontId="2" fillId="2" borderId="12" xfId="0" applyFont="1" applyFill="1" applyBorder="1" applyAlignment="1"/>
    <xf numFmtId="0" fontId="1" fillId="2" borderId="13" xfId="0" applyFont="1" applyFill="1" applyBorder="1" applyAlignment="1">
      <alignment horizontal="right"/>
    </xf>
    <xf numFmtId="0" fontId="1" fillId="4" borderId="28" xfId="0" applyFont="1" applyFill="1" applyBorder="1" applyAlignment="1">
      <alignment horizontal="left"/>
    </xf>
    <xf numFmtId="0" fontId="6" fillId="3" borderId="30" xfId="0" applyFont="1" applyFill="1" applyBorder="1" applyAlignment="1">
      <alignment vertical="top"/>
    </xf>
    <xf numFmtId="0" fontId="2" fillId="2" borderId="14" xfId="0" applyFont="1" applyFill="1" applyBorder="1" applyAlignment="1"/>
    <xf numFmtId="0" fontId="1" fillId="2" borderId="15" xfId="0" applyFont="1" applyFill="1" applyBorder="1" applyAlignment="1"/>
    <xf numFmtId="0" fontId="1" fillId="2" borderId="10" xfId="0" applyFont="1" applyFill="1" applyBorder="1" applyAlignment="1">
      <alignment horizontal="right"/>
    </xf>
    <xf numFmtId="0" fontId="1" fillId="4" borderId="31" xfId="0" applyFont="1" applyFill="1" applyBorder="1" applyAlignment="1">
      <alignment horizontal="left"/>
    </xf>
    <xf numFmtId="0" fontId="9" fillId="2" borderId="15" xfId="0" applyFont="1" applyFill="1" applyBorder="1" applyAlignment="1"/>
    <xf numFmtId="0" fontId="1" fillId="4" borderId="31" xfId="0" applyFont="1" applyFill="1" applyBorder="1" applyAlignment="1"/>
    <xf numFmtId="0" fontId="2" fillId="2" borderId="39" xfId="0" applyFont="1" applyFill="1" applyBorder="1" applyAlignment="1"/>
    <xf numFmtId="0" fontId="1" fillId="2" borderId="40" xfId="0" applyFont="1" applyFill="1" applyBorder="1" applyAlignment="1"/>
    <xf numFmtId="0" fontId="1" fillId="2" borderId="41" xfId="0" applyFont="1" applyFill="1" applyBorder="1" applyAlignment="1">
      <alignment horizontal="right"/>
    </xf>
    <xf numFmtId="0" fontId="1" fillId="4" borderId="42" xfId="0" applyFont="1" applyFill="1" applyBorder="1" applyAlignment="1">
      <alignment horizontal="left"/>
    </xf>
    <xf numFmtId="0" fontId="8" fillId="0" borderId="42" xfId="0" applyFont="1" applyBorder="1" applyAlignment="1">
      <alignment horizontal="center"/>
    </xf>
    <xf numFmtId="0" fontId="8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left"/>
    </xf>
    <xf numFmtId="0" fontId="3" fillId="0" borderId="45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1" fillId="0" borderId="47" xfId="0" applyFont="1" applyBorder="1" applyAlignment="1">
      <alignment horizontal="left"/>
    </xf>
    <xf numFmtId="0" fontId="1" fillId="0" borderId="4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14" xfId="0" applyFont="1" applyBorder="1" applyAlignment="1">
      <alignment horizontal="left"/>
    </xf>
    <xf numFmtId="0" fontId="10" fillId="0" borderId="31" xfId="0" applyFont="1" applyBorder="1" applyAlignment="1">
      <alignment horizontal="left"/>
    </xf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0" borderId="14" xfId="0" applyFont="1" applyBorder="1" applyAlignment="1">
      <alignment horizontal="left" vertical="top"/>
    </xf>
    <xf numFmtId="0" fontId="1" fillId="0" borderId="31" xfId="0" applyFont="1" applyBorder="1" applyAlignment="1"/>
    <xf numFmtId="178" fontId="1" fillId="0" borderId="31" xfId="0" applyNumberFormat="1" applyFont="1" applyBorder="1" applyAlignment="1">
      <alignment vertical="top" textRotation="255"/>
    </xf>
    <xf numFmtId="178" fontId="1" fillId="0" borderId="32" xfId="0" applyNumberFormat="1" applyFont="1" applyBorder="1" applyAlignment="1">
      <alignment vertical="top" textRotation="255"/>
    </xf>
    <xf numFmtId="0" fontId="6" fillId="3" borderId="49" xfId="0" applyFont="1" applyFill="1" applyBorder="1" applyAlignment="1">
      <alignment vertical="top"/>
    </xf>
    <xf numFmtId="0" fontId="1" fillId="0" borderId="33" xfId="0" applyFont="1" applyBorder="1" applyAlignment="1">
      <alignment horizontal="left" vertical="top"/>
    </xf>
    <xf numFmtId="0" fontId="3" fillId="0" borderId="34" xfId="0" applyFont="1" applyBorder="1" applyAlignment="1">
      <alignment vertical="center"/>
    </xf>
    <xf numFmtId="0" fontId="3" fillId="0" borderId="35" xfId="0" applyFont="1" applyBorder="1" applyAlignment="1">
      <alignment vertical="center"/>
    </xf>
    <xf numFmtId="0" fontId="1" fillId="0" borderId="37" xfId="0" applyFont="1" applyBorder="1" applyAlignment="1"/>
    <xf numFmtId="0" fontId="1" fillId="0" borderId="37" xfId="0" applyFont="1" applyBorder="1" applyAlignment="1">
      <alignment textRotation="255"/>
    </xf>
    <xf numFmtId="0" fontId="1" fillId="0" borderId="38" xfId="0" applyFont="1" applyBorder="1" applyAlignment="1">
      <alignment textRotation="255"/>
    </xf>
    <xf numFmtId="0" fontId="6" fillId="0" borderId="0" xfId="0" applyFont="1" applyAlignment="1">
      <alignment vertical="top"/>
    </xf>
    <xf numFmtId="0" fontId="7" fillId="3" borderId="50" xfId="0" applyFont="1" applyFill="1" applyBorder="1" applyAlignment="1"/>
    <xf numFmtId="0" fontId="6" fillId="3" borderId="51" xfId="0" applyFont="1" applyFill="1" applyBorder="1" applyAlignment="1">
      <alignment horizontal="left"/>
    </xf>
    <xf numFmtId="0" fontId="7" fillId="3" borderId="51" xfId="0" applyFont="1" applyFill="1" applyBorder="1" applyAlignment="1"/>
    <xf numFmtId="0" fontId="7" fillId="3" borderId="51" xfId="0" applyFont="1" applyFill="1" applyBorder="1" applyAlignment="1">
      <alignment horizontal="right"/>
    </xf>
    <xf numFmtId="0" fontId="6" fillId="3" borderId="51" xfId="0" applyFont="1" applyFill="1" applyBorder="1" applyAlignment="1">
      <alignment vertical="top" textRotation="180"/>
    </xf>
    <xf numFmtId="0" fontId="6" fillId="3" borderId="52" xfId="0" applyFont="1" applyFill="1" applyBorder="1" applyAlignment="1">
      <alignment vertical="top" textRotation="180"/>
    </xf>
    <xf numFmtId="0" fontId="4" fillId="4" borderId="40" xfId="0" applyFont="1" applyFill="1" applyBorder="1" applyAlignment="1">
      <alignment horizontal="right"/>
    </xf>
    <xf numFmtId="0" fontId="11" fillId="0" borderId="31" xfId="0" applyFont="1" applyBorder="1" applyAlignment="1">
      <alignment horizontal="center"/>
    </xf>
    <xf numFmtId="0" fontId="11" fillId="0" borderId="32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1" fillId="0" borderId="37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28" xfId="0" applyFont="1" applyBorder="1" applyAlignment="1">
      <alignment horizontal="center"/>
    </xf>
    <xf numFmtId="0" fontId="11" fillId="0" borderId="29" xfId="0" applyFont="1" applyBorder="1" applyAlignment="1">
      <alignment horizontal="center"/>
    </xf>
    <xf numFmtId="0" fontId="2" fillId="2" borderId="14" xfId="0" applyFont="1" applyFill="1" applyBorder="1" applyAlignment="1">
      <alignment horizontal="right"/>
    </xf>
    <xf numFmtId="0" fontId="13" fillId="2" borderId="15" xfId="0" applyFont="1" applyFill="1" applyBorder="1" applyAlignment="1"/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4" fillId="0" borderId="47" xfId="0" applyFont="1" applyBorder="1" applyAlignment="1">
      <alignment horizontal="center"/>
    </xf>
    <xf numFmtId="0" fontId="14" fillId="0" borderId="48" xfId="0" applyFont="1" applyBorder="1" applyAlignment="1">
      <alignment horizontal="center"/>
    </xf>
    <xf numFmtId="0" fontId="6" fillId="3" borderId="53" xfId="0" applyFont="1" applyFill="1" applyBorder="1" applyAlignment="1">
      <alignment vertical="top"/>
    </xf>
    <xf numFmtId="0" fontId="14" fillId="0" borderId="31" xfId="0" applyFont="1" applyBorder="1" applyAlignment="1">
      <alignment horizontal="center"/>
    </xf>
    <xf numFmtId="0" fontId="14" fillId="0" borderId="32" xfId="0" applyFont="1" applyBorder="1" applyAlignment="1">
      <alignment horizontal="center"/>
    </xf>
    <xf numFmtId="0" fontId="6" fillId="3" borderId="54" xfId="0" applyFont="1" applyFill="1" applyBorder="1" applyAlignment="1">
      <alignment vertical="top"/>
    </xf>
    <xf numFmtId="0" fontId="15" fillId="2" borderId="0" xfId="0" applyFont="1" applyFill="1" applyBorder="1" applyAlignment="1"/>
    <xf numFmtId="0" fontId="16" fillId="2" borderId="0" xfId="0" applyFont="1" applyFill="1" applyBorder="1" applyAlignment="1">
      <alignment horizontal="center"/>
    </xf>
    <xf numFmtId="0" fontId="3" fillId="0" borderId="0" xfId="0" applyFont="1" applyBorder="1" applyAlignment="1">
      <alignment vertical="center"/>
    </xf>
    <xf numFmtId="0" fontId="17" fillId="2" borderId="0" xfId="0" applyFont="1" applyFill="1" applyBorder="1" applyAlignment="1"/>
    <xf numFmtId="15" fontId="15" fillId="2" borderId="0" xfId="0" applyNumberFormat="1" applyFont="1" applyFill="1" applyBorder="1" applyAlignment="1"/>
    <xf numFmtId="0" fontId="17" fillId="2" borderId="31" xfId="0" applyFont="1" applyFill="1" applyBorder="1" applyAlignment="1">
      <alignment horizontal="left" vertical="center"/>
    </xf>
    <xf numFmtId="0" fontId="18" fillId="2" borderId="14" xfId="0" applyFont="1" applyFill="1" applyBorder="1" applyAlignment="1">
      <alignment horizontal="left"/>
    </xf>
    <xf numFmtId="0" fontId="17" fillId="2" borderId="14" xfId="0" applyFont="1" applyFill="1" applyBorder="1" applyAlignment="1">
      <alignment horizontal="left"/>
    </xf>
    <xf numFmtId="0" fontId="15" fillId="2" borderId="14" xfId="0" applyFont="1" applyFill="1" applyBorder="1" applyAlignment="1">
      <alignment horizontal="center"/>
    </xf>
    <xf numFmtId="0" fontId="17" fillId="2" borderId="14" xfId="0" applyFont="1" applyFill="1" applyBorder="1" applyAlignment="1">
      <alignment horizontal="center"/>
    </xf>
    <xf numFmtId="0" fontId="17" fillId="2" borderId="31" xfId="0" applyFont="1" applyFill="1" applyBorder="1" applyAlignment="1">
      <alignment vertical="center"/>
    </xf>
    <xf numFmtId="179" fontId="18" fillId="2" borderId="14" xfId="0" applyNumberFormat="1" applyFont="1" applyFill="1" applyBorder="1" applyAlignment="1">
      <alignment horizontal="left" vertical="top"/>
    </xf>
    <xf numFmtId="0" fontId="18" fillId="2" borderId="14" xfId="0" applyFont="1" applyFill="1" applyBorder="1" applyAlignment="1">
      <alignment vertical="top"/>
    </xf>
    <xf numFmtId="0" fontId="19" fillId="2" borderId="0" xfId="0" applyFont="1" applyFill="1" applyBorder="1" applyAlignment="1"/>
    <xf numFmtId="0" fontId="20" fillId="2" borderId="0" xfId="0" applyFont="1" applyFill="1" applyBorder="1" applyAlignment="1"/>
    <xf numFmtId="0" fontId="5" fillId="3" borderId="55" xfId="0" applyFont="1" applyFill="1" applyBorder="1" applyAlignment="1">
      <alignment horizontal="center"/>
    </xf>
    <xf numFmtId="0" fontId="5" fillId="3" borderId="56" xfId="0" applyFont="1" applyFill="1" applyBorder="1" applyAlignment="1">
      <alignment horizontal="center"/>
    </xf>
    <xf numFmtId="0" fontId="5" fillId="3" borderId="56" xfId="0" applyFont="1" applyFill="1" applyBorder="1" applyAlignment="1">
      <alignment horizontal="center" wrapText="1"/>
    </xf>
    <xf numFmtId="0" fontId="5" fillId="3" borderId="57" xfId="0" applyFont="1" applyFill="1" applyBorder="1" applyAlignment="1">
      <alignment horizontal="center"/>
    </xf>
    <xf numFmtId="0" fontId="5" fillId="3" borderId="58" xfId="0" applyFont="1" applyFill="1" applyBorder="1" applyAlignment="1">
      <alignment horizontal="center" wrapText="1"/>
    </xf>
    <xf numFmtId="0" fontId="15" fillId="2" borderId="59" xfId="0" applyFont="1" applyFill="1" applyBorder="1" applyAlignment="1">
      <alignment horizontal="center"/>
    </xf>
    <xf numFmtId="49" fontId="21" fillId="2" borderId="60" xfId="0" applyNumberFormat="1" applyFont="1" applyFill="1" applyBorder="1" applyAlignment="1"/>
    <xf numFmtId="0" fontId="15" fillId="2" borderId="60" xfId="0" applyFont="1" applyFill="1" applyBorder="1" applyAlignment="1">
      <alignment horizontal="center"/>
    </xf>
    <xf numFmtId="0" fontId="15" fillId="2" borderId="61" xfId="0" applyFont="1" applyFill="1" applyBorder="1" applyAlignment="1">
      <alignment horizontal="center"/>
    </xf>
    <xf numFmtId="0" fontId="22" fillId="3" borderId="62" xfId="0" applyFont="1" applyFill="1" applyBorder="1" applyAlignment="1">
      <alignment horizontal="center"/>
    </xf>
    <xf numFmtId="0" fontId="23" fillId="3" borderId="0" xfId="0" applyFont="1" applyFill="1" applyBorder="1" applyAlignment="1">
      <alignment vertical="center"/>
    </xf>
    <xf numFmtId="0" fontId="22" fillId="3" borderId="63" xfId="0" applyFont="1" applyFill="1" applyBorder="1" applyAlignment="1">
      <alignment horizontal="center"/>
    </xf>
    <xf numFmtId="0" fontId="17" fillId="2" borderId="0" xfId="0" applyFont="1" applyFill="1" applyBorder="1" applyAlignment="1">
      <alignment horizontal="left"/>
    </xf>
    <xf numFmtId="2" fontId="17" fillId="2" borderId="0" xfId="0" applyNumberFormat="1" applyFont="1" applyFill="1" applyBorder="1" applyAlignment="1">
      <alignment horizontal="right" wrapText="1"/>
    </xf>
    <xf numFmtId="0" fontId="24" fillId="2" borderId="0" xfId="0" applyFont="1" applyFill="1" applyBorder="1" applyAlignment="1">
      <alignment horizontal="center" wrapText="1"/>
    </xf>
    <xf numFmtId="1" fontId="15" fillId="2" borderId="0" xfId="0" applyNumberFormat="1" applyFont="1" applyFill="1" applyBorder="1" applyAlignment="1"/>
    <xf numFmtId="0" fontId="15" fillId="2" borderId="0" xfId="0" applyFont="1" applyFill="1" applyBorder="1" applyAlignment="1">
      <alignment horizontal="left"/>
    </xf>
    <xf numFmtId="0" fontId="15" fillId="2" borderId="0" xfId="0" applyFont="1" applyFill="1" applyBorder="1" applyAlignment="1">
      <alignment horizontal="left" wrapText="1"/>
    </xf>
    <xf numFmtId="0" fontId="16" fillId="2" borderId="0" xfId="0" applyFont="1" applyFill="1" applyBorder="1" applyAlignment="1">
      <alignment horizontal="left"/>
    </xf>
    <xf numFmtId="0" fontId="25" fillId="2" borderId="0" xfId="0" applyFont="1" applyFill="1" applyBorder="1" applyAlignment="1">
      <alignment horizontal="left"/>
    </xf>
    <xf numFmtId="0" fontId="26" fillId="2" borderId="0" xfId="0" applyFont="1" applyFill="1" applyBorder="1" applyAlignment="1">
      <alignment horizontal="left"/>
    </xf>
    <xf numFmtId="1" fontId="17" fillId="2" borderId="14" xfId="0" applyNumberFormat="1" applyFont="1" applyFill="1" applyBorder="1" applyAlignment="1"/>
    <xf numFmtId="1" fontId="17" fillId="2" borderId="14" xfId="0" applyNumberFormat="1" applyFont="1" applyFill="1" applyBorder="1" applyAlignment="1">
      <alignment horizontal="left"/>
    </xf>
    <xf numFmtId="0" fontId="18" fillId="2" borderId="15" xfId="0" applyFont="1" applyFill="1" applyBorder="1" applyAlignment="1">
      <alignment horizontal="left"/>
    </xf>
    <xf numFmtId="0" fontId="18" fillId="2" borderId="10" xfId="0" applyFont="1" applyFill="1" applyBorder="1" applyAlignment="1">
      <alignment horizontal="left"/>
    </xf>
    <xf numFmtId="1" fontId="17" fillId="2" borderId="14" xfId="0" applyNumberFormat="1" applyFont="1" applyFill="1" applyBorder="1" applyAlignment="1">
      <alignment vertical="center" wrapText="1"/>
    </xf>
    <xf numFmtId="0" fontId="18" fillId="2" borderId="14" xfId="0" applyFont="1" applyFill="1" applyBorder="1" applyAlignment="1">
      <alignment horizontal="left" vertical="top" wrapText="1"/>
    </xf>
    <xf numFmtId="0" fontId="15" fillId="2" borderId="0" xfId="0" applyFont="1" applyFill="1" applyBorder="1" applyAlignment="1">
      <alignment wrapText="1"/>
    </xf>
    <xf numFmtId="1" fontId="19" fillId="2" borderId="0" xfId="0" applyNumberFormat="1" applyFont="1" applyFill="1" applyBorder="1" applyAlignment="1"/>
    <xf numFmtId="1" fontId="15" fillId="2" borderId="0" xfId="0" applyNumberFormat="1" applyFont="1" applyFill="1" applyBorder="1" applyAlignment="1">
      <alignment vertical="center"/>
    </xf>
    <xf numFmtId="0" fontId="15" fillId="2" borderId="0" xfId="0" applyFont="1" applyFill="1" applyBorder="1" applyAlignment="1">
      <alignment horizontal="left" vertical="center"/>
    </xf>
    <xf numFmtId="0" fontId="15" fillId="2" borderId="0" xfId="0" applyFont="1" applyFill="1" applyBorder="1" applyAlignment="1">
      <alignment horizontal="left" vertical="center" wrapText="1"/>
    </xf>
    <xf numFmtId="0" fontId="15" fillId="2" borderId="0" xfId="0" applyFont="1" applyFill="1" applyBorder="1" applyAlignment="1">
      <alignment vertical="center"/>
    </xf>
    <xf numFmtId="1" fontId="5" fillId="5" borderId="64" xfId="0" applyNumberFormat="1" applyFont="1" applyFill="1" applyBorder="1" applyAlignment="1">
      <alignment horizontal="center" vertical="center"/>
    </xf>
    <xf numFmtId="1" fontId="5" fillId="5" borderId="55" xfId="0" applyNumberFormat="1" applyFont="1" applyFill="1" applyBorder="1" applyAlignment="1">
      <alignment horizontal="center" vertical="center" wrapText="1"/>
    </xf>
    <xf numFmtId="1" fontId="5" fillId="5" borderId="55" xfId="0" applyNumberFormat="1" applyFont="1" applyFill="1" applyBorder="1" applyAlignment="1">
      <alignment horizontal="center" vertical="center"/>
    </xf>
    <xf numFmtId="0" fontId="5" fillId="5" borderId="56" xfId="0" applyFont="1" applyFill="1" applyBorder="1" applyAlignment="1">
      <alignment horizontal="center" vertical="center"/>
    </xf>
    <xf numFmtId="0" fontId="5" fillId="5" borderId="56" xfId="0" applyFont="1" applyFill="1" applyBorder="1" applyAlignment="1">
      <alignment horizontal="center" vertical="center" wrapText="1"/>
    </xf>
    <xf numFmtId="0" fontId="5" fillId="5" borderId="57" xfId="0" applyFont="1" applyFill="1" applyBorder="1" applyAlignment="1">
      <alignment horizontal="center" vertical="center"/>
    </xf>
    <xf numFmtId="0" fontId="5" fillId="5" borderId="58" xfId="0" applyFont="1" applyFill="1" applyBorder="1" applyAlignment="1">
      <alignment horizontal="center" vertical="center"/>
    </xf>
    <xf numFmtId="0" fontId="17" fillId="2" borderId="0" xfId="0" applyFont="1" applyFill="1" applyBorder="1" applyAlignment="1">
      <alignment horizontal="center"/>
    </xf>
    <xf numFmtId="1" fontId="15" fillId="2" borderId="65" xfId="0" applyNumberFormat="1" applyFont="1" applyFill="1" applyBorder="1" applyAlignment="1">
      <alignment horizontal="center" vertical="center"/>
    </xf>
    <xf numFmtId="1" fontId="15" fillId="2" borderId="59" xfId="0" applyNumberFormat="1" applyFont="1" applyFill="1" applyBorder="1" applyAlignment="1">
      <alignment vertical="center"/>
    </xf>
    <xf numFmtId="49" fontId="15" fillId="2" borderId="60" xfId="0" applyNumberFormat="1" applyFont="1" applyFill="1" applyBorder="1" applyAlignment="1">
      <alignment horizontal="left" vertical="center"/>
    </xf>
    <xf numFmtId="49" fontId="15" fillId="2" borderId="60" xfId="0" applyNumberFormat="1" applyFont="1" applyFill="1" applyBorder="1" applyAlignment="1">
      <alignment horizontal="left" vertical="center" wrapText="1"/>
    </xf>
    <xf numFmtId="0" fontId="21" fillId="2" borderId="60" xfId="0" applyFont="1" applyFill="1" applyBorder="1" applyAlignment="1">
      <alignment horizontal="left" vertical="center"/>
    </xf>
    <xf numFmtId="0" fontId="24" fillId="2" borderId="60" xfId="0" applyFont="1" applyFill="1" applyBorder="1" applyAlignment="1">
      <alignment horizontal="left" vertical="center"/>
    </xf>
    <xf numFmtId="0" fontId="15" fillId="2" borderId="61" xfId="0" applyFont="1" applyFill="1" applyBorder="1" applyAlignment="1">
      <alignment horizontal="left" vertical="center"/>
    </xf>
    <xf numFmtId="0" fontId="15" fillId="2" borderId="60" xfId="0" applyFont="1" applyFill="1" applyBorder="1" applyAlignment="1">
      <alignment horizontal="left" vertical="center"/>
    </xf>
    <xf numFmtId="0" fontId="15" fillId="0" borderId="0" xfId="0" applyFont="1" applyAlignment="1">
      <alignment vertical="center"/>
    </xf>
    <xf numFmtId="0" fontId="15" fillId="0" borderId="66" xfId="0" applyFont="1" applyBorder="1" applyAlignment="1">
      <alignment vertical="center"/>
    </xf>
    <xf numFmtId="1" fontId="15" fillId="2" borderId="67" xfId="0" applyNumberFormat="1" applyFont="1" applyFill="1" applyBorder="1" applyAlignment="1">
      <alignment horizontal="center" vertical="center"/>
    </xf>
    <xf numFmtId="1" fontId="15" fillId="2" borderId="62" xfId="0" applyNumberFormat="1" applyFont="1" applyFill="1" applyBorder="1" applyAlignment="1">
      <alignment vertical="center"/>
    </xf>
    <xf numFmtId="49" fontId="15" fillId="2" borderId="63" xfId="0" applyNumberFormat="1" applyFont="1" applyFill="1" applyBorder="1" applyAlignment="1">
      <alignment horizontal="left" vertical="center"/>
    </xf>
    <xf numFmtId="49" fontId="15" fillId="2" borderId="63" xfId="0" applyNumberFormat="1" applyFont="1" applyFill="1" applyBorder="1" applyAlignment="1">
      <alignment horizontal="left" vertical="center" wrapText="1"/>
    </xf>
    <xf numFmtId="0" fontId="21" fillId="2" borderId="63" xfId="0" applyFont="1" applyFill="1" applyBorder="1" applyAlignment="1">
      <alignment horizontal="left" vertical="center"/>
    </xf>
    <xf numFmtId="0" fontId="15" fillId="2" borderId="63" xfId="0" applyFont="1" applyFill="1" applyBorder="1" applyAlignment="1">
      <alignment horizontal="left" vertical="center"/>
    </xf>
    <xf numFmtId="0" fontId="15" fillId="2" borderId="68" xfId="0" applyFont="1" applyFill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5" fillId="0" borderId="0" xfId="0" applyFont="1" applyAlignment="1"/>
    <xf numFmtId="0" fontId="27" fillId="0" borderId="14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9" fillId="2" borderId="0" xfId="0" applyFont="1" applyFill="1" applyBorder="1" applyAlignment="1">
      <alignment horizontal="left"/>
    </xf>
    <xf numFmtId="0" fontId="20" fillId="0" borderId="0" xfId="0" applyFont="1" applyAlignment="1">
      <alignment horizontal="left"/>
    </xf>
    <xf numFmtId="0" fontId="17" fillId="2" borderId="31" xfId="0" applyFont="1" applyFill="1" applyBorder="1" applyAlignment="1">
      <alignment horizontal="left"/>
    </xf>
    <xf numFmtId="0" fontId="28" fillId="0" borderId="14" xfId="0" applyFont="1" applyBorder="1" applyAlignment="1">
      <alignment horizontal="left"/>
    </xf>
    <xf numFmtId="0" fontId="15" fillId="0" borderId="10" xfId="0" applyFont="1" applyBorder="1" applyAlignment="1"/>
    <xf numFmtId="0" fontId="18" fillId="0" borderId="14" xfId="0" applyFont="1" applyBorder="1" applyAlignment="1">
      <alignment horizontal="left"/>
    </xf>
    <xf numFmtId="180" fontId="18" fillId="0" borderId="10" xfId="0" applyNumberFormat="1" applyFont="1" applyBorder="1" applyAlignment="1">
      <alignment horizontal="left"/>
    </xf>
    <xf numFmtId="0" fontId="18" fillId="0" borderId="14" xfId="0" applyFont="1" applyBorder="1" applyAlignment="1">
      <alignment horizontal="left" vertical="center"/>
    </xf>
    <xf numFmtId="0" fontId="18" fillId="0" borderId="10" xfId="0" applyFont="1" applyBorder="1" applyAlignment="1">
      <alignment horizontal="left"/>
    </xf>
    <xf numFmtId="0" fontId="17" fillId="0" borderId="0" xfId="0" applyFont="1" applyAlignment="1"/>
    <xf numFmtId="0" fontId="19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15" fontId="5" fillId="3" borderId="64" xfId="0" applyNumberFormat="1" applyFont="1" applyFill="1" applyBorder="1" applyAlignment="1">
      <alignment horizontal="center" vertical="center"/>
    </xf>
    <xf numFmtId="0" fontId="5" fillId="3" borderId="56" xfId="0" applyFont="1" applyFill="1" applyBorder="1" applyAlignment="1">
      <alignment horizontal="center" vertical="center"/>
    </xf>
    <xf numFmtId="0" fontId="5" fillId="3" borderId="58" xfId="0" applyFont="1" applyFill="1" applyBorder="1" applyAlignment="1">
      <alignment horizontal="center" vertical="center"/>
    </xf>
    <xf numFmtId="180" fontId="18" fillId="0" borderId="65" xfId="0" applyNumberFormat="1" applyFont="1" applyBorder="1" applyAlignment="1">
      <alignment horizontal="center" vertical="top" wrapText="1"/>
    </xf>
    <xf numFmtId="49" fontId="15" fillId="0" borderId="60" xfId="0" applyNumberFormat="1" applyFont="1" applyBorder="1" applyAlignment="1">
      <alignment horizontal="center" vertical="top"/>
    </xf>
    <xf numFmtId="0" fontId="15" fillId="0" borderId="60" xfId="0" applyFont="1" applyBorder="1" applyAlignment="1">
      <alignment vertical="top"/>
    </xf>
    <xf numFmtId="0" fontId="15" fillId="0" borderId="60" xfId="0" applyFont="1" applyBorder="1" applyAlignment="1">
      <alignment horizontal="center" vertical="top"/>
    </xf>
    <xf numFmtId="0" fontId="18" fillId="0" borderId="61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15" fontId="15" fillId="0" borderId="65" xfId="0" applyNumberFormat="1" applyFont="1" applyBorder="1" applyAlignment="1">
      <alignment vertical="top"/>
    </xf>
    <xf numFmtId="49" fontId="15" fillId="0" borderId="60" xfId="0" applyNumberFormat="1" applyFont="1" applyBorder="1" applyAlignment="1">
      <alignment vertical="top"/>
    </xf>
    <xf numFmtId="0" fontId="15" fillId="0" borderId="61" xfId="0" applyFont="1" applyBorder="1" applyAlignment="1">
      <alignment vertical="top"/>
    </xf>
    <xf numFmtId="15" fontId="15" fillId="0" borderId="67" xfId="0" applyNumberFormat="1" applyFont="1" applyBorder="1" applyAlignment="1">
      <alignment vertical="top"/>
    </xf>
    <xf numFmtId="49" fontId="15" fillId="0" borderId="63" xfId="0" applyNumberFormat="1" applyFont="1" applyBorder="1" applyAlignment="1">
      <alignment vertical="top"/>
    </xf>
    <xf numFmtId="0" fontId="15" fillId="0" borderId="63" xfId="0" applyFont="1" applyBorder="1" applyAlignment="1">
      <alignment vertical="top"/>
    </xf>
    <xf numFmtId="0" fontId="15" fillId="0" borderId="68" xfId="0" applyFont="1" applyBorder="1" applyAlignment="1">
      <alignment vertical="top"/>
    </xf>
    <xf numFmtId="0" fontId="29" fillId="6" borderId="0" xfId="0" applyFont="1" applyFill="1" applyBorder="1" applyAlignment="1">
      <alignment horizontal="center"/>
    </xf>
    <xf numFmtId="0" fontId="30" fillId="6" borderId="0" xfId="0" applyFont="1" applyFill="1" applyBorder="1" applyAlignment="1">
      <alignment vertical="center"/>
    </xf>
    <xf numFmtId="0" fontId="8" fillId="6" borderId="0" xfId="0" applyFont="1" applyFill="1" applyBorder="1" applyAlignment="1">
      <alignment horizontal="left"/>
    </xf>
    <xf numFmtId="0" fontId="31" fillId="6" borderId="0" xfId="0" applyFont="1" applyFill="1" applyBorder="1" applyAlignment="1">
      <alignment vertical="center"/>
    </xf>
    <xf numFmtId="0" fontId="15" fillId="6" borderId="0" xfId="0" applyFont="1" applyFill="1" applyBorder="1" applyAlignment="1">
      <alignment horizontal="left"/>
    </xf>
    <xf numFmtId="0" fontId="9" fillId="6" borderId="0" xfId="0" applyFont="1" applyFill="1" applyBorder="1" applyAlignment="1">
      <alignment vertical="center"/>
    </xf>
    <xf numFmtId="0" fontId="15" fillId="6" borderId="0" xfId="0" applyFont="1" applyFill="1" applyBorder="1" applyAlignment="1">
      <alignment horizontal="left" wrapText="1"/>
    </xf>
    <xf numFmtId="0" fontId="18" fillId="6" borderId="0" xfId="0" applyFont="1" applyFill="1" applyBorder="1" applyAlignment="1">
      <alignment horizontal="left"/>
    </xf>
    <xf numFmtId="0" fontId="32" fillId="6" borderId="0" xfId="0" applyFont="1" applyFill="1" applyBorder="1" applyAlignment="1">
      <alignment vertical="center"/>
    </xf>
    <xf numFmtId="0" fontId="17" fillId="6" borderId="0" xfId="0" applyFont="1" applyFill="1" applyBorder="1" applyAlignment="1">
      <alignment horizontal="left"/>
    </xf>
    <xf numFmtId="0" fontId="8" fillId="6" borderId="0" xfId="0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0" Type="http://schemas.openxmlformats.org/officeDocument/2006/relationships/styles" Target="styles.xml"/><Relationship Id="rId4" Type="http://schemas.openxmlformats.org/officeDocument/2006/relationships/worksheet" Target="worksheets/sheet4.xml"/><Relationship Id="rId39" Type="http://schemas.openxmlformats.org/officeDocument/2006/relationships/sharedStrings" Target="sharedStrings.xml"/><Relationship Id="rId38" Type="http://schemas.openxmlformats.org/officeDocument/2006/relationships/theme" Target="theme/theme1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lvl="0">
              <a:defRPr lang="en-US" sz="900" b="1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sz="900" b="1" i="0">
                <a:solidFill>
                  <a:srgbClr val="000000"/>
                </a:solidFill>
                <a:latin typeface="+mn-lt"/>
              </a:rPr>
              <a:t>Test Type</a:t>
            </a:r>
            <a:endParaRPr sz="900" b="1" i="0">
              <a:solidFill>
                <a:srgbClr val="000000"/>
              </a:solidFill>
              <a:latin typeface="+mn-lt"/>
            </a:endParaRPr>
          </a:p>
        </c:rich>
      </c:tx>
      <c:layout/>
      <c:overlay val="0"/>
    </c:title>
    <c:autoTitleDeleted val="0"/>
    <c:plotArea>
      <c:layout/>
      <c:pieChart>
        <c:varyColors val="1"/>
        <c:ser>
          <c:idx val="0"/>
          <c:order val="0"/>
          <c:explosion val="0"/>
          <c:dPt>
            <c:idx val="0"/>
            <c:bubble3D val="0"/>
            <c:spPr>
              <a:solidFill>
                <a:srgbClr val="9999FF"/>
              </a:solidFill>
            </c:spPr>
          </c:dPt>
          <c:dPt>
            <c:idx val="1"/>
            <c:bubble3D val="0"/>
          </c:dPt>
          <c:dPt>
            <c:idx val="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val>
            <c:numRef>
              <c:f>Statistics!$F$40:$H$40</c:f>
              <c:numCache>
                <c:formatCode>General</c:formatCode>
                <c:ptCount val="3"/>
                <c:pt idx="0">
                  <c:v>73</c:v>
                </c:pt>
                <c:pt idx="1">
                  <c:v>111</c:v>
                </c:pt>
                <c:pt idx="2">
                  <c:v>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rgbClr val="1A1A1A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1f26abb-80ae-4e98-8ce3-2c5d3fa43a4c}"/>
      </c:ext>
    </c:extLst>
  </c:chart>
  <c:spPr>
    <a:solidFill>
      <a:srgbClr val="FFFFFF"/>
    </a:solidFill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lvl="0">
              <a:defRPr lang="en-US" sz="1100" b="1" i="0" u="none" strike="noStrike" kern="1200" baseline="0">
                <a:solidFill>
                  <a:srgbClr val="000000"/>
                </a:solidFill>
                <a:latin typeface="Arial" panose="020B0604020202020204"/>
                <a:ea typeface="+mn-ea"/>
                <a:cs typeface="+mn-cs"/>
              </a:defRPr>
            </a:pPr>
            <a:r>
              <a:rPr sz="1100" b="1" i="0">
                <a:solidFill>
                  <a:srgbClr val="000000"/>
                </a:solidFill>
                <a:latin typeface="Arial" panose="020B0604020202020204"/>
              </a:rPr>
              <a:t>Passed Percent</a:t>
            </a:r>
            <a:endParaRPr sz="1100" b="1" i="0">
              <a:solidFill>
                <a:srgbClr val="000000"/>
              </a:solidFill>
              <a:latin typeface="Arial" panose="020B0604020202020204"/>
            </a:endParaRPr>
          </a:p>
        </c:rich>
      </c:tx>
      <c:layout/>
      <c:overlay val="0"/>
    </c:title>
    <c:autoTitleDeleted val="0"/>
    <c:plotArea>
      <c:layout/>
      <c:pieChart>
        <c:varyColors val="1"/>
        <c:ser>
          <c:idx val="0"/>
          <c:order val="0"/>
          <c:explosion val="0"/>
          <c:dPt>
            <c:idx val="0"/>
            <c:bubble3D val="0"/>
            <c:explosion val="0"/>
            <c:spPr>
              <a:solidFill>
                <a:srgbClr val="9999FF"/>
              </a:solidFill>
            </c:spPr>
          </c:dPt>
          <c:dPt>
            <c:idx val="1"/>
            <c:bubble3D val="0"/>
          </c:dPt>
          <c:dPt>
            <c:idx val="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val>
            <c:numRef>
              <c:f>Statistics!$C$40:$E$40</c:f>
              <c:numCache>
                <c:formatCode>General</c:formatCode>
                <c:ptCount val="3"/>
                <c:pt idx="0">
                  <c:v>206</c:v>
                </c:pt>
                <c:pt idx="1">
                  <c:v>9</c:v>
                </c:pt>
                <c:pt idx="2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rgbClr val="1A1A1A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ec9772b-0006-43d3-957a-86c100c59652}"/>
      </c:ext>
    </c:extLst>
  </c:chart>
  <c:spPr>
    <a:solidFill>
      <a:srgbClr val="FFFFFF"/>
    </a:solidFill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1</xdr:row>
      <xdr:rowOff>0</xdr:rowOff>
    </xdr:from>
    <xdr:ext cx="2143125" cy="781050"/>
    <xdr:pic>
      <xdr:nvPicPr>
        <xdr:cNvPr id="2" name="image1.png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0" y="161925"/>
          <a:ext cx="2143125" cy="78105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3</xdr:col>
      <xdr:colOff>228600</xdr:colOff>
      <xdr:row>46</xdr:row>
      <xdr:rowOff>104775</xdr:rowOff>
    </xdr:from>
    <xdr:ext cx="3714750" cy="2438400"/>
    <xdr:graphicFrame>
      <xdr:nvGraphicFramePr>
        <xdr:cNvPr id="23127828" name="Chart 1" descr="Chart 0"/>
        <xdr:cNvGraphicFramePr/>
      </xdr:nvGraphicFramePr>
      <xdr:xfrm>
        <a:off x="4284980" y="7839075"/>
        <a:ext cx="3714750" cy="2438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0</xdr:colOff>
      <xdr:row>46</xdr:row>
      <xdr:rowOff>123825</xdr:rowOff>
    </xdr:from>
    <xdr:ext cx="4248150" cy="2409825"/>
    <xdr:graphicFrame>
      <xdr:nvGraphicFramePr>
        <xdr:cNvPr id="725429391" name="Chart 2" descr="Chart 1" title="Chart"/>
        <xdr:cNvGraphicFramePr/>
      </xdr:nvGraphicFramePr>
      <xdr:xfrm>
        <a:off x="0" y="7858125"/>
        <a:ext cx="4248150" cy="24098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comments" Target="../comments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comments" Target="../comments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comments" Target="../comments14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comments" Target="../comments15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comments" Target="../comments16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comments" Target="../comments17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comments" Target="../comments18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comments" Target="../comments19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comments" Target="../comments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comments" Target="../comments2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comments" Target="../comments22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comments" Target="../comments23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comments" Target="../comments24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comments" Target="../comments25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comments" Target="../comments26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comments" Target="../comments27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comments" Target="../comments28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comments" Target="../comments29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comments" Target="../comments30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comments" Target="../comments31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comments" Target="../comments32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comments" Target="../comments33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comments" Target="../comments3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119.381355932203" customWidth="1"/>
    <col min="2" max="6" width="9" customWidth="1"/>
    <col min="7" max="24" width="10" customWidth="1"/>
  </cols>
  <sheetData>
    <row r="1" ht="22.5" customHeight="1" spans="1:26">
      <c r="A1" s="238" t="s">
        <v>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</row>
    <row r="2" ht="22.5" customHeight="1" spans="1:26">
      <c r="A2" s="238"/>
      <c r="B2" s="239"/>
      <c r="C2" s="239"/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239"/>
      <c r="R2" s="239"/>
      <c r="S2" s="239"/>
      <c r="T2" s="239"/>
      <c r="U2" s="239"/>
      <c r="V2" s="239"/>
      <c r="W2" s="239"/>
      <c r="X2" s="239"/>
      <c r="Y2" s="239"/>
      <c r="Z2" s="239"/>
    </row>
    <row r="3" ht="18" customHeight="1" spans="1:26">
      <c r="A3" s="240" t="s">
        <v>1</v>
      </c>
      <c r="B3" s="241"/>
      <c r="C3" s="241"/>
      <c r="D3" s="241"/>
      <c r="E3" s="241"/>
      <c r="F3" s="241"/>
      <c r="G3" s="241"/>
      <c r="H3" s="241"/>
      <c r="I3" s="241"/>
      <c r="J3" s="241"/>
      <c r="K3" s="241"/>
      <c r="L3" s="241"/>
      <c r="M3" s="241"/>
      <c r="N3" s="241"/>
      <c r="O3" s="241"/>
      <c r="P3" s="241"/>
      <c r="Q3" s="241"/>
      <c r="R3" s="241"/>
      <c r="S3" s="241"/>
      <c r="T3" s="241"/>
      <c r="U3" s="241"/>
      <c r="V3" s="241"/>
      <c r="W3" s="241"/>
      <c r="X3" s="241"/>
      <c r="Y3" s="241"/>
      <c r="Z3" s="241"/>
    </row>
    <row r="4" ht="14.4" spans="1:26">
      <c r="A4" s="242" t="s">
        <v>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/>
      <c r="U4" s="243"/>
      <c r="V4" s="243"/>
      <c r="W4" s="243"/>
      <c r="X4" s="243"/>
      <c r="Y4" s="243"/>
      <c r="Z4" s="243"/>
    </row>
    <row r="5" ht="14.4" spans="1:26">
      <c r="A5" s="242" t="s">
        <v>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/>
      <c r="U5" s="243"/>
      <c r="V5" s="243"/>
      <c r="W5" s="243"/>
      <c r="X5" s="243"/>
      <c r="Y5" s="243"/>
      <c r="Z5" s="243"/>
    </row>
    <row r="6" ht="42" customHeight="1" spans="1:26">
      <c r="A6" s="244" t="s">
        <v>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/>
      <c r="U6" s="243"/>
      <c r="V6" s="243"/>
      <c r="W6" s="243"/>
      <c r="X6" s="243"/>
      <c r="Y6" s="243"/>
      <c r="Z6" s="243"/>
    </row>
    <row r="7" ht="29.25" customHeight="1" spans="1:26">
      <c r="A7" s="244" t="s">
        <v>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/>
      <c r="U7" s="243"/>
      <c r="V7" s="243"/>
      <c r="W7" s="243"/>
      <c r="X7" s="243"/>
      <c r="Y7" s="243"/>
      <c r="Z7" s="243"/>
    </row>
    <row r="8" ht="30" customHeight="1" spans="1:26">
      <c r="A8" s="244" t="s">
        <v>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/>
      <c r="U8" s="243"/>
      <c r="V8" s="243"/>
      <c r="W8" s="243"/>
      <c r="X8" s="243"/>
      <c r="Y8" s="243"/>
      <c r="Z8" s="243"/>
    </row>
    <row r="9" ht="16.5" customHeight="1" spans="1:26">
      <c r="A9" s="245" t="s">
        <v>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ht="16.5" customHeight="1" spans="1:26">
      <c r="A10" s="242"/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/>
      <c r="U10" s="243"/>
      <c r="V10" s="243"/>
      <c r="W10" s="243"/>
      <c r="X10" s="243"/>
      <c r="Y10" s="243"/>
      <c r="Z10" s="243"/>
    </row>
    <row r="11" ht="18" customHeight="1" spans="1:26">
      <c r="A11" s="240" t="s">
        <v>8</v>
      </c>
      <c r="B11" s="241"/>
      <c r="C11" s="241"/>
      <c r="D11" s="241"/>
      <c r="E11" s="241"/>
      <c r="F11" s="241"/>
      <c r="G11" s="241"/>
      <c r="H11" s="241"/>
      <c r="I11" s="241"/>
      <c r="J11" s="241"/>
      <c r="K11" s="241"/>
      <c r="L11" s="241"/>
      <c r="M11" s="241"/>
      <c r="N11" s="241"/>
      <c r="O11" s="241"/>
      <c r="P11" s="241"/>
      <c r="Q11" s="241"/>
      <c r="R11" s="241"/>
      <c r="S11" s="241"/>
      <c r="T11" s="241"/>
      <c r="U11" s="241"/>
      <c r="V11" s="241"/>
      <c r="W11" s="241"/>
      <c r="X11" s="241"/>
      <c r="Y11" s="241"/>
      <c r="Z11" s="241"/>
    </row>
    <row r="12" ht="15.05" spans="1:26">
      <c r="A12" s="247" t="s">
        <v>9</v>
      </c>
      <c r="B12" s="248"/>
      <c r="C12" s="248"/>
      <c r="D12" s="248"/>
      <c r="E12" s="248"/>
      <c r="F12" s="248"/>
      <c r="G12" s="248"/>
      <c r="H12" s="248"/>
      <c r="I12" s="248"/>
      <c r="J12" s="248"/>
      <c r="K12" s="248"/>
      <c r="L12" s="248"/>
      <c r="M12" s="248"/>
      <c r="N12" s="248"/>
      <c r="O12" s="248"/>
      <c r="P12" s="248"/>
      <c r="Q12" s="248"/>
      <c r="R12" s="248"/>
      <c r="S12" s="248"/>
      <c r="T12" s="248"/>
      <c r="U12" s="248"/>
      <c r="V12" s="248"/>
      <c r="W12" s="248"/>
      <c r="X12" s="248"/>
      <c r="Y12" s="248"/>
      <c r="Z12" s="248"/>
    </row>
    <row r="13" ht="27.75" customHeight="1" spans="1:26">
      <c r="A13" s="242" t="s">
        <v>10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/>
      <c r="U13" s="243"/>
      <c r="V13" s="243"/>
      <c r="W13" s="243"/>
      <c r="X13" s="243"/>
      <c r="Y13" s="243"/>
      <c r="Z13" s="243"/>
    </row>
    <row r="14" ht="13.5" customHeight="1" spans="1:26">
      <c r="A14" s="242" t="s">
        <v>11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/>
      <c r="U14" s="243"/>
      <c r="V14" s="243"/>
      <c r="W14" s="243"/>
      <c r="X14" s="243"/>
      <c r="Y14" s="243"/>
      <c r="Z14" s="243"/>
    </row>
    <row r="15" ht="13.5" customHeight="1" spans="1:26">
      <c r="A15" s="244" t="s">
        <v>12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/>
      <c r="U15" s="243"/>
      <c r="V15" s="243"/>
      <c r="W15" s="243"/>
      <c r="X15" s="243"/>
      <c r="Y15" s="243"/>
      <c r="Z15" s="243"/>
    </row>
    <row r="16" ht="13.5" customHeight="1" spans="1:26">
      <c r="A16" s="242"/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/>
      <c r="U16" s="243"/>
      <c r="V16" s="243"/>
      <c r="W16" s="243"/>
      <c r="X16" s="243"/>
      <c r="Y16" s="243"/>
      <c r="Z16" s="243"/>
    </row>
    <row r="17" ht="15.05" spans="1:26">
      <c r="A17" s="247" t="s">
        <v>13</v>
      </c>
      <c r="B17" s="248"/>
      <c r="C17" s="248"/>
      <c r="D17" s="248"/>
      <c r="E17" s="248"/>
      <c r="F17" s="248"/>
      <c r="G17" s="248"/>
      <c r="H17" s="248"/>
      <c r="I17" s="248"/>
      <c r="J17" s="248"/>
      <c r="K17" s="248"/>
      <c r="L17" s="248"/>
      <c r="M17" s="248"/>
      <c r="N17" s="248"/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8"/>
      <c r="Z17" s="248"/>
    </row>
    <row r="18" ht="13.5" customHeight="1" spans="1:26">
      <c r="A18" s="242" t="s">
        <v>14</v>
      </c>
      <c r="B18" s="242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/>
      <c r="U18" s="243"/>
      <c r="V18" s="243"/>
      <c r="W18" s="243"/>
      <c r="X18" s="243"/>
      <c r="Y18" s="243"/>
      <c r="Z18" s="243"/>
    </row>
    <row r="19" ht="13.5" customHeight="1" spans="1:26">
      <c r="A19" s="247" t="s">
        <v>15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/>
      <c r="U19" s="243"/>
      <c r="V19" s="243"/>
      <c r="W19" s="243"/>
      <c r="X19" s="243"/>
      <c r="Y19" s="243"/>
      <c r="Z19" s="243"/>
    </row>
    <row r="20" ht="13.5" customHeight="1" spans="1:26">
      <c r="A20" s="242" t="s">
        <v>16</v>
      </c>
      <c r="B20" s="242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/>
      <c r="U20" s="243"/>
      <c r="V20" s="243"/>
      <c r="W20" s="243"/>
      <c r="X20" s="243"/>
      <c r="Y20" s="243"/>
      <c r="Z20" s="243"/>
    </row>
    <row r="21" ht="27.75" customHeight="1" spans="1:26">
      <c r="A21" s="244" t="s">
        <v>17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/>
      <c r="U21" s="243"/>
      <c r="V21" s="243"/>
      <c r="W21" s="243"/>
      <c r="X21" s="243"/>
      <c r="Y21" s="243"/>
      <c r="Z21" s="243"/>
    </row>
    <row r="22" ht="13.5" customHeight="1" spans="1:26">
      <c r="A22" s="242" t="s">
        <v>18</v>
      </c>
      <c r="B22" s="242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/>
      <c r="U22" s="243"/>
      <c r="V22" s="243"/>
      <c r="W22" s="243"/>
      <c r="X22" s="243"/>
      <c r="Y22" s="243"/>
      <c r="Z22" s="243"/>
    </row>
    <row r="23" ht="13.5" customHeight="1" spans="1:26">
      <c r="A23" s="242" t="s">
        <v>19</v>
      </c>
      <c r="B23" s="242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  <c r="U23" s="243"/>
      <c r="V23" s="243"/>
      <c r="W23" s="243"/>
      <c r="X23" s="243"/>
      <c r="Y23" s="243"/>
      <c r="Z23" s="243"/>
    </row>
    <row r="24" ht="13.5" customHeight="1" spans="1:26">
      <c r="A24" s="242" t="s">
        <v>20</v>
      </c>
      <c r="B24" s="242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  <c r="U24" s="243"/>
      <c r="V24" s="243"/>
      <c r="W24" s="243"/>
      <c r="X24" s="243"/>
      <c r="Y24" s="243"/>
      <c r="Z24" s="243"/>
    </row>
    <row r="25" ht="15.75" customHeight="1" spans="1:26">
      <c r="A25" s="242" t="s">
        <v>21</v>
      </c>
      <c r="B25" s="242"/>
      <c r="C25" s="242" t="s">
        <v>22</v>
      </c>
      <c r="D25" s="242" t="s">
        <v>22</v>
      </c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</row>
    <row r="26" ht="13.5" customHeight="1" spans="1:26">
      <c r="A26" s="242" t="s">
        <v>23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</row>
    <row r="27" ht="13.5" customHeight="1" spans="1:26">
      <c r="A27" s="242" t="s">
        <v>24</v>
      </c>
      <c r="B27" s="242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</row>
    <row r="28" ht="13.5" customHeight="1" spans="1:26">
      <c r="A28" s="242" t="s">
        <v>25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</row>
    <row r="29" ht="13.5" customHeight="1" spans="1:26">
      <c r="A29" s="242" t="s">
        <v>26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</row>
    <row r="30" ht="15.75" customHeight="1" spans="1:26">
      <c r="A30" s="242" t="s">
        <v>27</v>
      </c>
      <c r="B30" s="242"/>
      <c r="C30" s="242" t="s">
        <v>22</v>
      </c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</row>
    <row r="31" ht="13.5" customHeight="1" spans="1:26">
      <c r="A31" s="247" t="s">
        <v>28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</row>
    <row r="32" ht="30" customHeight="1" spans="1:26">
      <c r="A32" s="244" t="s">
        <v>29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</row>
    <row r="33" ht="13.5" customHeight="1" spans="1:26">
      <c r="A33" s="242" t="s">
        <v>30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</row>
    <row r="34" ht="13.5" customHeight="1" spans="1:26">
      <c r="A34" s="242" t="s">
        <v>31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</row>
    <row r="35" ht="13.5" customHeight="1" spans="1:26">
      <c r="A35" s="242" t="s">
        <v>32</v>
      </c>
      <c r="B35" s="242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</row>
    <row r="36" ht="13.5" customHeight="1" spans="1:26">
      <c r="A36" s="242" t="s">
        <v>33</v>
      </c>
      <c r="B36" s="242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</row>
    <row r="37" ht="13.5" customHeight="1" spans="1:26">
      <c r="A37" s="247" t="s">
        <v>34</v>
      </c>
      <c r="B37" s="243"/>
      <c r="C37" s="243"/>
      <c r="D37" s="243"/>
      <c r="E37" s="243"/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</row>
    <row r="38" ht="13.5" customHeight="1" spans="1:26">
      <c r="A38" s="242" t="s">
        <v>35</v>
      </c>
      <c r="B38" s="243"/>
      <c r="C38" s="243"/>
      <c r="D38" s="243"/>
      <c r="E38" s="243"/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</row>
    <row r="39" ht="42" customHeight="1" spans="1:26">
      <c r="A39" s="244" t="s">
        <v>36</v>
      </c>
      <c r="B39" s="242"/>
      <c r="C39" s="243"/>
      <c r="D39" s="243"/>
      <c r="E39" s="243"/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</row>
    <row r="40" ht="13.5" customHeight="1" spans="1:26">
      <c r="A40" s="244"/>
      <c r="B40" s="242"/>
      <c r="C40" s="243"/>
      <c r="D40" s="243"/>
      <c r="E40" s="243"/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</row>
    <row r="41" ht="15.75" customHeight="1" spans="1:26">
      <c r="A41" s="247" t="s">
        <v>37</v>
      </c>
      <c r="B41" s="248"/>
      <c r="C41" s="248"/>
      <c r="D41" s="248"/>
      <c r="E41" s="248"/>
      <c r="F41" s="248"/>
      <c r="G41" s="248"/>
      <c r="H41" s="248"/>
      <c r="I41" s="248"/>
      <c r="J41" s="248"/>
      <c r="K41" s="248"/>
      <c r="L41" s="248"/>
      <c r="M41" s="248"/>
      <c r="N41" s="248"/>
      <c r="O41" s="248"/>
      <c r="P41" s="248"/>
      <c r="Q41" s="248"/>
      <c r="R41" s="248"/>
      <c r="S41" s="248"/>
      <c r="T41" s="248"/>
      <c r="U41" s="248"/>
      <c r="V41" s="248"/>
      <c r="W41" s="248"/>
      <c r="X41" s="248"/>
      <c r="Y41" s="248"/>
      <c r="Z41" s="248"/>
    </row>
    <row r="42" ht="13.5" customHeight="1" spans="1:26">
      <c r="A42" s="242" t="s">
        <v>38</v>
      </c>
      <c r="B42" s="243"/>
      <c r="C42" s="243"/>
      <c r="D42" s="243"/>
      <c r="E42" s="243"/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</row>
    <row r="43" ht="13.5" customHeight="1" spans="1:26">
      <c r="A43" s="242" t="s">
        <v>39</v>
      </c>
      <c r="B43" s="243"/>
      <c r="C43" s="243"/>
      <c r="D43" s="243"/>
      <c r="E43" s="243"/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</row>
    <row r="44" ht="13.5" customHeight="1" spans="1:26">
      <c r="A44" s="242" t="s">
        <v>40</v>
      </c>
      <c r="B44" s="243"/>
      <c r="C44" s="243"/>
      <c r="D44" s="243"/>
      <c r="E44" s="243"/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</row>
    <row r="45" ht="13.5" customHeight="1" spans="1:26">
      <c r="A45" s="242" t="s">
        <v>41</v>
      </c>
      <c r="B45" s="243"/>
      <c r="C45" s="243"/>
      <c r="D45" s="243"/>
      <c r="E45" s="243"/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</row>
    <row r="46" ht="13.5" customHeight="1" spans="1:26">
      <c r="A46" s="242" t="s">
        <v>42</v>
      </c>
      <c r="B46" s="243"/>
      <c r="C46" s="243"/>
      <c r="D46" s="243"/>
      <c r="E46" s="243"/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/>
      <c r="V46" s="243"/>
      <c r="W46" s="243"/>
      <c r="X46" s="243"/>
      <c r="Y46" s="243"/>
      <c r="Z46" s="243"/>
    </row>
    <row r="47" ht="13.5" customHeight="1" spans="1:26">
      <c r="A47" s="242" t="s">
        <v>43</v>
      </c>
      <c r="B47" s="243"/>
      <c r="C47" s="243"/>
      <c r="D47" s="243"/>
      <c r="E47" s="243"/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</row>
    <row r="48" ht="15.75" customHeight="1" spans="1:26">
      <c r="A48" s="242" t="s">
        <v>44</v>
      </c>
      <c r="B48" s="243"/>
      <c r="C48" s="243"/>
      <c r="D48" s="243"/>
      <c r="E48" s="243"/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/>
      <c r="V48" s="243"/>
      <c r="W48" s="243"/>
      <c r="X48" s="243"/>
      <c r="Y48" s="243"/>
      <c r="Z48" s="243"/>
    </row>
    <row r="49" ht="13.5" customHeight="1" spans="1:26">
      <c r="A49" s="242"/>
      <c r="B49" s="243"/>
      <c r="C49" s="243"/>
      <c r="D49" s="243"/>
      <c r="E49" s="243"/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/>
      <c r="V49" s="243"/>
      <c r="W49" s="243"/>
      <c r="X49" s="243"/>
      <c r="Y49" s="243"/>
      <c r="Z49" s="243"/>
    </row>
    <row r="50" ht="13.5" customHeight="1" spans="1:26">
      <c r="A50" s="243"/>
      <c r="B50" s="243"/>
      <c r="C50" s="243"/>
      <c r="D50" s="243"/>
      <c r="E50" s="243"/>
      <c r="F50" s="243"/>
      <c r="G50" s="243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</row>
    <row r="51" ht="13.5" customHeight="1" spans="1:26">
      <c r="A51" s="243"/>
      <c r="B51" s="243"/>
      <c r="C51" s="243"/>
      <c r="D51" s="243"/>
      <c r="E51" s="243"/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3"/>
    </row>
    <row r="52" ht="13.5" customHeight="1" spans="1:26">
      <c r="A52" s="243"/>
      <c r="B52" s="243"/>
      <c r="C52" s="243"/>
      <c r="D52" s="243"/>
      <c r="E52" s="243"/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3"/>
      <c r="X52" s="243"/>
      <c r="Y52" s="243"/>
      <c r="Z52" s="243"/>
    </row>
    <row r="53" ht="13.5" customHeight="1" spans="1:26">
      <c r="A53" s="243"/>
      <c r="B53" s="243"/>
      <c r="C53" s="243"/>
      <c r="D53" s="243"/>
      <c r="E53" s="243"/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</row>
    <row r="54" ht="13.5" customHeight="1" spans="1:26">
      <c r="A54" s="243"/>
      <c r="B54" s="243"/>
      <c r="C54" s="243"/>
      <c r="D54" s="243"/>
      <c r="E54" s="243"/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</row>
    <row r="55" ht="13.5" customHeight="1" spans="1:26">
      <c r="A55" s="243"/>
      <c r="B55" s="243"/>
      <c r="C55" s="243"/>
      <c r="D55" s="243"/>
      <c r="E55" s="243"/>
      <c r="F55" s="243"/>
      <c r="G55" s="243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43"/>
      <c r="T55" s="243"/>
      <c r="U55" s="243"/>
      <c r="V55" s="243"/>
      <c r="W55" s="243"/>
      <c r="X55" s="243"/>
      <c r="Y55" s="243"/>
      <c r="Z55" s="243"/>
    </row>
    <row r="56" ht="13.5" customHeight="1" spans="1:26">
      <c r="A56" s="243"/>
      <c r="B56" s="243"/>
      <c r="C56" s="243"/>
      <c r="D56" s="243"/>
      <c r="E56" s="243"/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</row>
    <row r="57" ht="13.5" customHeight="1" spans="1:26">
      <c r="A57" s="243"/>
      <c r="B57" s="243"/>
      <c r="C57" s="243"/>
      <c r="D57" s="243"/>
      <c r="E57" s="243"/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3"/>
      <c r="X57" s="243"/>
      <c r="Y57" s="243"/>
      <c r="Z57" s="243"/>
    </row>
    <row r="58" ht="13.5" customHeight="1" spans="1:26">
      <c r="A58" s="243"/>
      <c r="B58" s="243"/>
      <c r="C58" s="243"/>
      <c r="D58" s="243"/>
      <c r="E58" s="243"/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</row>
    <row r="59" ht="13.5" customHeight="1" spans="1:26">
      <c r="A59" s="243"/>
      <c r="B59" s="243"/>
      <c r="C59" s="243"/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</row>
    <row r="60" ht="13.5" customHeight="1" spans="1:26">
      <c r="A60" s="243"/>
      <c r="B60" s="243"/>
      <c r="C60" s="243"/>
      <c r="D60" s="243"/>
      <c r="E60" s="243"/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3"/>
      <c r="X60" s="243"/>
      <c r="Y60" s="243"/>
      <c r="Z60" s="243"/>
    </row>
    <row r="61" ht="13.5" customHeight="1" spans="1:26">
      <c r="A61" s="243"/>
      <c r="B61" s="243"/>
      <c r="C61" s="243"/>
      <c r="D61" s="243"/>
      <c r="E61" s="243"/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3"/>
      <c r="X61" s="243"/>
      <c r="Y61" s="243"/>
      <c r="Z61" s="243"/>
    </row>
    <row r="62" ht="13.5" customHeight="1" spans="1:26">
      <c r="A62" s="243"/>
      <c r="B62" s="243"/>
      <c r="C62" s="243"/>
      <c r="D62" s="243"/>
      <c r="E62" s="243"/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</row>
    <row r="63" ht="13.5" customHeight="1" spans="1:26">
      <c r="A63" s="243"/>
      <c r="B63" s="243"/>
      <c r="C63" s="243"/>
      <c r="D63" s="243"/>
      <c r="E63" s="243"/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43"/>
      <c r="T63" s="243"/>
      <c r="U63" s="243"/>
      <c r="V63" s="243"/>
      <c r="W63" s="243"/>
      <c r="X63" s="243"/>
      <c r="Y63" s="243"/>
      <c r="Z63" s="243"/>
    </row>
    <row r="64" ht="13.5" customHeight="1" spans="1:26">
      <c r="A64" s="243"/>
      <c r="B64" s="243"/>
      <c r="C64" s="243"/>
      <c r="D64" s="243"/>
      <c r="E64" s="243"/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</row>
    <row r="65" ht="13.5" customHeight="1" spans="1:26">
      <c r="A65" s="243"/>
      <c r="B65" s="243"/>
      <c r="C65" s="243"/>
      <c r="D65" s="243"/>
      <c r="E65" s="243"/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/>
      <c r="Q65" s="243"/>
      <c r="R65" s="243"/>
      <c r="S65" s="243"/>
      <c r="T65" s="243"/>
      <c r="U65" s="243"/>
      <c r="V65" s="243"/>
      <c r="W65" s="243"/>
      <c r="X65" s="243"/>
      <c r="Y65" s="243"/>
      <c r="Z65" s="243"/>
    </row>
    <row r="66" ht="13.5" customHeight="1" spans="1:26">
      <c r="A66" s="243"/>
      <c r="B66" s="243"/>
      <c r="C66" s="243"/>
      <c r="D66" s="243"/>
      <c r="E66" s="243"/>
      <c r="F66" s="243"/>
      <c r="G66" s="243"/>
      <c r="H66" s="243"/>
      <c r="I66" s="243"/>
      <c r="J66" s="243"/>
      <c r="K66" s="243"/>
      <c r="L66" s="243"/>
      <c r="M66" s="243"/>
      <c r="N66" s="243"/>
      <c r="O66" s="243"/>
      <c r="P66" s="243"/>
      <c r="Q66" s="243"/>
      <c r="R66" s="243"/>
      <c r="S66" s="243"/>
      <c r="T66" s="243"/>
      <c r="U66" s="243"/>
      <c r="V66" s="243"/>
      <c r="W66" s="243"/>
      <c r="X66" s="243"/>
      <c r="Y66" s="243"/>
      <c r="Z66" s="243"/>
    </row>
    <row r="67" ht="13.5" customHeight="1" spans="1:26">
      <c r="A67" s="243"/>
      <c r="B67" s="243"/>
      <c r="C67" s="243"/>
      <c r="D67" s="243"/>
      <c r="E67" s="243"/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</row>
    <row r="68" ht="13.5" customHeight="1" spans="1:26">
      <c r="A68" s="243"/>
      <c r="B68" s="243"/>
      <c r="C68" s="243"/>
      <c r="D68" s="243"/>
      <c r="E68" s="243"/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/>
      <c r="Q68" s="243"/>
      <c r="R68" s="243"/>
      <c r="S68" s="243"/>
      <c r="T68" s="243"/>
      <c r="U68" s="243"/>
      <c r="V68" s="243"/>
      <c r="W68" s="243"/>
      <c r="X68" s="243"/>
      <c r="Y68" s="243"/>
      <c r="Z68" s="243"/>
    </row>
    <row r="69" ht="13.5" customHeight="1" spans="1:26">
      <c r="A69" s="243"/>
      <c r="B69" s="243"/>
      <c r="C69" s="243"/>
      <c r="D69" s="243"/>
      <c r="E69" s="243"/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/>
      <c r="Q69" s="243"/>
      <c r="R69" s="243"/>
      <c r="S69" s="243"/>
      <c r="T69" s="243"/>
      <c r="U69" s="243"/>
      <c r="V69" s="243"/>
      <c r="W69" s="243"/>
      <c r="X69" s="243"/>
      <c r="Y69" s="243"/>
      <c r="Z69" s="243"/>
    </row>
    <row r="70" ht="13.5" customHeight="1" spans="1:26">
      <c r="A70" s="243"/>
      <c r="B70" s="243"/>
      <c r="C70" s="243"/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/>
      <c r="V70" s="243"/>
      <c r="W70" s="243"/>
      <c r="X70" s="243"/>
      <c r="Y70" s="243"/>
      <c r="Z70" s="243"/>
    </row>
    <row r="71" ht="13.5" customHeight="1" spans="1:26">
      <c r="A71" s="243"/>
      <c r="B71" s="243"/>
      <c r="C71" s="243"/>
      <c r="D71" s="243"/>
      <c r="E71" s="243"/>
      <c r="F71" s="243"/>
      <c r="G71" s="243"/>
      <c r="H71" s="243"/>
      <c r="I71" s="243"/>
      <c r="J71" s="243"/>
      <c r="K71" s="243"/>
      <c r="L71" s="243"/>
      <c r="M71" s="243"/>
      <c r="N71" s="243"/>
      <c r="O71" s="243"/>
      <c r="P71" s="243"/>
      <c r="Q71" s="243"/>
      <c r="R71" s="243"/>
      <c r="S71" s="243"/>
      <c r="T71" s="243"/>
      <c r="U71" s="243"/>
      <c r="V71" s="243"/>
      <c r="W71" s="243"/>
      <c r="X71" s="243"/>
      <c r="Y71" s="243"/>
      <c r="Z71" s="243"/>
    </row>
    <row r="72" ht="13.5" customHeight="1" spans="1:26">
      <c r="A72" s="243"/>
      <c r="B72" s="243"/>
      <c r="C72" s="243"/>
      <c r="D72" s="243"/>
      <c r="E72" s="243"/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/>
      <c r="Q72" s="243"/>
      <c r="R72" s="243"/>
      <c r="S72" s="243"/>
      <c r="T72" s="243"/>
      <c r="U72" s="243"/>
      <c r="V72" s="243"/>
      <c r="W72" s="243"/>
      <c r="X72" s="243"/>
      <c r="Y72" s="243"/>
      <c r="Z72" s="243"/>
    </row>
    <row r="73" ht="13.5" customHeight="1" spans="1:26">
      <c r="A73" s="243"/>
      <c r="B73" s="243"/>
      <c r="C73" s="243"/>
      <c r="D73" s="243"/>
      <c r="E73" s="243"/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43"/>
      <c r="T73" s="243"/>
      <c r="U73" s="243"/>
      <c r="V73" s="243"/>
      <c r="W73" s="243"/>
      <c r="X73" s="243"/>
      <c r="Y73" s="243"/>
      <c r="Z73" s="243"/>
    </row>
    <row r="74" ht="13.5" customHeight="1" spans="1:26">
      <c r="A74" s="243"/>
      <c r="B74" s="243"/>
      <c r="C74" s="243"/>
      <c r="D74" s="243"/>
      <c r="E74" s="243"/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/>
      <c r="Q74" s="243"/>
      <c r="R74" s="243"/>
      <c r="S74" s="243"/>
      <c r="T74" s="243"/>
      <c r="U74" s="243"/>
      <c r="V74" s="243"/>
      <c r="W74" s="243"/>
      <c r="X74" s="243"/>
      <c r="Y74" s="243"/>
      <c r="Z74" s="243"/>
    </row>
    <row r="75" ht="13.5" customHeight="1" spans="1:26">
      <c r="A75" s="243"/>
      <c r="B75" s="243"/>
      <c r="C75" s="243"/>
      <c r="D75" s="243"/>
      <c r="E75" s="243"/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3"/>
      <c r="X75" s="243"/>
      <c r="Y75" s="243"/>
      <c r="Z75" s="243"/>
    </row>
    <row r="76" ht="13.5" customHeight="1" spans="1:26">
      <c r="A76" s="243"/>
      <c r="B76" s="243"/>
      <c r="C76" s="243"/>
      <c r="D76" s="243"/>
      <c r="E76" s="243"/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43"/>
      <c r="T76" s="243"/>
      <c r="U76" s="243"/>
      <c r="V76" s="243"/>
      <c r="W76" s="243"/>
      <c r="X76" s="243"/>
      <c r="Y76" s="243"/>
      <c r="Z76" s="243"/>
    </row>
    <row r="77" ht="13.5" customHeight="1" spans="1:26">
      <c r="A77" s="243"/>
      <c r="B77" s="243"/>
      <c r="C77" s="243"/>
      <c r="D77" s="243"/>
      <c r="E77" s="243"/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/>
      <c r="Q77" s="243"/>
      <c r="R77" s="243"/>
      <c r="S77" s="243"/>
      <c r="T77" s="243"/>
      <c r="U77" s="243"/>
      <c r="V77" s="243"/>
      <c r="W77" s="243"/>
      <c r="X77" s="243"/>
      <c r="Y77" s="243"/>
      <c r="Z77" s="243"/>
    </row>
    <row r="78" ht="13.5" customHeight="1" spans="1:26">
      <c r="A78" s="243"/>
      <c r="B78" s="243"/>
      <c r="C78" s="243"/>
      <c r="D78" s="243"/>
      <c r="E78" s="243"/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/>
      <c r="Q78" s="243"/>
      <c r="R78" s="243"/>
      <c r="S78" s="243"/>
      <c r="T78" s="243"/>
      <c r="U78" s="243"/>
      <c r="V78" s="243"/>
      <c r="W78" s="243"/>
      <c r="X78" s="243"/>
      <c r="Y78" s="243"/>
      <c r="Z78" s="243"/>
    </row>
    <row r="79" ht="13.5" customHeight="1" spans="1:26">
      <c r="A79" s="243"/>
      <c r="B79" s="243"/>
      <c r="C79" s="243"/>
      <c r="D79" s="243"/>
      <c r="E79" s="243"/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3"/>
      <c r="X79" s="243"/>
      <c r="Y79" s="243"/>
      <c r="Z79" s="243"/>
    </row>
    <row r="80" ht="13.5" customHeight="1" spans="1:26">
      <c r="A80" s="243"/>
      <c r="B80" s="243"/>
      <c r="C80" s="243"/>
      <c r="D80" s="243"/>
      <c r="E80" s="243"/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</row>
    <row r="81" ht="13.5" customHeight="1" spans="1:26">
      <c r="A81" s="243"/>
      <c r="B81" s="243"/>
      <c r="C81" s="243"/>
      <c r="D81" s="243"/>
      <c r="E81" s="243"/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3"/>
      <c r="X81" s="243"/>
      <c r="Y81" s="243"/>
      <c r="Z81" s="243"/>
    </row>
    <row r="82" ht="13.5" customHeight="1" spans="1:26">
      <c r="A82" s="243"/>
      <c r="B82" s="243"/>
      <c r="C82" s="243"/>
      <c r="D82" s="243"/>
      <c r="E82" s="243"/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</row>
    <row r="83" ht="13.5" customHeight="1" spans="1:26">
      <c r="A83" s="243"/>
      <c r="B83" s="243"/>
      <c r="C83" s="243"/>
      <c r="D83" s="243"/>
      <c r="E83" s="243"/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/>
      <c r="Q83" s="243"/>
      <c r="R83" s="243"/>
      <c r="S83" s="243"/>
      <c r="T83" s="243"/>
      <c r="U83" s="243"/>
      <c r="V83" s="243"/>
      <c r="W83" s="243"/>
      <c r="X83" s="243"/>
      <c r="Y83" s="243"/>
      <c r="Z83" s="243"/>
    </row>
    <row r="84" ht="13.5" customHeight="1" spans="1:26">
      <c r="A84" s="243"/>
      <c r="B84" s="243"/>
      <c r="C84" s="243"/>
      <c r="D84" s="243"/>
      <c r="E84" s="243"/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/>
      <c r="Q84" s="243"/>
      <c r="R84" s="243"/>
      <c r="S84" s="243"/>
      <c r="T84" s="243"/>
      <c r="U84" s="243"/>
      <c r="V84" s="243"/>
      <c r="W84" s="243"/>
      <c r="X84" s="243"/>
      <c r="Y84" s="243"/>
      <c r="Z84" s="243"/>
    </row>
    <row r="85" ht="13.5" customHeight="1" spans="1:26">
      <c r="A85" s="243"/>
      <c r="B85" s="243"/>
      <c r="C85" s="243"/>
      <c r="D85" s="243"/>
      <c r="E85" s="243"/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3"/>
      <c r="X85" s="243"/>
      <c r="Y85" s="243"/>
      <c r="Z85" s="243"/>
    </row>
    <row r="86" ht="13.5" customHeight="1" spans="1:26">
      <c r="A86" s="243"/>
      <c r="B86" s="243"/>
      <c r="C86" s="243"/>
      <c r="D86" s="243"/>
      <c r="E86" s="243"/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/>
      <c r="Q86" s="243"/>
      <c r="R86" s="243"/>
      <c r="S86" s="243"/>
      <c r="T86" s="243"/>
      <c r="U86" s="243"/>
      <c r="V86" s="243"/>
      <c r="W86" s="243"/>
      <c r="X86" s="243"/>
      <c r="Y86" s="243"/>
      <c r="Z86" s="243"/>
    </row>
    <row r="87" ht="13.5" customHeight="1" spans="1:26">
      <c r="A87" s="243"/>
      <c r="B87" s="243"/>
      <c r="C87" s="243"/>
      <c r="D87" s="243"/>
      <c r="E87" s="243"/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3"/>
      <c r="V87" s="243"/>
      <c r="W87" s="243"/>
      <c r="X87" s="243"/>
      <c r="Y87" s="243"/>
      <c r="Z87" s="243"/>
    </row>
    <row r="88" ht="13.5" customHeight="1" spans="1:26">
      <c r="A88" s="243"/>
      <c r="B88" s="243"/>
      <c r="C88" s="243"/>
      <c r="D88" s="243"/>
      <c r="E88" s="243"/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43"/>
      <c r="T88" s="243"/>
      <c r="U88" s="243"/>
      <c r="V88" s="243"/>
      <c r="W88" s="243"/>
      <c r="X88" s="243"/>
      <c r="Y88" s="243"/>
      <c r="Z88" s="243"/>
    </row>
    <row r="89" ht="13.5" customHeight="1" spans="1:26">
      <c r="A89" s="243"/>
      <c r="B89" s="243"/>
      <c r="C89" s="243"/>
      <c r="D89" s="243"/>
      <c r="E89" s="243"/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/>
      <c r="Q89" s="243"/>
      <c r="R89" s="243"/>
      <c r="S89" s="243"/>
      <c r="T89" s="243"/>
      <c r="U89" s="243"/>
      <c r="V89" s="243"/>
      <c r="W89" s="243"/>
      <c r="X89" s="243"/>
      <c r="Y89" s="243"/>
      <c r="Z89" s="243"/>
    </row>
    <row r="90" ht="13.5" customHeight="1" spans="1:26">
      <c r="A90" s="243"/>
      <c r="B90" s="243"/>
      <c r="C90" s="243"/>
      <c r="D90" s="243"/>
      <c r="E90" s="243"/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/>
      <c r="Q90" s="243"/>
      <c r="R90" s="243"/>
      <c r="S90" s="243"/>
      <c r="T90" s="243"/>
      <c r="U90" s="243"/>
      <c r="V90" s="243"/>
      <c r="W90" s="243"/>
      <c r="X90" s="243"/>
      <c r="Y90" s="243"/>
      <c r="Z90" s="243"/>
    </row>
    <row r="91" ht="13.5" customHeight="1" spans="1:26">
      <c r="A91" s="243"/>
      <c r="B91" s="243"/>
      <c r="C91" s="243"/>
      <c r="D91" s="243"/>
      <c r="E91" s="243"/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/>
      <c r="Q91" s="243"/>
      <c r="R91" s="243"/>
      <c r="S91" s="243"/>
      <c r="T91" s="243"/>
      <c r="U91" s="243"/>
      <c r="V91" s="243"/>
      <c r="W91" s="243"/>
      <c r="X91" s="243"/>
      <c r="Y91" s="243"/>
      <c r="Z91" s="243"/>
    </row>
    <row r="92" ht="13.5" customHeight="1" spans="1:26">
      <c r="A92" s="243"/>
      <c r="B92" s="243"/>
      <c r="C92" s="243"/>
      <c r="D92" s="243"/>
      <c r="E92" s="243"/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43"/>
      <c r="T92" s="243"/>
      <c r="U92" s="243"/>
      <c r="V92" s="243"/>
      <c r="W92" s="243"/>
      <c r="X92" s="243"/>
      <c r="Y92" s="243"/>
      <c r="Z92" s="243"/>
    </row>
    <row r="93" ht="13.5" customHeight="1" spans="1:26">
      <c r="A93" s="243"/>
      <c r="B93" s="243"/>
      <c r="C93" s="243"/>
      <c r="D93" s="243"/>
      <c r="E93" s="243"/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/>
      <c r="Q93" s="243"/>
      <c r="R93" s="243"/>
      <c r="S93" s="243"/>
      <c r="T93" s="243"/>
      <c r="U93" s="243"/>
      <c r="V93" s="243"/>
      <c r="W93" s="243"/>
      <c r="X93" s="243"/>
      <c r="Y93" s="243"/>
      <c r="Z93" s="243"/>
    </row>
    <row r="94" ht="13.5" customHeight="1" spans="1:26">
      <c r="A94" s="243"/>
      <c r="B94" s="243"/>
      <c r="C94" s="243"/>
      <c r="D94" s="243"/>
      <c r="E94" s="243"/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/>
      <c r="Q94" s="243"/>
      <c r="R94" s="243"/>
      <c r="S94" s="243"/>
      <c r="T94" s="243"/>
      <c r="U94" s="243"/>
      <c r="V94" s="243"/>
      <c r="W94" s="243"/>
      <c r="X94" s="243"/>
      <c r="Y94" s="243"/>
      <c r="Z94" s="243"/>
    </row>
    <row r="95" ht="13.5" customHeight="1" spans="1:26">
      <c r="A95" s="243"/>
      <c r="B95" s="243"/>
      <c r="C95" s="243"/>
      <c r="D95" s="243"/>
      <c r="E95" s="243"/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43"/>
      <c r="T95" s="243"/>
      <c r="U95" s="243"/>
      <c r="V95" s="243"/>
      <c r="W95" s="243"/>
      <c r="X95" s="243"/>
      <c r="Y95" s="243"/>
      <c r="Z95" s="243"/>
    </row>
    <row r="96" ht="13.5" customHeight="1" spans="1:26">
      <c r="A96" s="243"/>
      <c r="B96" s="243"/>
      <c r="C96" s="243"/>
      <c r="D96" s="243"/>
      <c r="E96" s="243"/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/>
      <c r="Q96" s="243"/>
      <c r="R96" s="243"/>
      <c r="S96" s="243"/>
      <c r="T96" s="243"/>
      <c r="U96" s="243"/>
      <c r="V96" s="243"/>
      <c r="W96" s="243"/>
      <c r="X96" s="243"/>
      <c r="Y96" s="243"/>
      <c r="Z96" s="243"/>
    </row>
    <row r="97" ht="13.5" customHeight="1" spans="1:26">
      <c r="A97" s="243"/>
      <c r="B97" s="243"/>
      <c r="C97" s="243"/>
      <c r="D97" s="243"/>
      <c r="E97" s="243"/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43"/>
      <c r="T97" s="243"/>
      <c r="U97" s="243"/>
      <c r="V97" s="243"/>
      <c r="W97" s="243"/>
      <c r="X97" s="243"/>
      <c r="Y97" s="243"/>
      <c r="Z97" s="243"/>
    </row>
    <row r="98" ht="13.5" customHeight="1" spans="1:26">
      <c r="A98" s="243"/>
      <c r="B98" s="243"/>
      <c r="C98" s="243"/>
      <c r="D98" s="243"/>
      <c r="E98" s="243"/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</row>
    <row r="99" ht="13.5" customHeight="1" spans="1:26">
      <c r="A99" s="243"/>
      <c r="B99" s="243"/>
      <c r="C99" s="243"/>
      <c r="D99" s="243"/>
      <c r="E99" s="243"/>
      <c r="F99" s="243"/>
      <c r="G99" s="243"/>
      <c r="H99" s="243"/>
      <c r="I99" s="243"/>
      <c r="J99" s="243"/>
      <c r="K99" s="243"/>
      <c r="L99" s="243"/>
      <c r="M99" s="243"/>
      <c r="N99" s="243"/>
      <c r="O99" s="243"/>
      <c r="P99" s="243"/>
      <c r="Q99" s="243"/>
      <c r="R99" s="243"/>
      <c r="S99" s="243"/>
      <c r="T99" s="243"/>
      <c r="U99" s="243"/>
      <c r="V99" s="243"/>
      <c r="W99" s="243"/>
      <c r="X99" s="243"/>
      <c r="Y99" s="243"/>
      <c r="Z99" s="243"/>
    </row>
    <row r="100" ht="13.5" customHeight="1" spans="1:26">
      <c r="A100" s="243"/>
      <c r="B100" s="243"/>
      <c r="C100" s="243"/>
      <c r="D100" s="243"/>
      <c r="E100" s="243"/>
      <c r="F100" s="243"/>
      <c r="G100" s="243"/>
      <c r="H100" s="243"/>
      <c r="I100" s="243"/>
      <c r="J100" s="243"/>
      <c r="K100" s="243"/>
      <c r="L100" s="243"/>
      <c r="M100" s="243"/>
      <c r="N100" s="243"/>
      <c r="O100" s="243"/>
      <c r="P100" s="243"/>
      <c r="Q100" s="243"/>
      <c r="R100" s="243"/>
      <c r="S100" s="243"/>
      <c r="T100" s="243"/>
      <c r="U100" s="243"/>
      <c r="V100" s="243"/>
      <c r="W100" s="243"/>
      <c r="X100" s="243"/>
      <c r="Y100" s="243"/>
      <c r="Z100" s="243"/>
    </row>
    <row r="101" ht="13.5" customHeight="1" spans="1:26">
      <c r="A101" s="243"/>
      <c r="B101" s="243"/>
      <c r="C101" s="243"/>
      <c r="D101" s="243"/>
      <c r="E101" s="243"/>
      <c r="F101" s="243"/>
      <c r="G101" s="243"/>
      <c r="H101" s="243"/>
      <c r="I101" s="243"/>
      <c r="J101" s="243"/>
      <c r="K101" s="243"/>
      <c r="L101" s="243"/>
      <c r="M101" s="243"/>
      <c r="N101" s="243"/>
      <c r="O101" s="243"/>
      <c r="P101" s="243"/>
      <c r="Q101" s="243"/>
      <c r="R101" s="243"/>
      <c r="S101" s="243"/>
      <c r="T101" s="243"/>
      <c r="U101" s="243"/>
      <c r="V101" s="243"/>
      <c r="W101" s="243"/>
      <c r="X101" s="243"/>
      <c r="Y101" s="243"/>
      <c r="Z101" s="243"/>
    </row>
    <row r="102" ht="13.5" customHeight="1" spans="1:26">
      <c r="A102" s="243"/>
      <c r="B102" s="243"/>
      <c r="C102" s="243"/>
      <c r="D102" s="243"/>
      <c r="E102" s="243"/>
      <c r="F102" s="243"/>
      <c r="G102" s="243"/>
      <c r="H102" s="243"/>
      <c r="I102" s="243"/>
      <c r="J102" s="243"/>
      <c r="K102" s="243"/>
      <c r="L102" s="243"/>
      <c r="M102" s="243"/>
      <c r="N102" s="243"/>
      <c r="O102" s="243"/>
      <c r="P102" s="243"/>
      <c r="Q102" s="243"/>
      <c r="R102" s="243"/>
      <c r="S102" s="243"/>
      <c r="T102" s="243"/>
      <c r="U102" s="243"/>
      <c r="V102" s="243"/>
      <c r="W102" s="243"/>
      <c r="X102" s="243"/>
      <c r="Y102" s="243"/>
      <c r="Z102" s="243"/>
    </row>
    <row r="103" ht="13.5" customHeight="1" spans="1:26">
      <c r="A103" s="243"/>
      <c r="B103" s="243"/>
      <c r="C103" s="243"/>
      <c r="D103" s="243"/>
      <c r="E103" s="243"/>
      <c r="F103" s="243"/>
      <c r="G103" s="243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</row>
    <row r="104" ht="13.5" customHeight="1" spans="1:26">
      <c r="A104" s="243"/>
      <c r="B104" s="243"/>
      <c r="C104" s="243"/>
      <c r="D104" s="243"/>
      <c r="E104" s="243"/>
      <c r="F104" s="243"/>
      <c r="G104" s="243"/>
      <c r="H104" s="243"/>
      <c r="I104" s="243"/>
      <c r="J104" s="243"/>
      <c r="K104" s="243"/>
      <c r="L104" s="243"/>
      <c r="M104" s="243"/>
      <c r="N104" s="243"/>
      <c r="O104" s="243"/>
      <c r="P104" s="243"/>
      <c r="Q104" s="243"/>
      <c r="R104" s="243"/>
      <c r="S104" s="243"/>
      <c r="T104" s="243"/>
      <c r="U104" s="243"/>
      <c r="V104" s="243"/>
      <c r="W104" s="243"/>
      <c r="X104" s="243"/>
      <c r="Y104" s="243"/>
      <c r="Z104" s="243"/>
    </row>
    <row r="105" ht="13.5" customHeight="1" spans="1:26">
      <c r="A105" s="243"/>
      <c r="B105" s="243"/>
      <c r="C105" s="243"/>
      <c r="D105" s="243"/>
      <c r="E105" s="243"/>
      <c r="F105" s="243"/>
      <c r="G105" s="243"/>
      <c r="H105" s="243"/>
      <c r="I105" s="243"/>
      <c r="J105" s="243"/>
      <c r="K105" s="243"/>
      <c r="L105" s="243"/>
      <c r="M105" s="243"/>
      <c r="N105" s="243"/>
      <c r="O105" s="243"/>
      <c r="P105" s="243"/>
      <c r="Q105" s="243"/>
      <c r="R105" s="243"/>
      <c r="S105" s="243"/>
      <c r="T105" s="243"/>
      <c r="U105" s="243"/>
      <c r="V105" s="243"/>
      <c r="W105" s="243"/>
      <c r="X105" s="243"/>
      <c r="Y105" s="243"/>
      <c r="Z105" s="243"/>
    </row>
    <row r="106" ht="13.5" customHeight="1" spans="1:26">
      <c r="A106" s="243"/>
      <c r="B106" s="243"/>
      <c r="C106" s="243"/>
      <c r="D106" s="243"/>
      <c r="E106" s="243"/>
      <c r="F106" s="243"/>
      <c r="G106" s="243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</row>
    <row r="107" ht="13.5" customHeight="1" spans="1:26">
      <c r="A107" s="243"/>
      <c r="B107" s="243"/>
      <c r="C107" s="243"/>
      <c r="D107" s="243"/>
      <c r="E107" s="243"/>
      <c r="F107" s="243"/>
      <c r="G107" s="243"/>
      <c r="H107" s="243"/>
      <c r="I107" s="243"/>
      <c r="J107" s="243"/>
      <c r="K107" s="243"/>
      <c r="L107" s="243"/>
      <c r="M107" s="243"/>
      <c r="N107" s="243"/>
      <c r="O107" s="243"/>
      <c r="P107" s="243"/>
      <c r="Q107" s="243"/>
      <c r="R107" s="243"/>
      <c r="S107" s="243"/>
      <c r="T107" s="243"/>
      <c r="U107" s="243"/>
      <c r="V107" s="243"/>
      <c r="W107" s="243"/>
      <c r="X107" s="243"/>
      <c r="Y107" s="243"/>
      <c r="Z107" s="243"/>
    </row>
    <row r="108" ht="13.5" customHeight="1" spans="1:26">
      <c r="A108" s="243"/>
      <c r="B108" s="243"/>
      <c r="C108" s="243"/>
      <c r="D108" s="243"/>
      <c r="E108" s="243"/>
      <c r="F108" s="243"/>
      <c r="G108" s="243"/>
      <c r="H108" s="243"/>
      <c r="I108" s="243"/>
      <c r="J108" s="243"/>
      <c r="K108" s="243"/>
      <c r="L108" s="243"/>
      <c r="M108" s="243"/>
      <c r="N108" s="243"/>
      <c r="O108" s="243"/>
      <c r="P108" s="243"/>
      <c r="Q108" s="243"/>
      <c r="R108" s="243"/>
      <c r="S108" s="243"/>
      <c r="T108" s="243"/>
      <c r="U108" s="243"/>
      <c r="V108" s="243"/>
      <c r="W108" s="243"/>
      <c r="X108" s="243"/>
      <c r="Y108" s="243"/>
      <c r="Z108" s="243"/>
    </row>
    <row r="109" ht="13.5" customHeight="1" spans="1:26">
      <c r="A109" s="243"/>
      <c r="B109" s="243"/>
      <c r="C109" s="243"/>
      <c r="D109" s="243"/>
      <c r="E109" s="243"/>
      <c r="F109" s="243"/>
      <c r="G109" s="243"/>
      <c r="H109" s="243"/>
      <c r="I109" s="243"/>
      <c r="J109" s="243"/>
      <c r="K109" s="243"/>
      <c r="L109" s="243"/>
      <c r="M109" s="243"/>
      <c r="N109" s="243"/>
      <c r="O109" s="243"/>
      <c r="P109" s="243"/>
      <c r="Q109" s="243"/>
      <c r="R109" s="243"/>
      <c r="S109" s="243"/>
      <c r="T109" s="243"/>
      <c r="U109" s="243"/>
      <c r="V109" s="243"/>
      <c r="W109" s="243"/>
      <c r="X109" s="243"/>
      <c r="Y109" s="243"/>
      <c r="Z109" s="243"/>
    </row>
    <row r="110" ht="13.5" customHeight="1" spans="1:26">
      <c r="A110" s="243"/>
      <c r="B110" s="243"/>
      <c r="C110" s="243"/>
      <c r="D110" s="243"/>
      <c r="E110" s="243"/>
      <c r="F110" s="243"/>
      <c r="G110" s="243"/>
      <c r="H110" s="243"/>
      <c r="I110" s="243"/>
      <c r="J110" s="243"/>
      <c r="K110" s="243"/>
      <c r="L110" s="243"/>
      <c r="M110" s="243"/>
      <c r="N110" s="243"/>
      <c r="O110" s="243"/>
      <c r="P110" s="243"/>
      <c r="Q110" s="243"/>
      <c r="R110" s="243"/>
      <c r="S110" s="243"/>
      <c r="T110" s="243"/>
      <c r="U110" s="243"/>
      <c r="V110" s="243"/>
      <c r="W110" s="243"/>
      <c r="X110" s="243"/>
      <c r="Y110" s="243"/>
      <c r="Z110" s="243"/>
    </row>
    <row r="111" ht="13.5" customHeight="1" spans="1:26">
      <c r="A111" s="243"/>
      <c r="B111" s="243"/>
      <c r="C111" s="243"/>
      <c r="D111" s="243"/>
      <c r="E111" s="243"/>
      <c r="F111" s="243"/>
      <c r="G111" s="243"/>
      <c r="H111" s="243"/>
      <c r="I111" s="243"/>
      <c r="J111" s="243"/>
      <c r="K111" s="243"/>
      <c r="L111" s="243"/>
      <c r="M111" s="243"/>
      <c r="N111" s="243"/>
      <c r="O111" s="243"/>
      <c r="P111" s="243"/>
      <c r="Q111" s="243"/>
      <c r="R111" s="243"/>
      <c r="S111" s="243"/>
      <c r="T111" s="243"/>
      <c r="U111" s="243"/>
      <c r="V111" s="243"/>
      <c r="W111" s="243"/>
      <c r="X111" s="243"/>
      <c r="Y111" s="243"/>
      <c r="Z111" s="243"/>
    </row>
    <row r="112" ht="13.5" customHeight="1" spans="1:26">
      <c r="A112" s="243"/>
      <c r="B112" s="243"/>
      <c r="C112" s="243"/>
      <c r="D112" s="243"/>
      <c r="E112" s="243"/>
      <c r="F112" s="243"/>
      <c r="G112" s="243"/>
      <c r="H112" s="243"/>
      <c r="I112" s="243"/>
      <c r="J112" s="243"/>
      <c r="K112" s="243"/>
      <c r="L112" s="243"/>
      <c r="M112" s="243"/>
      <c r="N112" s="243"/>
      <c r="O112" s="243"/>
      <c r="P112" s="243"/>
      <c r="Q112" s="243"/>
      <c r="R112" s="243"/>
      <c r="S112" s="243"/>
      <c r="T112" s="243"/>
      <c r="U112" s="243"/>
      <c r="V112" s="243"/>
      <c r="W112" s="243"/>
      <c r="X112" s="243"/>
      <c r="Y112" s="243"/>
      <c r="Z112" s="243"/>
    </row>
    <row r="113" ht="13.5" customHeight="1" spans="1:26">
      <c r="A113" s="243"/>
      <c r="B113" s="243"/>
      <c r="C113" s="243"/>
      <c r="D113" s="243"/>
      <c r="E113" s="243"/>
      <c r="F113" s="243"/>
      <c r="G113" s="243"/>
      <c r="H113" s="243"/>
      <c r="I113" s="243"/>
      <c r="J113" s="243"/>
      <c r="K113" s="243"/>
      <c r="L113" s="243"/>
      <c r="M113" s="243"/>
      <c r="N113" s="243"/>
      <c r="O113" s="243"/>
      <c r="P113" s="243"/>
      <c r="Q113" s="243"/>
      <c r="R113" s="243"/>
      <c r="S113" s="243"/>
      <c r="T113" s="243"/>
      <c r="U113" s="243"/>
      <c r="V113" s="243"/>
      <c r="W113" s="243"/>
      <c r="X113" s="243"/>
      <c r="Y113" s="243"/>
      <c r="Z113" s="243"/>
    </row>
    <row r="114" ht="13.5" customHeight="1" spans="1:26">
      <c r="A114" s="243"/>
      <c r="B114" s="243"/>
      <c r="C114" s="243"/>
      <c r="D114" s="243"/>
      <c r="E114" s="243"/>
      <c r="F114" s="243"/>
      <c r="G114" s="243"/>
      <c r="H114" s="243"/>
      <c r="I114" s="243"/>
      <c r="J114" s="243"/>
      <c r="K114" s="243"/>
      <c r="L114" s="243"/>
      <c r="M114" s="243"/>
      <c r="N114" s="243"/>
      <c r="O114" s="243"/>
      <c r="P114" s="243"/>
      <c r="Q114" s="243"/>
      <c r="R114" s="243"/>
      <c r="S114" s="243"/>
      <c r="T114" s="243"/>
      <c r="U114" s="243"/>
      <c r="V114" s="243"/>
      <c r="W114" s="243"/>
      <c r="X114" s="243"/>
      <c r="Y114" s="243"/>
      <c r="Z114" s="243"/>
    </row>
    <row r="115" ht="13.5" customHeight="1" spans="1:26">
      <c r="A115" s="243"/>
      <c r="B115" s="243"/>
      <c r="C115" s="243"/>
      <c r="D115" s="243"/>
      <c r="E115" s="243"/>
      <c r="F115" s="243"/>
      <c r="G115" s="243"/>
      <c r="H115" s="243"/>
      <c r="I115" s="243"/>
      <c r="J115" s="243"/>
      <c r="K115" s="243"/>
      <c r="L115" s="243"/>
      <c r="M115" s="243"/>
      <c r="N115" s="243"/>
      <c r="O115" s="243"/>
      <c r="P115" s="243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</row>
    <row r="116" ht="13.5" customHeight="1" spans="1:26">
      <c r="A116" s="243"/>
      <c r="B116" s="243"/>
      <c r="C116" s="243"/>
      <c r="D116" s="243"/>
      <c r="E116" s="243"/>
      <c r="F116" s="243"/>
      <c r="G116" s="243"/>
      <c r="H116" s="243"/>
      <c r="I116" s="243"/>
      <c r="J116" s="243"/>
      <c r="K116" s="243"/>
      <c r="L116" s="243"/>
      <c r="M116" s="243"/>
      <c r="N116" s="243"/>
      <c r="O116" s="243"/>
      <c r="P116" s="243"/>
      <c r="Q116" s="243"/>
      <c r="R116" s="243"/>
      <c r="S116" s="243"/>
      <c r="T116" s="243"/>
      <c r="U116" s="243"/>
      <c r="V116" s="243"/>
      <c r="W116" s="243"/>
      <c r="X116" s="243"/>
      <c r="Y116" s="243"/>
      <c r="Z116" s="243"/>
    </row>
    <row r="117" ht="13.5" customHeight="1" spans="1:26">
      <c r="A117" s="243"/>
      <c r="B117" s="243"/>
      <c r="C117" s="243"/>
      <c r="D117" s="243"/>
      <c r="E117" s="243"/>
      <c r="F117" s="243"/>
      <c r="G117" s="243"/>
      <c r="H117" s="243"/>
      <c r="I117" s="243"/>
      <c r="J117" s="243"/>
      <c r="K117" s="243"/>
      <c r="L117" s="243"/>
      <c r="M117" s="243"/>
      <c r="N117" s="243"/>
      <c r="O117" s="243"/>
      <c r="P117" s="243"/>
      <c r="Q117" s="243"/>
      <c r="R117" s="243"/>
      <c r="S117" s="243"/>
      <c r="T117" s="243"/>
      <c r="U117" s="243"/>
      <c r="V117" s="243"/>
      <c r="W117" s="243"/>
      <c r="X117" s="243"/>
      <c r="Y117" s="243"/>
      <c r="Z117" s="243"/>
    </row>
    <row r="118" ht="13.5" customHeight="1" spans="1:26">
      <c r="A118" s="243"/>
      <c r="B118" s="243"/>
      <c r="C118" s="243"/>
      <c r="D118" s="243"/>
      <c r="E118" s="243"/>
      <c r="F118" s="243"/>
      <c r="G118" s="243"/>
      <c r="H118" s="243"/>
      <c r="I118" s="243"/>
      <c r="J118" s="243"/>
      <c r="K118" s="243"/>
      <c r="L118" s="243"/>
      <c r="M118" s="243"/>
      <c r="N118" s="243"/>
      <c r="O118" s="243"/>
      <c r="P118" s="243"/>
      <c r="Q118" s="243"/>
      <c r="R118" s="243"/>
      <c r="S118" s="243"/>
      <c r="T118" s="243"/>
      <c r="U118" s="243"/>
      <c r="V118" s="243"/>
      <c r="W118" s="243"/>
      <c r="X118" s="243"/>
      <c r="Y118" s="243"/>
      <c r="Z118" s="243"/>
    </row>
    <row r="119" ht="13.5" customHeight="1" spans="1:26">
      <c r="A119" s="243"/>
      <c r="B119" s="243"/>
      <c r="C119" s="243"/>
      <c r="D119" s="243"/>
      <c r="E119" s="243"/>
      <c r="F119" s="243"/>
      <c r="G119" s="243"/>
      <c r="H119" s="243"/>
      <c r="I119" s="243"/>
      <c r="J119" s="243"/>
      <c r="K119" s="243"/>
      <c r="L119" s="243"/>
      <c r="M119" s="243"/>
      <c r="N119" s="243"/>
      <c r="O119" s="243"/>
      <c r="P119" s="243"/>
      <c r="Q119" s="243"/>
      <c r="R119" s="243"/>
      <c r="S119" s="243"/>
      <c r="T119" s="243"/>
      <c r="U119" s="243"/>
      <c r="V119" s="243"/>
      <c r="W119" s="243"/>
      <c r="X119" s="243"/>
      <c r="Y119" s="243"/>
      <c r="Z119" s="243"/>
    </row>
    <row r="120" ht="13.5" customHeight="1" spans="1:26">
      <c r="A120" s="243"/>
      <c r="B120" s="243"/>
      <c r="C120" s="243"/>
      <c r="D120" s="243"/>
      <c r="E120" s="243"/>
      <c r="F120" s="243"/>
      <c r="G120" s="243"/>
      <c r="H120" s="243"/>
      <c r="I120" s="243"/>
      <c r="J120" s="243"/>
      <c r="K120" s="243"/>
      <c r="L120" s="243"/>
      <c r="M120" s="243"/>
      <c r="N120" s="243"/>
      <c r="O120" s="243"/>
      <c r="P120" s="243"/>
      <c r="Q120" s="243"/>
      <c r="R120" s="243"/>
      <c r="S120" s="243"/>
      <c r="T120" s="243"/>
      <c r="U120" s="243"/>
      <c r="V120" s="243"/>
      <c r="W120" s="243"/>
      <c r="X120" s="243"/>
      <c r="Y120" s="243"/>
      <c r="Z120" s="243"/>
    </row>
    <row r="121" ht="13.5" customHeight="1" spans="1:26">
      <c r="A121" s="243"/>
      <c r="B121" s="243"/>
      <c r="C121" s="243"/>
      <c r="D121" s="243"/>
      <c r="E121" s="243"/>
      <c r="F121" s="243"/>
      <c r="G121" s="243"/>
      <c r="H121" s="243"/>
      <c r="I121" s="243"/>
      <c r="J121" s="243"/>
      <c r="K121" s="243"/>
      <c r="L121" s="243"/>
      <c r="M121" s="243"/>
      <c r="N121" s="243"/>
      <c r="O121" s="243"/>
      <c r="P121" s="243"/>
      <c r="Q121" s="243"/>
      <c r="R121" s="243"/>
      <c r="S121" s="243"/>
      <c r="T121" s="243"/>
      <c r="U121" s="243"/>
      <c r="V121" s="243"/>
      <c r="W121" s="243"/>
      <c r="X121" s="243"/>
      <c r="Y121" s="243"/>
      <c r="Z121" s="243"/>
    </row>
    <row r="122" ht="13.5" customHeight="1" spans="1:26">
      <c r="A122" s="243"/>
      <c r="B122" s="243"/>
      <c r="C122" s="243"/>
      <c r="D122" s="243"/>
      <c r="E122" s="243"/>
      <c r="F122" s="243"/>
      <c r="G122" s="243"/>
      <c r="H122" s="243"/>
      <c r="I122" s="243"/>
      <c r="J122" s="243"/>
      <c r="K122" s="243"/>
      <c r="L122" s="243"/>
      <c r="M122" s="243"/>
      <c r="N122" s="243"/>
      <c r="O122" s="243"/>
      <c r="P122" s="243"/>
      <c r="Q122" s="243"/>
      <c r="R122" s="243"/>
      <c r="S122" s="243"/>
      <c r="T122" s="243"/>
      <c r="U122" s="243"/>
      <c r="V122" s="243"/>
      <c r="W122" s="243"/>
      <c r="X122" s="243"/>
      <c r="Y122" s="243"/>
      <c r="Z122" s="243"/>
    </row>
    <row r="123" ht="13.5" customHeight="1" spans="1:26">
      <c r="A123" s="243"/>
      <c r="B123" s="243"/>
      <c r="C123" s="243"/>
      <c r="D123" s="243"/>
      <c r="E123" s="243"/>
      <c r="F123" s="243"/>
      <c r="G123" s="243"/>
      <c r="H123" s="243"/>
      <c r="I123" s="243"/>
      <c r="J123" s="243"/>
      <c r="K123" s="243"/>
      <c r="L123" s="243"/>
      <c r="M123" s="243"/>
      <c r="N123" s="243"/>
      <c r="O123" s="243"/>
      <c r="P123" s="243"/>
      <c r="Q123" s="243"/>
      <c r="R123" s="243"/>
      <c r="S123" s="243"/>
      <c r="T123" s="243"/>
      <c r="U123" s="243"/>
      <c r="V123" s="243"/>
      <c r="W123" s="243"/>
      <c r="X123" s="243"/>
      <c r="Y123" s="243"/>
      <c r="Z123" s="243"/>
    </row>
    <row r="124" ht="13.5" customHeight="1" spans="1:26">
      <c r="A124" s="243"/>
      <c r="B124" s="243"/>
      <c r="C124" s="243"/>
      <c r="D124" s="243"/>
      <c r="E124" s="243"/>
      <c r="F124" s="243"/>
      <c r="G124" s="243"/>
      <c r="H124" s="243"/>
      <c r="I124" s="243"/>
      <c r="J124" s="243"/>
      <c r="K124" s="243"/>
      <c r="L124" s="243"/>
      <c r="M124" s="243"/>
      <c r="N124" s="243"/>
      <c r="O124" s="243"/>
      <c r="P124" s="243"/>
      <c r="Q124" s="243"/>
      <c r="R124" s="243"/>
      <c r="S124" s="243"/>
      <c r="T124" s="243"/>
      <c r="U124" s="243"/>
      <c r="V124" s="243"/>
      <c r="W124" s="243"/>
      <c r="X124" s="243"/>
      <c r="Y124" s="243"/>
      <c r="Z124" s="243"/>
    </row>
    <row r="125" ht="13.5" customHeight="1" spans="1:26">
      <c r="A125" s="243"/>
      <c r="B125" s="243"/>
      <c r="C125" s="243"/>
      <c r="D125" s="243"/>
      <c r="E125" s="243"/>
      <c r="F125" s="243"/>
      <c r="G125" s="243"/>
      <c r="H125" s="243"/>
      <c r="I125" s="243"/>
      <c r="J125" s="243"/>
      <c r="K125" s="243"/>
      <c r="L125" s="243"/>
      <c r="M125" s="243"/>
      <c r="N125" s="243"/>
      <c r="O125" s="243"/>
      <c r="P125" s="243"/>
      <c r="Q125" s="243"/>
      <c r="R125" s="243"/>
      <c r="S125" s="243"/>
      <c r="T125" s="243"/>
      <c r="U125" s="243"/>
      <c r="V125" s="243"/>
      <c r="W125" s="243"/>
      <c r="X125" s="243"/>
      <c r="Y125" s="243"/>
      <c r="Z125" s="243"/>
    </row>
    <row r="126" ht="13.5" customHeight="1" spans="1:26">
      <c r="A126" s="243"/>
      <c r="B126" s="243"/>
      <c r="C126" s="243"/>
      <c r="D126" s="243"/>
      <c r="E126" s="243"/>
      <c r="F126" s="243"/>
      <c r="G126" s="243"/>
      <c r="H126" s="243"/>
      <c r="I126" s="243"/>
      <c r="J126" s="243"/>
      <c r="K126" s="243"/>
      <c r="L126" s="243"/>
      <c r="M126" s="243"/>
      <c r="N126" s="243"/>
      <c r="O126" s="243"/>
      <c r="P126" s="243"/>
      <c r="Q126" s="243"/>
      <c r="R126" s="243"/>
      <c r="S126" s="243"/>
      <c r="T126" s="243"/>
      <c r="U126" s="243"/>
      <c r="V126" s="243"/>
      <c r="W126" s="243"/>
      <c r="X126" s="243"/>
      <c r="Y126" s="243"/>
      <c r="Z126" s="243"/>
    </row>
    <row r="127" ht="13.5" customHeight="1" spans="1:26">
      <c r="A127" s="243"/>
      <c r="B127" s="243"/>
      <c r="C127" s="243"/>
      <c r="D127" s="243"/>
      <c r="E127" s="243"/>
      <c r="F127" s="243"/>
      <c r="G127" s="243"/>
      <c r="H127" s="243"/>
      <c r="I127" s="243"/>
      <c r="J127" s="243"/>
      <c r="K127" s="243"/>
      <c r="L127" s="243"/>
      <c r="M127" s="243"/>
      <c r="N127" s="243"/>
      <c r="O127" s="243"/>
      <c r="P127" s="243"/>
      <c r="Q127" s="243"/>
      <c r="R127" s="243"/>
      <c r="S127" s="243"/>
      <c r="T127" s="243"/>
      <c r="U127" s="243"/>
      <c r="V127" s="243"/>
      <c r="W127" s="243"/>
      <c r="X127" s="243"/>
      <c r="Y127" s="243"/>
      <c r="Z127" s="243"/>
    </row>
    <row r="128" ht="13.5" customHeight="1" spans="1:26">
      <c r="A128" s="243"/>
      <c r="B128" s="243"/>
      <c r="C128" s="243"/>
      <c r="D128" s="243"/>
      <c r="E128" s="243"/>
      <c r="F128" s="243"/>
      <c r="G128" s="243"/>
      <c r="H128" s="243"/>
      <c r="I128" s="243"/>
      <c r="J128" s="243"/>
      <c r="K128" s="243"/>
      <c r="L128" s="243"/>
      <c r="M128" s="243"/>
      <c r="N128" s="243"/>
      <c r="O128" s="243"/>
      <c r="P128" s="243"/>
      <c r="Q128" s="243"/>
      <c r="R128" s="243"/>
      <c r="S128" s="243"/>
      <c r="T128" s="243"/>
      <c r="U128" s="243"/>
      <c r="V128" s="243"/>
      <c r="W128" s="243"/>
      <c r="X128" s="243"/>
      <c r="Y128" s="243"/>
      <c r="Z128" s="243"/>
    </row>
    <row r="129" ht="13.5" customHeight="1" spans="1:26">
      <c r="A129" s="243"/>
      <c r="B129" s="243"/>
      <c r="C129" s="243"/>
      <c r="D129" s="243"/>
      <c r="E129" s="243"/>
      <c r="F129" s="243"/>
      <c r="G129" s="243"/>
      <c r="H129" s="243"/>
      <c r="I129" s="243"/>
      <c r="J129" s="243"/>
      <c r="K129" s="243"/>
      <c r="L129" s="243"/>
      <c r="M129" s="243"/>
      <c r="N129" s="243"/>
      <c r="O129" s="243"/>
      <c r="P129" s="243"/>
      <c r="Q129" s="243"/>
      <c r="R129" s="243"/>
      <c r="S129" s="243"/>
      <c r="T129" s="243"/>
      <c r="U129" s="243"/>
      <c r="V129" s="243"/>
      <c r="W129" s="243"/>
      <c r="X129" s="243"/>
      <c r="Y129" s="243"/>
      <c r="Z129" s="243"/>
    </row>
    <row r="130" ht="13.5" customHeight="1" spans="1:26">
      <c r="A130" s="243"/>
      <c r="B130" s="243"/>
      <c r="C130" s="243"/>
      <c r="D130" s="243"/>
      <c r="E130" s="243"/>
      <c r="F130" s="243"/>
      <c r="G130" s="243"/>
      <c r="H130" s="243"/>
      <c r="I130" s="243"/>
      <c r="J130" s="243"/>
      <c r="K130" s="243"/>
      <c r="L130" s="243"/>
      <c r="M130" s="243"/>
      <c r="N130" s="243"/>
      <c r="O130" s="243"/>
      <c r="P130" s="243"/>
      <c r="Q130" s="243"/>
      <c r="R130" s="243"/>
      <c r="S130" s="243"/>
      <c r="T130" s="243"/>
      <c r="U130" s="243"/>
      <c r="V130" s="243"/>
      <c r="W130" s="243"/>
      <c r="X130" s="243"/>
      <c r="Y130" s="243"/>
      <c r="Z130" s="243"/>
    </row>
    <row r="131" ht="13.5" customHeight="1" spans="1:26">
      <c r="A131" s="243"/>
      <c r="B131" s="243"/>
      <c r="C131" s="243"/>
      <c r="D131" s="243"/>
      <c r="E131" s="243"/>
      <c r="F131" s="243"/>
      <c r="G131" s="243"/>
      <c r="H131" s="243"/>
      <c r="I131" s="243"/>
      <c r="J131" s="243"/>
      <c r="K131" s="243"/>
      <c r="L131" s="243"/>
      <c r="M131" s="243"/>
      <c r="N131" s="243"/>
      <c r="O131" s="243"/>
      <c r="P131" s="243"/>
      <c r="Q131" s="243"/>
      <c r="R131" s="243"/>
      <c r="S131" s="243"/>
      <c r="T131" s="243"/>
      <c r="U131" s="243"/>
      <c r="V131" s="243"/>
      <c r="W131" s="243"/>
      <c r="X131" s="243"/>
      <c r="Y131" s="243"/>
      <c r="Z131" s="243"/>
    </row>
    <row r="132" ht="13.5" customHeight="1" spans="1:26">
      <c r="A132" s="243"/>
      <c r="B132" s="243"/>
      <c r="C132" s="243"/>
      <c r="D132" s="243"/>
      <c r="E132" s="243"/>
      <c r="F132" s="243"/>
      <c r="G132" s="243"/>
      <c r="H132" s="243"/>
      <c r="I132" s="243"/>
      <c r="J132" s="243"/>
      <c r="K132" s="243"/>
      <c r="L132" s="243"/>
      <c r="M132" s="243"/>
      <c r="N132" s="243"/>
      <c r="O132" s="243"/>
      <c r="P132" s="243"/>
      <c r="Q132" s="243"/>
      <c r="R132" s="243"/>
      <c r="S132" s="243"/>
      <c r="T132" s="243"/>
      <c r="U132" s="243"/>
      <c r="V132" s="243"/>
      <c r="W132" s="243"/>
      <c r="X132" s="243"/>
      <c r="Y132" s="243"/>
      <c r="Z132" s="243"/>
    </row>
    <row r="133" ht="13.5" customHeight="1" spans="1:26">
      <c r="A133" s="243"/>
      <c r="B133" s="243"/>
      <c r="C133" s="243"/>
      <c r="D133" s="243"/>
      <c r="E133" s="243"/>
      <c r="F133" s="243"/>
      <c r="G133" s="243"/>
      <c r="H133" s="243"/>
      <c r="I133" s="243"/>
      <c r="J133" s="243"/>
      <c r="K133" s="243"/>
      <c r="L133" s="243"/>
      <c r="M133" s="243"/>
      <c r="N133" s="243"/>
      <c r="O133" s="243"/>
      <c r="P133" s="243"/>
      <c r="Q133" s="243"/>
      <c r="R133" s="243"/>
      <c r="S133" s="243"/>
      <c r="T133" s="243"/>
      <c r="U133" s="243"/>
      <c r="V133" s="243"/>
      <c r="W133" s="243"/>
      <c r="X133" s="243"/>
      <c r="Y133" s="243"/>
      <c r="Z133" s="243"/>
    </row>
    <row r="134" ht="13.5" customHeight="1" spans="1:26">
      <c r="A134" s="243"/>
      <c r="B134" s="243"/>
      <c r="C134" s="243"/>
      <c r="D134" s="243"/>
      <c r="E134" s="243"/>
      <c r="F134" s="243"/>
      <c r="G134" s="243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43"/>
      <c r="T134" s="243"/>
      <c r="U134" s="243"/>
      <c r="V134" s="243"/>
      <c r="W134" s="243"/>
      <c r="X134" s="243"/>
      <c r="Y134" s="243"/>
      <c r="Z134" s="243"/>
    </row>
    <row r="135" ht="13.5" customHeight="1" spans="1:26">
      <c r="A135" s="243"/>
      <c r="B135" s="243"/>
      <c r="C135" s="243"/>
      <c r="D135" s="243"/>
      <c r="E135" s="243"/>
      <c r="F135" s="243"/>
      <c r="G135" s="243"/>
      <c r="H135" s="243"/>
      <c r="I135" s="243"/>
      <c r="J135" s="243"/>
      <c r="K135" s="243"/>
      <c r="L135" s="243"/>
      <c r="M135" s="243"/>
      <c r="N135" s="243"/>
      <c r="O135" s="243"/>
      <c r="P135" s="243"/>
      <c r="Q135" s="243"/>
      <c r="R135" s="243"/>
      <c r="S135" s="243"/>
      <c r="T135" s="243"/>
      <c r="U135" s="243"/>
      <c r="V135" s="243"/>
      <c r="W135" s="243"/>
      <c r="X135" s="243"/>
      <c r="Y135" s="243"/>
      <c r="Z135" s="243"/>
    </row>
    <row r="136" ht="13.5" customHeight="1" spans="1:26">
      <c r="A136" s="243"/>
      <c r="B136" s="243"/>
      <c r="C136" s="243"/>
      <c r="D136" s="243"/>
      <c r="E136" s="243"/>
      <c r="F136" s="243"/>
      <c r="G136" s="243"/>
      <c r="H136" s="243"/>
      <c r="I136" s="243"/>
      <c r="J136" s="243"/>
      <c r="K136" s="243"/>
      <c r="L136" s="243"/>
      <c r="M136" s="243"/>
      <c r="N136" s="243"/>
      <c r="O136" s="243"/>
      <c r="P136" s="243"/>
      <c r="Q136" s="243"/>
      <c r="R136" s="243"/>
      <c r="S136" s="243"/>
      <c r="T136" s="243"/>
      <c r="U136" s="243"/>
      <c r="V136" s="243"/>
      <c r="W136" s="243"/>
      <c r="X136" s="243"/>
      <c r="Y136" s="243"/>
      <c r="Z136" s="243"/>
    </row>
    <row r="137" ht="13.5" customHeight="1" spans="1:26">
      <c r="A137" s="243"/>
      <c r="B137" s="243"/>
      <c r="C137" s="243"/>
      <c r="D137" s="243"/>
      <c r="E137" s="243"/>
      <c r="F137" s="243"/>
      <c r="G137" s="243"/>
      <c r="H137" s="243"/>
      <c r="I137" s="243"/>
      <c r="J137" s="243"/>
      <c r="K137" s="243"/>
      <c r="L137" s="243"/>
      <c r="M137" s="243"/>
      <c r="N137" s="243"/>
      <c r="O137" s="243"/>
      <c r="P137" s="243"/>
      <c r="Q137" s="243"/>
      <c r="R137" s="243"/>
      <c r="S137" s="243"/>
      <c r="T137" s="243"/>
      <c r="U137" s="243"/>
      <c r="V137" s="243"/>
      <c r="W137" s="243"/>
      <c r="X137" s="243"/>
      <c r="Y137" s="243"/>
      <c r="Z137" s="243"/>
    </row>
    <row r="138" ht="13.5" customHeight="1" spans="1:26">
      <c r="A138" s="243"/>
      <c r="B138" s="243"/>
      <c r="C138" s="243"/>
      <c r="D138" s="243"/>
      <c r="E138" s="243"/>
      <c r="F138" s="243"/>
      <c r="G138" s="243"/>
      <c r="H138" s="243"/>
      <c r="I138" s="243"/>
      <c r="J138" s="243"/>
      <c r="K138" s="243"/>
      <c r="L138" s="243"/>
      <c r="M138" s="243"/>
      <c r="N138" s="243"/>
      <c r="O138" s="243"/>
      <c r="P138" s="243"/>
      <c r="Q138" s="243"/>
      <c r="R138" s="243"/>
      <c r="S138" s="243"/>
      <c r="T138" s="243"/>
      <c r="U138" s="243"/>
      <c r="V138" s="243"/>
      <c r="W138" s="243"/>
      <c r="X138" s="243"/>
      <c r="Y138" s="243"/>
      <c r="Z138" s="243"/>
    </row>
    <row r="139" ht="13.5" customHeight="1" spans="1:26">
      <c r="A139" s="243"/>
      <c r="B139" s="243"/>
      <c r="C139" s="243"/>
      <c r="D139" s="243"/>
      <c r="E139" s="243"/>
      <c r="F139" s="243"/>
      <c r="G139" s="243"/>
      <c r="H139" s="243"/>
      <c r="I139" s="243"/>
      <c r="J139" s="243"/>
      <c r="K139" s="243"/>
      <c r="L139" s="243"/>
      <c r="M139" s="243"/>
      <c r="N139" s="243"/>
      <c r="O139" s="243"/>
      <c r="P139" s="243"/>
      <c r="Q139" s="243"/>
      <c r="R139" s="243"/>
      <c r="S139" s="243"/>
      <c r="T139" s="243"/>
      <c r="U139" s="243"/>
      <c r="V139" s="243"/>
      <c r="W139" s="243"/>
      <c r="X139" s="243"/>
      <c r="Y139" s="243"/>
      <c r="Z139" s="243"/>
    </row>
    <row r="140" ht="13.5" customHeight="1" spans="1:26">
      <c r="A140" s="243"/>
      <c r="B140" s="243"/>
      <c r="C140" s="243"/>
      <c r="D140" s="243"/>
      <c r="E140" s="243"/>
      <c r="F140" s="243"/>
      <c r="G140" s="243"/>
      <c r="H140" s="243"/>
      <c r="I140" s="243"/>
      <c r="J140" s="243"/>
      <c r="K140" s="243"/>
      <c r="L140" s="243"/>
      <c r="M140" s="243"/>
      <c r="N140" s="243"/>
      <c r="O140" s="243"/>
      <c r="P140" s="243"/>
      <c r="Q140" s="243"/>
      <c r="R140" s="243"/>
      <c r="S140" s="243"/>
      <c r="T140" s="243"/>
      <c r="U140" s="243"/>
      <c r="V140" s="243"/>
      <c r="W140" s="243"/>
      <c r="X140" s="243"/>
      <c r="Y140" s="243"/>
      <c r="Z140" s="243"/>
    </row>
    <row r="141" ht="13.5" customHeight="1" spans="1:26">
      <c r="A141" s="243"/>
      <c r="B141" s="243"/>
      <c r="C141" s="243"/>
      <c r="D141" s="243"/>
      <c r="E141" s="243"/>
      <c r="F141" s="243"/>
      <c r="G141" s="243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43"/>
      <c r="T141" s="243"/>
      <c r="U141" s="243"/>
      <c r="V141" s="243"/>
      <c r="W141" s="243"/>
      <c r="X141" s="243"/>
      <c r="Y141" s="243"/>
      <c r="Z141" s="243"/>
    </row>
    <row r="142" ht="13.5" customHeight="1" spans="1:26">
      <c r="A142" s="243"/>
      <c r="B142" s="243"/>
      <c r="C142" s="243"/>
      <c r="D142" s="243"/>
      <c r="E142" s="243"/>
      <c r="F142" s="243"/>
      <c r="G142" s="243"/>
      <c r="H142" s="243"/>
      <c r="I142" s="243"/>
      <c r="J142" s="243"/>
      <c r="K142" s="243"/>
      <c r="L142" s="243"/>
      <c r="M142" s="243"/>
      <c r="N142" s="243"/>
      <c r="O142" s="243"/>
      <c r="P142" s="243"/>
      <c r="Q142" s="243"/>
      <c r="R142" s="243"/>
      <c r="S142" s="243"/>
      <c r="T142" s="243"/>
      <c r="U142" s="243"/>
      <c r="V142" s="243"/>
      <c r="W142" s="243"/>
      <c r="X142" s="243"/>
      <c r="Y142" s="243"/>
      <c r="Z142" s="243"/>
    </row>
    <row r="143" ht="13.5" customHeight="1" spans="1:26">
      <c r="A143" s="243"/>
      <c r="B143" s="243"/>
      <c r="C143" s="243"/>
      <c r="D143" s="243"/>
      <c r="E143" s="243"/>
      <c r="F143" s="243"/>
      <c r="G143" s="243"/>
      <c r="H143" s="243"/>
      <c r="I143" s="243"/>
      <c r="J143" s="243"/>
      <c r="K143" s="243"/>
      <c r="L143" s="243"/>
      <c r="M143" s="243"/>
      <c r="N143" s="243"/>
      <c r="O143" s="243"/>
      <c r="P143" s="243"/>
      <c r="Q143" s="243"/>
      <c r="R143" s="243"/>
      <c r="S143" s="243"/>
      <c r="T143" s="243"/>
      <c r="U143" s="243"/>
      <c r="V143" s="243"/>
      <c r="W143" s="243"/>
      <c r="X143" s="243"/>
      <c r="Y143" s="243"/>
      <c r="Z143" s="243"/>
    </row>
    <row r="144" ht="13.5" customHeight="1" spans="1:26">
      <c r="A144" s="243"/>
      <c r="B144" s="243"/>
      <c r="C144" s="243"/>
      <c r="D144" s="243"/>
      <c r="E144" s="243"/>
      <c r="F144" s="243"/>
      <c r="G144" s="243"/>
      <c r="H144" s="243"/>
      <c r="I144" s="243"/>
      <c r="J144" s="243"/>
      <c r="K144" s="243"/>
      <c r="L144" s="243"/>
      <c r="M144" s="243"/>
      <c r="N144" s="243"/>
      <c r="O144" s="243"/>
      <c r="P144" s="243"/>
      <c r="Q144" s="243"/>
      <c r="R144" s="243"/>
      <c r="S144" s="243"/>
      <c r="T144" s="243"/>
      <c r="U144" s="243"/>
      <c r="V144" s="243"/>
      <c r="W144" s="243"/>
      <c r="X144" s="243"/>
      <c r="Y144" s="243"/>
      <c r="Z144" s="243"/>
    </row>
    <row r="145" ht="13.5" customHeight="1" spans="1:26">
      <c r="A145" s="243"/>
      <c r="B145" s="243"/>
      <c r="C145" s="243"/>
      <c r="D145" s="243"/>
      <c r="E145" s="243"/>
      <c r="F145" s="243"/>
      <c r="G145" s="243"/>
      <c r="H145" s="243"/>
      <c r="I145" s="243"/>
      <c r="J145" s="243"/>
      <c r="K145" s="243"/>
      <c r="L145" s="243"/>
      <c r="M145" s="243"/>
      <c r="N145" s="243"/>
      <c r="O145" s="243"/>
      <c r="P145" s="243"/>
      <c r="Q145" s="243"/>
      <c r="R145" s="243"/>
      <c r="S145" s="243"/>
      <c r="T145" s="243"/>
      <c r="U145" s="243"/>
      <c r="V145" s="243"/>
      <c r="W145" s="243"/>
      <c r="X145" s="243"/>
      <c r="Y145" s="243"/>
      <c r="Z145" s="243"/>
    </row>
    <row r="146" ht="13.5" customHeight="1" spans="1:26">
      <c r="A146" s="243"/>
      <c r="B146" s="243"/>
      <c r="C146" s="243"/>
      <c r="D146" s="243"/>
      <c r="E146" s="243"/>
      <c r="F146" s="243"/>
      <c r="G146" s="243"/>
      <c r="H146" s="243"/>
      <c r="I146" s="243"/>
      <c r="J146" s="243"/>
      <c r="K146" s="243"/>
      <c r="L146" s="243"/>
      <c r="M146" s="243"/>
      <c r="N146" s="243"/>
      <c r="O146" s="243"/>
      <c r="P146" s="243"/>
      <c r="Q146" s="243"/>
      <c r="R146" s="243"/>
      <c r="S146" s="243"/>
      <c r="T146" s="243"/>
      <c r="U146" s="243"/>
      <c r="V146" s="243"/>
      <c r="W146" s="243"/>
      <c r="X146" s="243"/>
      <c r="Y146" s="243"/>
      <c r="Z146" s="243"/>
    </row>
    <row r="147" ht="13.5" customHeight="1" spans="1:26">
      <c r="A147" s="243"/>
      <c r="B147" s="243"/>
      <c r="C147" s="243"/>
      <c r="D147" s="243"/>
      <c r="E147" s="243"/>
      <c r="F147" s="243"/>
      <c r="G147" s="243"/>
      <c r="H147" s="243"/>
      <c r="I147" s="243"/>
      <c r="J147" s="243"/>
      <c r="K147" s="243"/>
      <c r="L147" s="243"/>
      <c r="M147" s="243"/>
      <c r="N147" s="243"/>
      <c r="O147" s="243"/>
      <c r="P147" s="243"/>
      <c r="Q147" s="243"/>
      <c r="R147" s="243"/>
      <c r="S147" s="243"/>
      <c r="T147" s="243"/>
      <c r="U147" s="243"/>
      <c r="V147" s="243"/>
      <c r="W147" s="243"/>
      <c r="X147" s="243"/>
      <c r="Y147" s="243"/>
      <c r="Z147" s="243"/>
    </row>
    <row r="148" ht="13.5" customHeight="1" spans="1:26">
      <c r="A148" s="243"/>
      <c r="B148" s="243"/>
      <c r="C148" s="243"/>
      <c r="D148" s="243"/>
      <c r="E148" s="243"/>
      <c r="F148" s="243"/>
      <c r="G148" s="243"/>
      <c r="H148" s="243"/>
      <c r="I148" s="243"/>
      <c r="J148" s="243"/>
      <c r="K148" s="243"/>
      <c r="L148" s="243"/>
      <c r="M148" s="243"/>
      <c r="N148" s="243"/>
      <c r="O148" s="243"/>
      <c r="P148" s="243"/>
      <c r="Q148" s="243"/>
      <c r="R148" s="243"/>
      <c r="S148" s="243"/>
      <c r="T148" s="243"/>
      <c r="U148" s="243"/>
      <c r="V148" s="243"/>
      <c r="W148" s="243"/>
      <c r="X148" s="243"/>
      <c r="Y148" s="243"/>
      <c r="Z148" s="243"/>
    </row>
    <row r="149" ht="13.5" customHeight="1" spans="1:26">
      <c r="A149" s="243"/>
      <c r="B149" s="243"/>
      <c r="C149" s="243"/>
      <c r="D149" s="243"/>
      <c r="E149" s="243"/>
      <c r="F149" s="243"/>
      <c r="G149" s="243"/>
      <c r="H149" s="243"/>
      <c r="I149" s="243"/>
      <c r="J149" s="243"/>
      <c r="K149" s="243"/>
      <c r="L149" s="243"/>
      <c r="M149" s="243"/>
      <c r="N149" s="243"/>
      <c r="O149" s="243"/>
      <c r="P149" s="243"/>
      <c r="Q149" s="243"/>
      <c r="R149" s="243"/>
      <c r="S149" s="243"/>
      <c r="T149" s="243"/>
      <c r="U149" s="243"/>
      <c r="V149" s="243"/>
      <c r="W149" s="243"/>
      <c r="X149" s="243"/>
      <c r="Y149" s="243"/>
      <c r="Z149" s="243"/>
    </row>
    <row r="150" ht="13.5" customHeight="1" spans="1:26">
      <c r="A150" s="243"/>
      <c r="B150" s="243"/>
      <c r="C150" s="243"/>
      <c r="D150" s="243"/>
      <c r="E150" s="243"/>
      <c r="F150" s="243"/>
      <c r="G150" s="243"/>
      <c r="H150" s="243"/>
      <c r="I150" s="243"/>
      <c r="J150" s="243"/>
      <c r="K150" s="243"/>
      <c r="L150" s="243"/>
      <c r="M150" s="243"/>
      <c r="N150" s="243"/>
      <c r="O150" s="243"/>
      <c r="P150" s="243"/>
      <c r="Q150" s="243"/>
      <c r="R150" s="243"/>
      <c r="S150" s="243"/>
      <c r="T150" s="243"/>
      <c r="U150" s="243"/>
      <c r="V150" s="243"/>
      <c r="W150" s="243"/>
      <c r="X150" s="243"/>
      <c r="Y150" s="243"/>
      <c r="Z150" s="243"/>
    </row>
    <row r="151" ht="13.5" customHeight="1" spans="1:26">
      <c r="A151" s="243"/>
      <c r="B151" s="243"/>
      <c r="C151" s="243"/>
      <c r="D151" s="243"/>
      <c r="E151" s="243"/>
      <c r="F151" s="243"/>
      <c r="G151" s="243"/>
      <c r="H151" s="243"/>
      <c r="I151" s="243"/>
      <c r="J151" s="243"/>
      <c r="K151" s="243"/>
      <c r="L151" s="243"/>
      <c r="M151" s="243"/>
      <c r="N151" s="243"/>
      <c r="O151" s="243"/>
      <c r="P151" s="243"/>
      <c r="Q151" s="243"/>
      <c r="R151" s="243"/>
      <c r="S151" s="243"/>
      <c r="T151" s="243"/>
      <c r="U151" s="243"/>
      <c r="V151" s="243"/>
      <c r="W151" s="243"/>
      <c r="X151" s="243"/>
      <c r="Y151" s="243"/>
      <c r="Z151" s="243"/>
    </row>
    <row r="152" ht="13.5" customHeight="1" spans="1:26">
      <c r="A152" s="243"/>
      <c r="B152" s="243"/>
      <c r="C152" s="243"/>
      <c r="D152" s="243"/>
      <c r="E152" s="243"/>
      <c r="F152" s="243"/>
      <c r="G152" s="243"/>
      <c r="H152" s="243"/>
      <c r="I152" s="243"/>
      <c r="J152" s="243"/>
      <c r="K152" s="243"/>
      <c r="L152" s="243"/>
      <c r="M152" s="243"/>
      <c r="N152" s="243"/>
      <c r="O152" s="243"/>
      <c r="P152" s="243"/>
      <c r="Q152" s="243"/>
      <c r="R152" s="243"/>
      <c r="S152" s="243"/>
      <c r="T152" s="243"/>
      <c r="U152" s="243"/>
      <c r="V152" s="243"/>
      <c r="W152" s="243"/>
      <c r="X152" s="243"/>
      <c r="Y152" s="243"/>
      <c r="Z152" s="243"/>
    </row>
    <row r="153" ht="13.5" customHeight="1" spans="1:26">
      <c r="A153" s="243"/>
      <c r="B153" s="243"/>
      <c r="C153" s="243"/>
      <c r="D153" s="243"/>
      <c r="E153" s="243"/>
      <c r="F153" s="243"/>
      <c r="G153" s="243"/>
      <c r="H153" s="243"/>
      <c r="I153" s="243"/>
      <c r="J153" s="243"/>
      <c r="K153" s="243"/>
      <c r="L153" s="243"/>
      <c r="M153" s="243"/>
      <c r="N153" s="243"/>
      <c r="O153" s="243"/>
      <c r="P153" s="243"/>
      <c r="Q153" s="243"/>
      <c r="R153" s="243"/>
      <c r="S153" s="243"/>
      <c r="T153" s="243"/>
      <c r="U153" s="243"/>
      <c r="V153" s="243"/>
      <c r="W153" s="243"/>
      <c r="X153" s="243"/>
      <c r="Y153" s="243"/>
      <c r="Z153" s="243"/>
    </row>
    <row r="154" ht="13.5" customHeight="1" spans="1:26">
      <c r="A154" s="243"/>
      <c r="B154" s="243"/>
      <c r="C154" s="243"/>
      <c r="D154" s="243"/>
      <c r="E154" s="243"/>
      <c r="F154" s="243"/>
      <c r="G154" s="243"/>
      <c r="H154" s="243"/>
      <c r="I154" s="243"/>
      <c r="J154" s="243"/>
      <c r="K154" s="243"/>
      <c r="L154" s="243"/>
      <c r="M154" s="243"/>
      <c r="N154" s="243"/>
      <c r="O154" s="243"/>
      <c r="P154" s="243"/>
      <c r="Q154" s="243"/>
      <c r="R154" s="243"/>
      <c r="S154" s="243"/>
      <c r="T154" s="243"/>
      <c r="U154" s="243"/>
      <c r="V154" s="243"/>
      <c r="W154" s="243"/>
      <c r="X154" s="243"/>
      <c r="Y154" s="243"/>
      <c r="Z154" s="243"/>
    </row>
    <row r="155" ht="13.5" customHeight="1" spans="1:26">
      <c r="A155" s="243"/>
      <c r="B155" s="243"/>
      <c r="C155" s="243"/>
      <c r="D155" s="243"/>
      <c r="E155" s="243"/>
      <c r="F155" s="243"/>
      <c r="G155" s="243"/>
      <c r="H155" s="243"/>
      <c r="I155" s="243"/>
      <c r="J155" s="243"/>
      <c r="K155" s="243"/>
      <c r="L155" s="243"/>
      <c r="M155" s="243"/>
      <c r="N155" s="243"/>
      <c r="O155" s="243"/>
      <c r="P155" s="243"/>
      <c r="Q155" s="243"/>
      <c r="R155" s="243"/>
      <c r="S155" s="243"/>
      <c r="T155" s="243"/>
      <c r="U155" s="243"/>
      <c r="V155" s="243"/>
      <c r="W155" s="243"/>
      <c r="X155" s="243"/>
      <c r="Y155" s="243"/>
      <c r="Z155" s="243"/>
    </row>
    <row r="156" ht="13.5" customHeight="1" spans="1:26">
      <c r="A156" s="243"/>
      <c r="B156" s="243"/>
      <c r="C156" s="243"/>
      <c r="D156" s="243"/>
      <c r="E156" s="243"/>
      <c r="F156" s="243"/>
      <c r="G156" s="243"/>
      <c r="H156" s="243"/>
      <c r="I156" s="243"/>
      <c r="J156" s="243"/>
      <c r="K156" s="243"/>
      <c r="L156" s="243"/>
      <c r="M156" s="243"/>
      <c r="N156" s="243"/>
      <c r="O156" s="243"/>
      <c r="P156" s="243"/>
      <c r="Q156" s="243"/>
      <c r="R156" s="243"/>
      <c r="S156" s="243"/>
      <c r="T156" s="243"/>
      <c r="U156" s="243"/>
      <c r="V156" s="243"/>
      <c r="W156" s="243"/>
      <c r="X156" s="243"/>
      <c r="Y156" s="243"/>
      <c r="Z156" s="243"/>
    </row>
    <row r="157" ht="13.5" customHeight="1" spans="1:26">
      <c r="A157" s="243"/>
      <c r="B157" s="243"/>
      <c r="C157" s="243"/>
      <c r="D157" s="243"/>
      <c r="E157" s="243"/>
      <c r="F157" s="243"/>
      <c r="G157" s="243"/>
      <c r="H157" s="243"/>
      <c r="I157" s="243"/>
      <c r="J157" s="243"/>
      <c r="K157" s="243"/>
      <c r="L157" s="243"/>
      <c r="M157" s="243"/>
      <c r="N157" s="243"/>
      <c r="O157" s="243"/>
      <c r="P157" s="243"/>
      <c r="Q157" s="243"/>
      <c r="R157" s="243"/>
      <c r="S157" s="243"/>
      <c r="T157" s="243"/>
      <c r="U157" s="243"/>
      <c r="V157" s="243"/>
      <c r="W157" s="243"/>
      <c r="X157" s="243"/>
      <c r="Y157" s="243"/>
      <c r="Z157" s="243"/>
    </row>
    <row r="158" ht="13.5" customHeight="1" spans="1:26">
      <c r="A158" s="243"/>
      <c r="B158" s="243"/>
      <c r="C158" s="243"/>
      <c r="D158" s="243"/>
      <c r="E158" s="243"/>
      <c r="F158" s="243"/>
      <c r="G158" s="243"/>
      <c r="H158" s="243"/>
      <c r="I158" s="243"/>
      <c r="J158" s="243"/>
      <c r="K158" s="243"/>
      <c r="L158" s="243"/>
      <c r="M158" s="243"/>
      <c r="N158" s="243"/>
      <c r="O158" s="243"/>
      <c r="P158" s="243"/>
      <c r="Q158" s="243"/>
      <c r="R158" s="243"/>
      <c r="S158" s="243"/>
      <c r="T158" s="243"/>
      <c r="U158" s="243"/>
      <c r="V158" s="243"/>
      <c r="W158" s="243"/>
      <c r="X158" s="243"/>
      <c r="Y158" s="243"/>
      <c r="Z158" s="243"/>
    </row>
    <row r="159" ht="13.5" customHeight="1" spans="1:26">
      <c r="A159" s="243"/>
      <c r="B159" s="243"/>
      <c r="C159" s="243"/>
      <c r="D159" s="243"/>
      <c r="E159" s="243"/>
      <c r="F159" s="243"/>
      <c r="G159" s="243"/>
      <c r="H159" s="243"/>
      <c r="I159" s="243"/>
      <c r="J159" s="243"/>
      <c r="K159" s="243"/>
      <c r="L159" s="243"/>
      <c r="M159" s="243"/>
      <c r="N159" s="243"/>
      <c r="O159" s="243"/>
      <c r="P159" s="243"/>
      <c r="Q159" s="243"/>
      <c r="R159" s="243"/>
      <c r="S159" s="243"/>
      <c r="T159" s="243"/>
      <c r="U159" s="243"/>
      <c r="V159" s="243"/>
      <c r="W159" s="243"/>
      <c r="X159" s="243"/>
      <c r="Y159" s="243"/>
      <c r="Z159" s="243"/>
    </row>
    <row r="160" ht="13.5" customHeight="1" spans="1:26">
      <c r="A160" s="243"/>
      <c r="B160" s="243"/>
      <c r="C160" s="243"/>
      <c r="D160" s="243"/>
      <c r="E160" s="243"/>
      <c r="F160" s="243"/>
      <c r="G160" s="243"/>
      <c r="H160" s="243"/>
      <c r="I160" s="243"/>
      <c r="J160" s="243"/>
      <c r="K160" s="243"/>
      <c r="L160" s="243"/>
      <c r="M160" s="243"/>
      <c r="N160" s="243"/>
      <c r="O160" s="243"/>
      <c r="P160" s="243"/>
      <c r="Q160" s="243"/>
      <c r="R160" s="243"/>
      <c r="S160" s="243"/>
      <c r="T160" s="243"/>
      <c r="U160" s="243"/>
      <c r="V160" s="243"/>
      <c r="W160" s="243"/>
      <c r="X160" s="243"/>
      <c r="Y160" s="243"/>
      <c r="Z160" s="243"/>
    </row>
    <row r="161" ht="13.5" customHeight="1" spans="1:26">
      <c r="A161" s="243"/>
      <c r="B161" s="243"/>
      <c r="C161" s="243"/>
      <c r="D161" s="243"/>
      <c r="E161" s="243"/>
      <c r="F161" s="243"/>
      <c r="G161" s="243"/>
      <c r="H161" s="243"/>
      <c r="I161" s="243"/>
      <c r="J161" s="243"/>
      <c r="K161" s="243"/>
      <c r="L161" s="243"/>
      <c r="M161" s="243"/>
      <c r="N161" s="243"/>
      <c r="O161" s="243"/>
      <c r="P161" s="243"/>
      <c r="Q161" s="243"/>
      <c r="R161" s="243"/>
      <c r="S161" s="243"/>
      <c r="T161" s="243"/>
      <c r="U161" s="243"/>
      <c r="V161" s="243"/>
      <c r="W161" s="243"/>
      <c r="X161" s="243"/>
      <c r="Y161" s="243"/>
      <c r="Z161" s="243"/>
    </row>
    <row r="162" ht="13.5" customHeight="1" spans="1:26">
      <c r="A162" s="243"/>
      <c r="B162" s="243"/>
      <c r="C162" s="243"/>
      <c r="D162" s="243"/>
      <c r="E162" s="243"/>
      <c r="F162" s="243"/>
      <c r="G162" s="243"/>
      <c r="H162" s="243"/>
      <c r="I162" s="243"/>
      <c r="J162" s="243"/>
      <c r="K162" s="243"/>
      <c r="L162" s="243"/>
      <c r="M162" s="243"/>
      <c r="N162" s="243"/>
      <c r="O162" s="243"/>
      <c r="P162" s="243"/>
      <c r="Q162" s="243"/>
      <c r="R162" s="243"/>
      <c r="S162" s="243"/>
      <c r="T162" s="243"/>
      <c r="U162" s="243"/>
      <c r="V162" s="243"/>
      <c r="W162" s="243"/>
      <c r="X162" s="243"/>
      <c r="Y162" s="243"/>
      <c r="Z162" s="243"/>
    </row>
    <row r="163" ht="13.5" customHeight="1" spans="1:26">
      <c r="A163" s="243"/>
      <c r="B163" s="243"/>
      <c r="C163" s="243"/>
      <c r="D163" s="243"/>
      <c r="E163" s="243"/>
      <c r="F163" s="243"/>
      <c r="G163" s="243"/>
      <c r="H163" s="243"/>
      <c r="I163" s="243"/>
      <c r="J163" s="243"/>
      <c r="K163" s="243"/>
      <c r="L163" s="243"/>
      <c r="M163" s="243"/>
      <c r="N163" s="243"/>
      <c r="O163" s="243"/>
      <c r="P163" s="243"/>
      <c r="Q163" s="243"/>
      <c r="R163" s="243"/>
      <c r="S163" s="243"/>
      <c r="T163" s="243"/>
      <c r="U163" s="243"/>
      <c r="V163" s="243"/>
      <c r="W163" s="243"/>
      <c r="X163" s="243"/>
      <c r="Y163" s="243"/>
      <c r="Z163" s="243"/>
    </row>
    <row r="164" ht="13.5" customHeight="1" spans="1:26">
      <c r="A164" s="243"/>
      <c r="B164" s="243"/>
      <c r="C164" s="243"/>
      <c r="D164" s="243"/>
      <c r="E164" s="243"/>
      <c r="F164" s="243"/>
      <c r="G164" s="243"/>
      <c r="H164" s="243"/>
      <c r="I164" s="243"/>
      <c r="J164" s="243"/>
      <c r="K164" s="243"/>
      <c r="L164" s="243"/>
      <c r="M164" s="243"/>
      <c r="N164" s="243"/>
      <c r="O164" s="243"/>
      <c r="P164" s="243"/>
      <c r="Q164" s="243"/>
      <c r="R164" s="243"/>
      <c r="S164" s="243"/>
      <c r="T164" s="243"/>
      <c r="U164" s="243"/>
      <c r="V164" s="243"/>
      <c r="W164" s="243"/>
      <c r="X164" s="243"/>
      <c r="Y164" s="243"/>
      <c r="Z164" s="243"/>
    </row>
    <row r="165" ht="13.5" customHeight="1" spans="1:26">
      <c r="A165" s="243"/>
      <c r="B165" s="243"/>
      <c r="C165" s="243"/>
      <c r="D165" s="243"/>
      <c r="E165" s="243"/>
      <c r="F165" s="243"/>
      <c r="G165" s="243"/>
      <c r="H165" s="243"/>
      <c r="I165" s="243"/>
      <c r="J165" s="243"/>
      <c r="K165" s="243"/>
      <c r="L165" s="243"/>
      <c r="M165" s="243"/>
      <c r="N165" s="243"/>
      <c r="O165" s="243"/>
      <c r="P165" s="243"/>
      <c r="Q165" s="243"/>
      <c r="R165" s="243"/>
      <c r="S165" s="243"/>
      <c r="T165" s="243"/>
      <c r="U165" s="243"/>
      <c r="V165" s="243"/>
      <c r="W165" s="243"/>
      <c r="X165" s="243"/>
      <c r="Y165" s="243"/>
      <c r="Z165" s="243"/>
    </row>
    <row r="166" ht="13.5" customHeight="1" spans="1:26">
      <c r="A166" s="243"/>
      <c r="B166" s="243"/>
      <c r="C166" s="243"/>
      <c r="D166" s="243"/>
      <c r="E166" s="243"/>
      <c r="F166" s="243"/>
      <c r="G166" s="243"/>
      <c r="H166" s="243"/>
      <c r="I166" s="243"/>
      <c r="J166" s="243"/>
      <c r="K166" s="243"/>
      <c r="L166" s="243"/>
      <c r="M166" s="243"/>
      <c r="N166" s="243"/>
      <c r="O166" s="243"/>
      <c r="P166" s="243"/>
      <c r="Q166" s="243"/>
      <c r="R166" s="243"/>
      <c r="S166" s="243"/>
      <c r="T166" s="243"/>
      <c r="U166" s="243"/>
      <c r="V166" s="243"/>
      <c r="W166" s="243"/>
      <c r="X166" s="243"/>
      <c r="Y166" s="243"/>
      <c r="Z166" s="243"/>
    </row>
    <row r="167" ht="13.5" customHeight="1" spans="1:26">
      <c r="A167" s="243"/>
      <c r="B167" s="243"/>
      <c r="C167" s="243"/>
      <c r="D167" s="243"/>
      <c r="E167" s="243"/>
      <c r="F167" s="243"/>
      <c r="G167" s="243"/>
      <c r="H167" s="243"/>
      <c r="I167" s="243"/>
      <c r="J167" s="243"/>
      <c r="K167" s="243"/>
      <c r="L167" s="243"/>
      <c r="M167" s="243"/>
      <c r="N167" s="243"/>
      <c r="O167" s="243"/>
      <c r="P167" s="243"/>
      <c r="Q167" s="243"/>
      <c r="R167" s="243"/>
      <c r="S167" s="243"/>
      <c r="T167" s="243"/>
      <c r="U167" s="243"/>
      <c r="V167" s="243"/>
      <c r="W167" s="243"/>
      <c r="X167" s="243"/>
      <c r="Y167" s="243"/>
      <c r="Z167" s="243"/>
    </row>
    <row r="168" ht="13.5" customHeight="1" spans="1:26">
      <c r="A168" s="243"/>
      <c r="B168" s="243"/>
      <c r="C168" s="243"/>
      <c r="D168" s="243"/>
      <c r="E168" s="243"/>
      <c r="F168" s="243"/>
      <c r="G168" s="243"/>
      <c r="H168" s="243"/>
      <c r="I168" s="243"/>
      <c r="J168" s="243"/>
      <c r="K168" s="243"/>
      <c r="L168" s="243"/>
      <c r="M168" s="243"/>
      <c r="N168" s="243"/>
      <c r="O168" s="243"/>
      <c r="P168" s="243"/>
      <c r="Q168" s="243"/>
      <c r="R168" s="243"/>
      <c r="S168" s="243"/>
      <c r="T168" s="243"/>
      <c r="U168" s="243"/>
      <c r="V168" s="243"/>
      <c r="W168" s="243"/>
      <c r="X168" s="243"/>
      <c r="Y168" s="243"/>
      <c r="Z168" s="243"/>
    </row>
    <row r="169" ht="13.5" customHeight="1" spans="1:26">
      <c r="A169" s="243"/>
      <c r="B169" s="243"/>
      <c r="C169" s="243"/>
      <c r="D169" s="243"/>
      <c r="E169" s="243"/>
      <c r="F169" s="243"/>
      <c r="G169" s="243"/>
      <c r="H169" s="243"/>
      <c r="I169" s="243"/>
      <c r="J169" s="243"/>
      <c r="K169" s="243"/>
      <c r="L169" s="243"/>
      <c r="M169" s="243"/>
      <c r="N169" s="243"/>
      <c r="O169" s="243"/>
      <c r="P169" s="243"/>
      <c r="Q169" s="243"/>
      <c r="R169" s="243"/>
      <c r="S169" s="243"/>
      <c r="T169" s="243"/>
      <c r="U169" s="243"/>
      <c r="V169" s="243"/>
      <c r="W169" s="243"/>
      <c r="X169" s="243"/>
      <c r="Y169" s="243"/>
      <c r="Z169" s="243"/>
    </row>
    <row r="170" ht="13.5" customHeight="1" spans="1:26">
      <c r="A170" s="243"/>
      <c r="B170" s="243"/>
      <c r="C170" s="243"/>
      <c r="D170" s="243"/>
      <c r="E170" s="243"/>
      <c r="F170" s="243"/>
      <c r="G170" s="243"/>
      <c r="H170" s="243"/>
      <c r="I170" s="243"/>
      <c r="J170" s="243"/>
      <c r="K170" s="243"/>
      <c r="L170" s="243"/>
      <c r="M170" s="243"/>
      <c r="N170" s="243"/>
      <c r="O170" s="243"/>
      <c r="P170" s="243"/>
      <c r="Q170" s="243"/>
      <c r="R170" s="243"/>
      <c r="S170" s="243"/>
      <c r="T170" s="243"/>
      <c r="U170" s="243"/>
      <c r="V170" s="243"/>
      <c r="W170" s="243"/>
      <c r="X170" s="243"/>
      <c r="Y170" s="243"/>
      <c r="Z170" s="243"/>
    </row>
    <row r="171" ht="13.5" customHeight="1" spans="1:26">
      <c r="A171" s="243"/>
      <c r="B171" s="243"/>
      <c r="C171" s="243"/>
      <c r="D171" s="243"/>
      <c r="E171" s="243"/>
      <c r="F171" s="243"/>
      <c r="G171" s="243"/>
      <c r="H171" s="243"/>
      <c r="I171" s="243"/>
      <c r="J171" s="243"/>
      <c r="K171" s="243"/>
      <c r="L171" s="243"/>
      <c r="M171" s="243"/>
      <c r="N171" s="243"/>
      <c r="O171" s="243"/>
      <c r="P171" s="243"/>
      <c r="Q171" s="243"/>
      <c r="R171" s="243"/>
      <c r="S171" s="243"/>
      <c r="T171" s="243"/>
      <c r="U171" s="243"/>
      <c r="V171" s="243"/>
      <c r="W171" s="243"/>
      <c r="X171" s="243"/>
      <c r="Y171" s="243"/>
      <c r="Z171" s="243"/>
    </row>
    <row r="172" ht="13.5" customHeight="1" spans="1:26">
      <c r="A172" s="243"/>
      <c r="B172" s="243"/>
      <c r="C172" s="243"/>
      <c r="D172" s="243"/>
      <c r="E172" s="243"/>
      <c r="F172" s="243"/>
      <c r="G172" s="243"/>
      <c r="H172" s="243"/>
      <c r="I172" s="243"/>
      <c r="J172" s="243"/>
      <c r="K172" s="243"/>
      <c r="L172" s="243"/>
      <c r="M172" s="243"/>
      <c r="N172" s="243"/>
      <c r="O172" s="243"/>
      <c r="P172" s="243"/>
      <c r="Q172" s="243"/>
      <c r="R172" s="243"/>
      <c r="S172" s="243"/>
      <c r="T172" s="243"/>
      <c r="U172" s="243"/>
      <c r="V172" s="243"/>
      <c r="W172" s="243"/>
      <c r="X172" s="243"/>
      <c r="Y172" s="243"/>
      <c r="Z172" s="243"/>
    </row>
    <row r="173" ht="13.5" customHeight="1" spans="1:26">
      <c r="A173" s="243"/>
      <c r="B173" s="243"/>
      <c r="C173" s="243"/>
      <c r="D173" s="243"/>
      <c r="E173" s="243"/>
      <c r="F173" s="243"/>
      <c r="G173" s="243"/>
      <c r="H173" s="243"/>
      <c r="I173" s="243"/>
      <c r="J173" s="243"/>
      <c r="K173" s="243"/>
      <c r="L173" s="243"/>
      <c r="M173" s="243"/>
      <c r="N173" s="243"/>
      <c r="O173" s="243"/>
      <c r="P173" s="243"/>
      <c r="Q173" s="243"/>
      <c r="R173" s="243"/>
      <c r="S173" s="243"/>
      <c r="T173" s="243"/>
      <c r="U173" s="243"/>
      <c r="V173" s="243"/>
      <c r="W173" s="243"/>
      <c r="X173" s="243"/>
      <c r="Y173" s="243"/>
      <c r="Z173" s="243"/>
    </row>
    <row r="174" ht="13.5" customHeight="1" spans="1:26">
      <c r="A174" s="243"/>
      <c r="B174" s="243"/>
      <c r="C174" s="243"/>
      <c r="D174" s="243"/>
      <c r="E174" s="243"/>
      <c r="F174" s="243"/>
      <c r="G174" s="243"/>
      <c r="H174" s="243"/>
      <c r="I174" s="243"/>
      <c r="J174" s="243"/>
      <c r="K174" s="243"/>
      <c r="L174" s="243"/>
      <c r="M174" s="243"/>
      <c r="N174" s="243"/>
      <c r="O174" s="243"/>
      <c r="P174" s="243"/>
      <c r="Q174" s="243"/>
      <c r="R174" s="243"/>
      <c r="S174" s="243"/>
      <c r="T174" s="243"/>
      <c r="U174" s="243"/>
      <c r="V174" s="243"/>
      <c r="W174" s="243"/>
      <c r="X174" s="243"/>
      <c r="Y174" s="243"/>
      <c r="Z174" s="243"/>
    </row>
    <row r="175" ht="13.5" customHeight="1" spans="1:26">
      <c r="A175" s="243"/>
      <c r="B175" s="243"/>
      <c r="C175" s="243"/>
      <c r="D175" s="243"/>
      <c r="E175" s="243"/>
      <c r="F175" s="243"/>
      <c r="G175" s="243"/>
      <c r="H175" s="243"/>
      <c r="I175" s="243"/>
      <c r="J175" s="243"/>
      <c r="K175" s="243"/>
      <c r="L175" s="243"/>
      <c r="M175" s="243"/>
      <c r="N175" s="243"/>
      <c r="O175" s="243"/>
      <c r="P175" s="243"/>
      <c r="Q175" s="243"/>
      <c r="R175" s="243"/>
      <c r="S175" s="243"/>
      <c r="T175" s="243"/>
      <c r="U175" s="243"/>
      <c r="V175" s="243"/>
      <c r="W175" s="243"/>
      <c r="X175" s="243"/>
      <c r="Y175" s="243"/>
      <c r="Z175" s="243"/>
    </row>
    <row r="176" ht="13.5" customHeight="1" spans="1:26">
      <c r="A176" s="243"/>
      <c r="B176" s="243"/>
      <c r="C176" s="243"/>
      <c r="D176" s="243"/>
      <c r="E176" s="243"/>
      <c r="F176" s="243"/>
      <c r="G176" s="243"/>
      <c r="H176" s="243"/>
      <c r="I176" s="243"/>
      <c r="J176" s="243"/>
      <c r="K176" s="243"/>
      <c r="L176" s="243"/>
      <c r="M176" s="243"/>
      <c r="N176" s="243"/>
      <c r="O176" s="243"/>
      <c r="P176" s="243"/>
      <c r="Q176" s="243"/>
      <c r="R176" s="243"/>
      <c r="S176" s="243"/>
      <c r="T176" s="243"/>
      <c r="U176" s="243"/>
      <c r="V176" s="243"/>
      <c r="W176" s="243"/>
      <c r="X176" s="243"/>
      <c r="Y176" s="243"/>
      <c r="Z176" s="243"/>
    </row>
    <row r="177" ht="13.5" customHeight="1" spans="1:26">
      <c r="A177" s="243"/>
      <c r="B177" s="243"/>
      <c r="C177" s="243"/>
      <c r="D177" s="243"/>
      <c r="E177" s="243"/>
      <c r="F177" s="243"/>
      <c r="G177" s="243"/>
      <c r="H177" s="243"/>
      <c r="I177" s="243"/>
      <c r="J177" s="243"/>
      <c r="K177" s="243"/>
      <c r="L177" s="243"/>
      <c r="M177" s="243"/>
      <c r="N177" s="243"/>
      <c r="O177" s="243"/>
      <c r="P177" s="243"/>
      <c r="Q177" s="243"/>
      <c r="R177" s="243"/>
      <c r="S177" s="243"/>
      <c r="T177" s="243"/>
      <c r="U177" s="243"/>
      <c r="V177" s="243"/>
      <c r="W177" s="243"/>
      <c r="X177" s="243"/>
      <c r="Y177" s="243"/>
      <c r="Z177" s="243"/>
    </row>
    <row r="178" ht="13.5" customHeight="1" spans="1:26">
      <c r="A178" s="243"/>
      <c r="B178" s="243"/>
      <c r="C178" s="243"/>
      <c r="D178" s="243"/>
      <c r="E178" s="243"/>
      <c r="F178" s="243"/>
      <c r="G178" s="243"/>
      <c r="H178" s="243"/>
      <c r="I178" s="243"/>
      <c r="J178" s="243"/>
      <c r="K178" s="243"/>
      <c r="L178" s="243"/>
      <c r="M178" s="243"/>
      <c r="N178" s="243"/>
      <c r="O178" s="243"/>
      <c r="P178" s="243"/>
      <c r="Q178" s="243"/>
      <c r="R178" s="243"/>
      <c r="S178" s="243"/>
      <c r="T178" s="243"/>
      <c r="U178" s="243"/>
      <c r="V178" s="243"/>
      <c r="W178" s="243"/>
      <c r="X178" s="243"/>
      <c r="Y178" s="243"/>
      <c r="Z178" s="243"/>
    </row>
    <row r="179" ht="13.5" customHeight="1" spans="1:26">
      <c r="A179" s="243"/>
      <c r="B179" s="243"/>
      <c r="C179" s="243"/>
      <c r="D179" s="243"/>
      <c r="E179" s="243"/>
      <c r="F179" s="243"/>
      <c r="G179" s="243"/>
      <c r="H179" s="243"/>
      <c r="I179" s="243"/>
      <c r="J179" s="243"/>
      <c r="K179" s="243"/>
      <c r="L179" s="243"/>
      <c r="M179" s="243"/>
      <c r="N179" s="243"/>
      <c r="O179" s="243"/>
      <c r="P179" s="243"/>
      <c r="Q179" s="243"/>
      <c r="R179" s="243"/>
      <c r="S179" s="243"/>
      <c r="T179" s="243"/>
      <c r="U179" s="243"/>
      <c r="V179" s="243"/>
      <c r="W179" s="243"/>
      <c r="X179" s="243"/>
      <c r="Y179" s="243"/>
      <c r="Z179" s="243"/>
    </row>
    <row r="180" ht="13.5" customHeight="1" spans="1:26">
      <c r="A180" s="243"/>
      <c r="B180" s="243"/>
      <c r="C180" s="243"/>
      <c r="D180" s="243"/>
      <c r="E180" s="243"/>
      <c r="F180" s="243"/>
      <c r="G180" s="243"/>
      <c r="H180" s="243"/>
      <c r="I180" s="243"/>
      <c r="J180" s="243"/>
      <c r="K180" s="243"/>
      <c r="L180" s="243"/>
      <c r="M180" s="243"/>
      <c r="N180" s="243"/>
      <c r="O180" s="243"/>
      <c r="P180" s="243"/>
      <c r="Q180" s="243"/>
      <c r="R180" s="243"/>
      <c r="S180" s="243"/>
      <c r="T180" s="243"/>
      <c r="U180" s="243"/>
      <c r="V180" s="243"/>
      <c r="W180" s="243"/>
      <c r="X180" s="243"/>
      <c r="Y180" s="243"/>
      <c r="Z180" s="243"/>
    </row>
    <row r="181" ht="13.5" customHeight="1" spans="1:26">
      <c r="A181" s="243"/>
      <c r="B181" s="243"/>
      <c r="C181" s="243"/>
      <c r="D181" s="243"/>
      <c r="E181" s="243"/>
      <c r="F181" s="243"/>
      <c r="G181" s="243"/>
      <c r="H181" s="243"/>
      <c r="I181" s="243"/>
      <c r="J181" s="243"/>
      <c r="K181" s="243"/>
      <c r="L181" s="243"/>
      <c r="M181" s="243"/>
      <c r="N181" s="243"/>
      <c r="O181" s="243"/>
      <c r="P181" s="243"/>
      <c r="Q181" s="243"/>
      <c r="R181" s="243"/>
      <c r="S181" s="243"/>
      <c r="T181" s="243"/>
      <c r="U181" s="243"/>
      <c r="V181" s="243"/>
      <c r="W181" s="243"/>
      <c r="X181" s="243"/>
      <c r="Y181" s="243"/>
      <c r="Z181" s="243"/>
    </row>
    <row r="182" ht="13.5" customHeight="1" spans="1:26">
      <c r="A182" s="243"/>
      <c r="B182" s="243"/>
      <c r="C182" s="243"/>
      <c r="D182" s="243"/>
      <c r="E182" s="243"/>
      <c r="F182" s="243"/>
      <c r="G182" s="243"/>
      <c r="H182" s="243"/>
      <c r="I182" s="243"/>
      <c r="J182" s="243"/>
      <c r="K182" s="243"/>
      <c r="L182" s="243"/>
      <c r="M182" s="243"/>
      <c r="N182" s="243"/>
      <c r="O182" s="243"/>
      <c r="P182" s="243"/>
      <c r="Q182" s="243"/>
      <c r="R182" s="243"/>
      <c r="S182" s="243"/>
      <c r="T182" s="243"/>
      <c r="U182" s="243"/>
      <c r="V182" s="243"/>
      <c r="W182" s="243"/>
      <c r="X182" s="243"/>
      <c r="Y182" s="243"/>
      <c r="Z182" s="243"/>
    </row>
    <row r="183" ht="13.5" customHeight="1" spans="1:26">
      <c r="A183" s="243"/>
      <c r="B183" s="243"/>
      <c r="C183" s="243"/>
      <c r="D183" s="243"/>
      <c r="E183" s="243"/>
      <c r="F183" s="243"/>
      <c r="G183" s="243"/>
      <c r="H183" s="243"/>
      <c r="I183" s="243"/>
      <c r="J183" s="243"/>
      <c r="K183" s="243"/>
      <c r="L183" s="243"/>
      <c r="M183" s="243"/>
      <c r="N183" s="243"/>
      <c r="O183" s="243"/>
      <c r="P183" s="243"/>
      <c r="Q183" s="243"/>
      <c r="R183" s="243"/>
      <c r="S183" s="243"/>
      <c r="T183" s="243"/>
      <c r="U183" s="243"/>
      <c r="V183" s="243"/>
      <c r="W183" s="243"/>
      <c r="X183" s="243"/>
      <c r="Y183" s="243"/>
      <c r="Z183" s="243"/>
    </row>
    <row r="184" ht="13.5" customHeight="1" spans="1:26">
      <c r="A184" s="243"/>
      <c r="B184" s="243"/>
      <c r="C184" s="243"/>
      <c r="D184" s="243"/>
      <c r="E184" s="243"/>
      <c r="F184" s="243"/>
      <c r="G184" s="243"/>
      <c r="H184" s="243"/>
      <c r="I184" s="243"/>
      <c r="J184" s="243"/>
      <c r="K184" s="243"/>
      <c r="L184" s="243"/>
      <c r="M184" s="243"/>
      <c r="N184" s="243"/>
      <c r="O184" s="243"/>
      <c r="P184" s="243"/>
      <c r="Q184" s="243"/>
      <c r="R184" s="243"/>
      <c r="S184" s="243"/>
      <c r="T184" s="243"/>
      <c r="U184" s="243"/>
      <c r="V184" s="243"/>
      <c r="W184" s="243"/>
      <c r="X184" s="243"/>
      <c r="Y184" s="243"/>
      <c r="Z184" s="243"/>
    </row>
    <row r="185" ht="13.5" customHeight="1" spans="1:26">
      <c r="A185" s="243"/>
      <c r="B185" s="243"/>
      <c r="C185" s="243"/>
      <c r="D185" s="243"/>
      <c r="E185" s="243"/>
      <c r="F185" s="243"/>
      <c r="G185" s="243"/>
      <c r="H185" s="243"/>
      <c r="I185" s="243"/>
      <c r="J185" s="243"/>
      <c r="K185" s="243"/>
      <c r="L185" s="243"/>
      <c r="M185" s="243"/>
      <c r="N185" s="243"/>
      <c r="O185" s="243"/>
      <c r="P185" s="243"/>
      <c r="Q185" s="243"/>
      <c r="R185" s="243"/>
      <c r="S185" s="243"/>
      <c r="T185" s="243"/>
      <c r="U185" s="243"/>
      <c r="V185" s="243"/>
      <c r="W185" s="243"/>
      <c r="X185" s="243"/>
      <c r="Y185" s="243"/>
      <c r="Z185" s="243"/>
    </row>
    <row r="186" ht="13.5" customHeight="1" spans="1:26">
      <c r="A186" s="243"/>
      <c r="B186" s="243"/>
      <c r="C186" s="243"/>
      <c r="D186" s="243"/>
      <c r="E186" s="243"/>
      <c r="F186" s="243"/>
      <c r="G186" s="243"/>
      <c r="H186" s="243"/>
      <c r="I186" s="243"/>
      <c r="J186" s="243"/>
      <c r="K186" s="243"/>
      <c r="L186" s="243"/>
      <c r="M186" s="243"/>
      <c r="N186" s="243"/>
      <c r="O186" s="243"/>
      <c r="P186" s="243"/>
      <c r="Q186" s="243"/>
      <c r="R186" s="243"/>
      <c r="S186" s="243"/>
      <c r="T186" s="243"/>
      <c r="U186" s="243"/>
      <c r="V186" s="243"/>
      <c r="W186" s="243"/>
      <c r="X186" s="243"/>
      <c r="Y186" s="243"/>
      <c r="Z186" s="243"/>
    </row>
    <row r="187" ht="13.5" customHeight="1" spans="1:26">
      <c r="A187" s="243"/>
      <c r="B187" s="243"/>
      <c r="C187" s="243"/>
      <c r="D187" s="243"/>
      <c r="E187" s="243"/>
      <c r="F187" s="243"/>
      <c r="G187" s="243"/>
      <c r="H187" s="243"/>
      <c r="I187" s="243"/>
      <c r="J187" s="243"/>
      <c r="K187" s="243"/>
      <c r="L187" s="243"/>
      <c r="M187" s="243"/>
      <c r="N187" s="243"/>
      <c r="O187" s="243"/>
      <c r="P187" s="243"/>
      <c r="Q187" s="243"/>
      <c r="R187" s="243"/>
      <c r="S187" s="243"/>
      <c r="T187" s="243"/>
      <c r="U187" s="243"/>
      <c r="V187" s="243"/>
      <c r="W187" s="243"/>
      <c r="X187" s="243"/>
      <c r="Y187" s="243"/>
      <c r="Z187" s="243"/>
    </row>
    <row r="188" ht="13.5" customHeight="1" spans="1:26">
      <c r="A188" s="243"/>
      <c r="B188" s="243"/>
      <c r="C188" s="243"/>
      <c r="D188" s="243"/>
      <c r="E188" s="243"/>
      <c r="F188" s="243"/>
      <c r="G188" s="243"/>
      <c r="H188" s="243"/>
      <c r="I188" s="243"/>
      <c r="J188" s="243"/>
      <c r="K188" s="243"/>
      <c r="L188" s="243"/>
      <c r="M188" s="243"/>
      <c r="N188" s="243"/>
      <c r="O188" s="243"/>
      <c r="P188" s="243"/>
      <c r="Q188" s="243"/>
      <c r="R188" s="243"/>
      <c r="S188" s="243"/>
      <c r="T188" s="243"/>
      <c r="U188" s="243"/>
      <c r="V188" s="243"/>
      <c r="W188" s="243"/>
      <c r="X188" s="243"/>
      <c r="Y188" s="243"/>
      <c r="Z188" s="243"/>
    </row>
    <row r="189" ht="13.5" customHeight="1" spans="1:26">
      <c r="A189" s="243"/>
      <c r="B189" s="243"/>
      <c r="C189" s="243"/>
      <c r="D189" s="243"/>
      <c r="E189" s="243"/>
      <c r="F189" s="243"/>
      <c r="G189" s="243"/>
      <c r="H189" s="243"/>
      <c r="I189" s="243"/>
      <c r="J189" s="243"/>
      <c r="K189" s="243"/>
      <c r="L189" s="243"/>
      <c r="M189" s="243"/>
      <c r="N189" s="243"/>
      <c r="O189" s="243"/>
      <c r="P189" s="243"/>
      <c r="Q189" s="243"/>
      <c r="R189" s="243"/>
      <c r="S189" s="243"/>
      <c r="T189" s="243"/>
      <c r="U189" s="243"/>
      <c r="V189" s="243"/>
      <c r="W189" s="243"/>
      <c r="X189" s="243"/>
      <c r="Y189" s="243"/>
      <c r="Z189" s="243"/>
    </row>
    <row r="190" ht="13.5" customHeight="1" spans="1:26">
      <c r="A190" s="243"/>
      <c r="B190" s="243"/>
      <c r="C190" s="243"/>
      <c r="D190" s="243"/>
      <c r="E190" s="243"/>
      <c r="F190" s="243"/>
      <c r="G190" s="243"/>
      <c r="H190" s="243"/>
      <c r="I190" s="243"/>
      <c r="J190" s="243"/>
      <c r="K190" s="243"/>
      <c r="L190" s="243"/>
      <c r="M190" s="243"/>
      <c r="N190" s="243"/>
      <c r="O190" s="243"/>
      <c r="P190" s="243"/>
      <c r="Q190" s="243"/>
      <c r="R190" s="243"/>
      <c r="S190" s="243"/>
      <c r="T190" s="243"/>
      <c r="U190" s="243"/>
      <c r="V190" s="243"/>
      <c r="W190" s="243"/>
      <c r="X190" s="243"/>
      <c r="Y190" s="243"/>
      <c r="Z190" s="243"/>
    </row>
    <row r="191" ht="13.5" customHeight="1" spans="1:26">
      <c r="A191" s="243"/>
      <c r="B191" s="243"/>
      <c r="C191" s="243"/>
      <c r="D191" s="243"/>
      <c r="E191" s="243"/>
      <c r="F191" s="243"/>
      <c r="G191" s="243"/>
      <c r="H191" s="243"/>
      <c r="I191" s="243"/>
      <c r="J191" s="243"/>
      <c r="K191" s="243"/>
      <c r="L191" s="243"/>
      <c r="M191" s="243"/>
      <c r="N191" s="243"/>
      <c r="O191" s="243"/>
      <c r="P191" s="243"/>
      <c r="Q191" s="243"/>
      <c r="R191" s="243"/>
      <c r="S191" s="243"/>
      <c r="T191" s="243"/>
      <c r="U191" s="243"/>
      <c r="V191" s="243"/>
      <c r="W191" s="243"/>
      <c r="X191" s="243"/>
      <c r="Y191" s="243"/>
      <c r="Z191" s="243"/>
    </row>
    <row r="192" ht="13.5" customHeight="1" spans="1:26">
      <c r="A192" s="243"/>
      <c r="B192" s="243"/>
      <c r="C192" s="243"/>
      <c r="D192" s="243"/>
      <c r="E192" s="243"/>
      <c r="F192" s="243"/>
      <c r="G192" s="243"/>
      <c r="H192" s="243"/>
      <c r="I192" s="243"/>
      <c r="J192" s="243"/>
      <c r="K192" s="243"/>
      <c r="L192" s="243"/>
      <c r="M192" s="243"/>
      <c r="N192" s="243"/>
      <c r="O192" s="243"/>
      <c r="P192" s="243"/>
      <c r="Q192" s="243"/>
      <c r="R192" s="243"/>
      <c r="S192" s="243"/>
      <c r="T192" s="243"/>
      <c r="U192" s="243"/>
      <c r="V192" s="243"/>
      <c r="W192" s="243"/>
      <c r="X192" s="243"/>
      <c r="Y192" s="243"/>
      <c r="Z192" s="243"/>
    </row>
    <row r="193" ht="13.5" customHeight="1" spans="1:26">
      <c r="A193" s="243"/>
      <c r="B193" s="243"/>
      <c r="C193" s="243"/>
      <c r="D193" s="243"/>
      <c r="E193" s="243"/>
      <c r="F193" s="243"/>
      <c r="G193" s="243"/>
      <c r="H193" s="243"/>
      <c r="I193" s="243"/>
      <c r="J193" s="243"/>
      <c r="K193" s="243"/>
      <c r="L193" s="243"/>
      <c r="M193" s="243"/>
      <c r="N193" s="243"/>
      <c r="O193" s="243"/>
      <c r="P193" s="243"/>
      <c r="Q193" s="243"/>
      <c r="R193" s="243"/>
      <c r="S193" s="243"/>
      <c r="T193" s="243"/>
      <c r="U193" s="243"/>
      <c r="V193" s="243"/>
      <c r="W193" s="243"/>
      <c r="X193" s="243"/>
      <c r="Y193" s="243"/>
      <c r="Z193" s="243"/>
    </row>
    <row r="194" ht="13.5" customHeight="1" spans="1:26">
      <c r="A194" s="243"/>
      <c r="B194" s="243"/>
      <c r="C194" s="243"/>
      <c r="D194" s="243"/>
      <c r="E194" s="243"/>
      <c r="F194" s="243"/>
      <c r="G194" s="243"/>
      <c r="H194" s="243"/>
      <c r="I194" s="243"/>
      <c r="J194" s="243"/>
      <c r="K194" s="243"/>
      <c r="L194" s="243"/>
      <c r="M194" s="243"/>
      <c r="N194" s="243"/>
      <c r="O194" s="243"/>
      <c r="P194" s="243"/>
      <c r="Q194" s="243"/>
      <c r="R194" s="243"/>
      <c r="S194" s="243"/>
      <c r="T194" s="243"/>
      <c r="U194" s="243"/>
      <c r="V194" s="243"/>
      <c r="W194" s="243"/>
      <c r="X194" s="243"/>
      <c r="Y194" s="243"/>
      <c r="Z194" s="243"/>
    </row>
    <row r="195" ht="13.5" customHeight="1" spans="1:26">
      <c r="A195" s="243"/>
      <c r="B195" s="243"/>
      <c r="C195" s="243"/>
      <c r="D195" s="243"/>
      <c r="E195" s="243"/>
      <c r="F195" s="243"/>
      <c r="G195" s="243"/>
      <c r="H195" s="243"/>
      <c r="I195" s="243"/>
      <c r="J195" s="243"/>
      <c r="K195" s="243"/>
      <c r="L195" s="243"/>
      <c r="M195" s="243"/>
      <c r="N195" s="243"/>
      <c r="O195" s="243"/>
      <c r="P195" s="243"/>
      <c r="Q195" s="243"/>
      <c r="R195" s="243"/>
      <c r="S195" s="243"/>
      <c r="T195" s="243"/>
      <c r="U195" s="243"/>
      <c r="V195" s="243"/>
      <c r="W195" s="243"/>
      <c r="X195" s="243"/>
      <c r="Y195" s="243"/>
      <c r="Z195" s="243"/>
    </row>
    <row r="196" ht="13.5" customHeight="1" spans="1:26">
      <c r="A196" s="243"/>
      <c r="B196" s="243"/>
      <c r="C196" s="243"/>
      <c r="D196" s="243"/>
      <c r="E196" s="243"/>
      <c r="F196" s="243"/>
      <c r="G196" s="243"/>
      <c r="H196" s="243"/>
      <c r="I196" s="243"/>
      <c r="J196" s="243"/>
      <c r="K196" s="243"/>
      <c r="L196" s="243"/>
      <c r="M196" s="243"/>
      <c r="N196" s="243"/>
      <c r="O196" s="243"/>
      <c r="P196" s="243"/>
      <c r="Q196" s="243"/>
      <c r="R196" s="243"/>
      <c r="S196" s="243"/>
      <c r="T196" s="243"/>
      <c r="U196" s="243"/>
      <c r="V196" s="243"/>
      <c r="W196" s="243"/>
      <c r="X196" s="243"/>
      <c r="Y196" s="243"/>
      <c r="Z196" s="243"/>
    </row>
    <row r="197" ht="13.5" customHeight="1" spans="1:26">
      <c r="A197" s="243"/>
      <c r="B197" s="243"/>
      <c r="C197" s="243"/>
      <c r="D197" s="243"/>
      <c r="E197" s="243"/>
      <c r="F197" s="243"/>
      <c r="G197" s="243"/>
      <c r="H197" s="243"/>
      <c r="I197" s="243"/>
      <c r="J197" s="243"/>
      <c r="K197" s="243"/>
      <c r="L197" s="243"/>
      <c r="M197" s="243"/>
      <c r="N197" s="243"/>
      <c r="O197" s="243"/>
      <c r="P197" s="243"/>
      <c r="Q197" s="243"/>
      <c r="R197" s="243"/>
      <c r="S197" s="243"/>
      <c r="T197" s="243"/>
      <c r="U197" s="243"/>
      <c r="V197" s="243"/>
      <c r="W197" s="243"/>
      <c r="X197" s="243"/>
      <c r="Y197" s="243"/>
      <c r="Z197" s="243"/>
    </row>
    <row r="198" ht="13.5" customHeight="1" spans="1:26">
      <c r="A198" s="243"/>
      <c r="B198" s="243"/>
      <c r="C198" s="243"/>
      <c r="D198" s="243"/>
      <c r="E198" s="243"/>
      <c r="F198" s="243"/>
      <c r="G198" s="243"/>
      <c r="H198" s="243"/>
      <c r="I198" s="243"/>
      <c r="J198" s="243"/>
      <c r="K198" s="243"/>
      <c r="L198" s="243"/>
      <c r="M198" s="243"/>
      <c r="N198" s="243"/>
      <c r="O198" s="243"/>
      <c r="P198" s="243"/>
      <c r="Q198" s="243"/>
      <c r="R198" s="243"/>
      <c r="S198" s="243"/>
      <c r="T198" s="243"/>
      <c r="U198" s="243"/>
      <c r="V198" s="243"/>
      <c r="W198" s="243"/>
      <c r="X198" s="243"/>
      <c r="Y198" s="243"/>
      <c r="Z198" s="243"/>
    </row>
    <row r="199" ht="13.5" customHeight="1" spans="1:26">
      <c r="A199" s="243"/>
      <c r="B199" s="243"/>
      <c r="C199" s="243"/>
      <c r="D199" s="243"/>
      <c r="E199" s="243"/>
      <c r="F199" s="243"/>
      <c r="G199" s="243"/>
      <c r="H199" s="243"/>
      <c r="I199" s="243"/>
      <c r="J199" s="243"/>
      <c r="K199" s="243"/>
      <c r="L199" s="243"/>
      <c r="M199" s="243"/>
      <c r="N199" s="243"/>
      <c r="O199" s="243"/>
      <c r="P199" s="243"/>
      <c r="Q199" s="243"/>
      <c r="R199" s="243"/>
      <c r="S199" s="243"/>
      <c r="T199" s="243"/>
      <c r="U199" s="243"/>
      <c r="V199" s="243"/>
      <c r="W199" s="243"/>
      <c r="X199" s="243"/>
      <c r="Y199" s="243"/>
      <c r="Z199" s="243"/>
    </row>
    <row r="200" ht="13.5" customHeight="1" spans="1:26">
      <c r="A200" s="243"/>
      <c r="B200" s="243"/>
      <c r="C200" s="243"/>
      <c r="D200" s="243"/>
      <c r="E200" s="243"/>
      <c r="F200" s="243"/>
      <c r="G200" s="243"/>
      <c r="H200" s="243"/>
      <c r="I200" s="243"/>
      <c r="J200" s="243"/>
      <c r="K200" s="243"/>
      <c r="L200" s="243"/>
      <c r="M200" s="243"/>
      <c r="N200" s="243"/>
      <c r="O200" s="243"/>
      <c r="P200" s="243"/>
      <c r="Q200" s="243"/>
      <c r="R200" s="243"/>
      <c r="S200" s="243"/>
      <c r="T200" s="243"/>
      <c r="U200" s="243"/>
      <c r="V200" s="243"/>
      <c r="W200" s="243"/>
      <c r="X200" s="243"/>
      <c r="Y200" s="243"/>
      <c r="Z200" s="243"/>
    </row>
    <row r="201" ht="13.5" customHeight="1" spans="1:26">
      <c r="A201" s="243"/>
      <c r="B201" s="243"/>
      <c r="C201" s="243"/>
      <c r="D201" s="243"/>
      <c r="E201" s="243"/>
      <c r="F201" s="243"/>
      <c r="G201" s="243"/>
      <c r="H201" s="243"/>
      <c r="I201" s="243"/>
      <c r="J201" s="243"/>
      <c r="K201" s="243"/>
      <c r="L201" s="243"/>
      <c r="M201" s="243"/>
      <c r="N201" s="243"/>
      <c r="O201" s="243"/>
      <c r="P201" s="243"/>
      <c r="Q201" s="243"/>
      <c r="R201" s="243"/>
      <c r="S201" s="243"/>
      <c r="T201" s="243"/>
      <c r="U201" s="243"/>
      <c r="V201" s="243"/>
      <c r="W201" s="243"/>
      <c r="X201" s="243"/>
      <c r="Y201" s="243"/>
      <c r="Z201" s="243"/>
    </row>
    <row r="202" ht="13.5" customHeight="1" spans="1:26">
      <c r="A202" s="243"/>
      <c r="B202" s="243"/>
      <c r="C202" s="243"/>
      <c r="D202" s="243"/>
      <c r="E202" s="243"/>
      <c r="F202" s="243"/>
      <c r="G202" s="243"/>
      <c r="H202" s="243"/>
      <c r="I202" s="243"/>
      <c r="J202" s="243"/>
      <c r="K202" s="243"/>
      <c r="L202" s="243"/>
      <c r="M202" s="243"/>
      <c r="N202" s="243"/>
      <c r="O202" s="243"/>
      <c r="P202" s="243"/>
      <c r="Q202" s="243"/>
      <c r="R202" s="243"/>
      <c r="S202" s="243"/>
      <c r="T202" s="243"/>
      <c r="U202" s="243"/>
      <c r="V202" s="243"/>
      <c r="W202" s="243"/>
      <c r="X202" s="243"/>
      <c r="Y202" s="243"/>
      <c r="Z202" s="243"/>
    </row>
    <row r="203" ht="13.5" customHeight="1" spans="1:26">
      <c r="A203" s="243"/>
      <c r="B203" s="243"/>
      <c r="C203" s="243"/>
      <c r="D203" s="243"/>
      <c r="E203" s="243"/>
      <c r="F203" s="243"/>
      <c r="G203" s="243"/>
      <c r="H203" s="243"/>
      <c r="I203" s="243"/>
      <c r="J203" s="243"/>
      <c r="K203" s="243"/>
      <c r="L203" s="243"/>
      <c r="M203" s="243"/>
      <c r="N203" s="243"/>
      <c r="O203" s="243"/>
      <c r="P203" s="243"/>
      <c r="Q203" s="243"/>
      <c r="R203" s="243"/>
      <c r="S203" s="243"/>
      <c r="T203" s="243"/>
      <c r="U203" s="243"/>
      <c r="V203" s="243"/>
      <c r="W203" s="243"/>
      <c r="X203" s="243"/>
      <c r="Y203" s="243"/>
      <c r="Z203" s="243"/>
    </row>
    <row r="204" ht="13.5" customHeight="1" spans="1:26">
      <c r="A204" s="243"/>
      <c r="B204" s="243"/>
      <c r="C204" s="243"/>
      <c r="D204" s="243"/>
      <c r="E204" s="243"/>
      <c r="F204" s="243"/>
      <c r="G204" s="243"/>
      <c r="H204" s="243"/>
      <c r="I204" s="243"/>
      <c r="J204" s="243"/>
      <c r="K204" s="243"/>
      <c r="L204" s="243"/>
      <c r="M204" s="243"/>
      <c r="N204" s="243"/>
      <c r="O204" s="243"/>
      <c r="P204" s="243"/>
      <c r="Q204" s="243"/>
      <c r="R204" s="243"/>
      <c r="S204" s="243"/>
      <c r="T204" s="243"/>
      <c r="U204" s="243"/>
      <c r="V204" s="243"/>
      <c r="W204" s="243"/>
      <c r="X204" s="243"/>
      <c r="Y204" s="243"/>
      <c r="Z204" s="243"/>
    </row>
    <row r="205" ht="13.5" customHeight="1" spans="1:26">
      <c r="A205" s="243"/>
      <c r="B205" s="243"/>
      <c r="C205" s="243"/>
      <c r="D205" s="243"/>
      <c r="E205" s="243"/>
      <c r="F205" s="243"/>
      <c r="G205" s="243"/>
      <c r="H205" s="243"/>
      <c r="I205" s="243"/>
      <c r="J205" s="243"/>
      <c r="K205" s="243"/>
      <c r="L205" s="243"/>
      <c r="M205" s="243"/>
      <c r="N205" s="243"/>
      <c r="O205" s="243"/>
      <c r="P205" s="243"/>
      <c r="Q205" s="243"/>
      <c r="R205" s="243"/>
      <c r="S205" s="243"/>
      <c r="T205" s="243"/>
      <c r="U205" s="243"/>
      <c r="V205" s="243"/>
      <c r="W205" s="243"/>
      <c r="X205" s="243"/>
      <c r="Y205" s="243"/>
      <c r="Z205" s="243"/>
    </row>
    <row r="206" ht="13.5" customHeight="1" spans="1:26">
      <c r="A206" s="243"/>
      <c r="B206" s="243"/>
      <c r="C206" s="243"/>
      <c r="D206" s="243"/>
      <c r="E206" s="243"/>
      <c r="F206" s="243"/>
      <c r="G206" s="243"/>
      <c r="H206" s="243"/>
      <c r="I206" s="243"/>
      <c r="J206" s="243"/>
      <c r="K206" s="243"/>
      <c r="L206" s="243"/>
      <c r="M206" s="243"/>
      <c r="N206" s="243"/>
      <c r="O206" s="243"/>
      <c r="P206" s="243"/>
      <c r="Q206" s="243"/>
      <c r="R206" s="243"/>
      <c r="S206" s="243"/>
      <c r="T206" s="243"/>
      <c r="U206" s="243"/>
      <c r="V206" s="243"/>
      <c r="W206" s="243"/>
      <c r="X206" s="243"/>
      <c r="Y206" s="243"/>
      <c r="Z206" s="243"/>
    </row>
    <row r="207" ht="13.5" customHeight="1" spans="1:26">
      <c r="A207" s="243"/>
      <c r="B207" s="243"/>
      <c r="C207" s="243"/>
      <c r="D207" s="243"/>
      <c r="E207" s="243"/>
      <c r="F207" s="243"/>
      <c r="G207" s="243"/>
      <c r="H207" s="243"/>
      <c r="I207" s="243"/>
      <c r="J207" s="243"/>
      <c r="K207" s="243"/>
      <c r="L207" s="243"/>
      <c r="M207" s="243"/>
      <c r="N207" s="243"/>
      <c r="O207" s="243"/>
      <c r="P207" s="243"/>
      <c r="Q207" s="243"/>
      <c r="R207" s="243"/>
      <c r="S207" s="243"/>
      <c r="T207" s="243"/>
      <c r="U207" s="243"/>
      <c r="V207" s="243"/>
      <c r="W207" s="243"/>
      <c r="X207" s="243"/>
      <c r="Y207" s="243"/>
      <c r="Z207" s="243"/>
    </row>
    <row r="208" ht="13.5" customHeight="1" spans="1:26">
      <c r="A208" s="243"/>
      <c r="B208" s="243"/>
      <c r="C208" s="243"/>
      <c r="D208" s="243"/>
      <c r="E208" s="243"/>
      <c r="F208" s="243"/>
      <c r="G208" s="243"/>
      <c r="H208" s="243"/>
      <c r="I208" s="243"/>
      <c r="J208" s="243"/>
      <c r="K208" s="243"/>
      <c r="L208" s="243"/>
      <c r="M208" s="243"/>
      <c r="N208" s="243"/>
      <c r="O208" s="243"/>
      <c r="P208" s="243"/>
      <c r="Q208" s="243"/>
      <c r="R208" s="243"/>
      <c r="S208" s="243"/>
      <c r="T208" s="243"/>
      <c r="U208" s="243"/>
      <c r="V208" s="243"/>
      <c r="W208" s="243"/>
      <c r="X208" s="243"/>
      <c r="Y208" s="243"/>
      <c r="Z208" s="243"/>
    </row>
    <row r="209" ht="13.5" customHeight="1" spans="1:26">
      <c r="A209" s="243"/>
      <c r="B209" s="243"/>
      <c r="C209" s="243"/>
      <c r="D209" s="243"/>
      <c r="E209" s="243"/>
      <c r="F209" s="243"/>
      <c r="G209" s="243"/>
      <c r="H209" s="243"/>
      <c r="I209" s="243"/>
      <c r="J209" s="243"/>
      <c r="K209" s="243"/>
      <c r="L209" s="243"/>
      <c r="M209" s="243"/>
      <c r="N209" s="243"/>
      <c r="O209" s="243"/>
      <c r="P209" s="243"/>
      <c r="Q209" s="243"/>
      <c r="R209" s="243"/>
      <c r="S209" s="243"/>
      <c r="T209" s="243"/>
      <c r="U209" s="243"/>
      <c r="V209" s="243"/>
      <c r="W209" s="243"/>
      <c r="X209" s="243"/>
      <c r="Y209" s="243"/>
      <c r="Z209" s="243"/>
    </row>
    <row r="210" ht="13.5" customHeight="1" spans="1:26">
      <c r="A210" s="243"/>
      <c r="B210" s="243"/>
      <c r="C210" s="243"/>
      <c r="D210" s="243"/>
      <c r="E210" s="243"/>
      <c r="F210" s="243"/>
      <c r="G210" s="243"/>
      <c r="H210" s="243"/>
      <c r="I210" s="243"/>
      <c r="J210" s="243"/>
      <c r="K210" s="243"/>
      <c r="L210" s="243"/>
      <c r="M210" s="243"/>
      <c r="N210" s="243"/>
      <c r="O210" s="243"/>
      <c r="P210" s="243"/>
      <c r="Q210" s="243"/>
      <c r="R210" s="243"/>
      <c r="S210" s="243"/>
      <c r="T210" s="243"/>
      <c r="U210" s="243"/>
      <c r="V210" s="243"/>
      <c r="W210" s="243"/>
      <c r="X210" s="243"/>
      <c r="Y210" s="243"/>
      <c r="Z210" s="243"/>
    </row>
    <row r="211" ht="13.5" customHeight="1" spans="1:26">
      <c r="A211" s="243"/>
      <c r="B211" s="243"/>
      <c r="C211" s="243"/>
      <c r="D211" s="243"/>
      <c r="E211" s="243"/>
      <c r="F211" s="243"/>
      <c r="G211" s="243"/>
      <c r="H211" s="243"/>
      <c r="I211" s="243"/>
      <c r="J211" s="243"/>
      <c r="K211" s="243"/>
      <c r="L211" s="243"/>
      <c r="M211" s="243"/>
      <c r="N211" s="243"/>
      <c r="O211" s="243"/>
      <c r="P211" s="243"/>
      <c r="Q211" s="243"/>
      <c r="R211" s="243"/>
      <c r="S211" s="243"/>
      <c r="T211" s="243"/>
      <c r="U211" s="243"/>
      <c r="V211" s="243"/>
      <c r="W211" s="243"/>
      <c r="X211" s="243"/>
      <c r="Y211" s="243"/>
      <c r="Z211" s="243"/>
    </row>
    <row r="212" ht="13.5" customHeight="1" spans="1:26">
      <c r="A212" s="243"/>
      <c r="B212" s="243"/>
      <c r="C212" s="243"/>
      <c r="D212" s="243"/>
      <c r="E212" s="243"/>
      <c r="F212" s="243"/>
      <c r="G212" s="243"/>
      <c r="H212" s="243"/>
      <c r="I212" s="243"/>
      <c r="J212" s="243"/>
      <c r="K212" s="243"/>
      <c r="L212" s="243"/>
      <c r="M212" s="243"/>
      <c r="N212" s="243"/>
      <c r="O212" s="243"/>
      <c r="P212" s="243"/>
      <c r="Q212" s="243"/>
      <c r="R212" s="243"/>
      <c r="S212" s="243"/>
      <c r="T212" s="243"/>
      <c r="U212" s="243"/>
      <c r="V212" s="243"/>
      <c r="W212" s="243"/>
      <c r="X212" s="243"/>
      <c r="Y212" s="243"/>
      <c r="Z212" s="243"/>
    </row>
    <row r="213" ht="13.5" customHeight="1" spans="1:26">
      <c r="A213" s="243"/>
      <c r="B213" s="243"/>
      <c r="C213" s="243"/>
      <c r="D213" s="243"/>
      <c r="E213" s="243"/>
      <c r="F213" s="243"/>
      <c r="G213" s="243"/>
      <c r="H213" s="243"/>
      <c r="I213" s="243"/>
      <c r="J213" s="243"/>
      <c r="K213" s="243"/>
      <c r="L213" s="243"/>
      <c r="M213" s="243"/>
      <c r="N213" s="243"/>
      <c r="O213" s="243"/>
      <c r="P213" s="243"/>
      <c r="Q213" s="243"/>
      <c r="R213" s="243"/>
      <c r="S213" s="243"/>
      <c r="T213" s="243"/>
      <c r="U213" s="243"/>
      <c r="V213" s="243"/>
      <c r="W213" s="243"/>
      <c r="X213" s="243"/>
      <c r="Y213" s="243"/>
      <c r="Z213" s="243"/>
    </row>
    <row r="214" ht="13.5" customHeight="1" spans="1:26">
      <c r="A214" s="243"/>
      <c r="B214" s="243"/>
      <c r="C214" s="243"/>
      <c r="D214" s="243"/>
      <c r="E214" s="243"/>
      <c r="F214" s="243"/>
      <c r="G214" s="243"/>
      <c r="H214" s="243"/>
      <c r="I214" s="243"/>
      <c r="J214" s="243"/>
      <c r="K214" s="243"/>
      <c r="L214" s="243"/>
      <c r="M214" s="243"/>
      <c r="N214" s="243"/>
      <c r="O214" s="243"/>
      <c r="P214" s="243"/>
      <c r="Q214" s="243"/>
      <c r="R214" s="243"/>
      <c r="S214" s="243"/>
      <c r="T214" s="243"/>
      <c r="U214" s="243"/>
      <c r="V214" s="243"/>
      <c r="W214" s="243"/>
      <c r="X214" s="243"/>
      <c r="Y214" s="243"/>
      <c r="Z214" s="243"/>
    </row>
    <row r="215" ht="13.5" customHeight="1" spans="1:26">
      <c r="A215" s="243"/>
      <c r="B215" s="243"/>
      <c r="C215" s="243"/>
      <c r="D215" s="243"/>
      <c r="E215" s="243"/>
      <c r="F215" s="243"/>
      <c r="G215" s="243"/>
      <c r="H215" s="243"/>
      <c r="I215" s="243"/>
      <c r="J215" s="243"/>
      <c r="K215" s="243"/>
      <c r="L215" s="243"/>
      <c r="M215" s="243"/>
      <c r="N215" s="243"/>
      <c r="O215" s="243"/>
      <c r="P215" s="243"/>
      <c r="Q215" s="243"/>
      <c r="R215" s="243"/>
      <c r="S215" s="243"/>
      <c r="T215" s="243"/>
      <c r="U215" s="243"/>
      <c r="V215" s="243"/>
      <c r="W215" s="243"/>
      <c r="X215" s="243"/>
      <c r="Y215" s="243"/>
      <c r="Z215" s="243"/>
    </row>
    <row r="216" ht="13.5" customHeight="1" spans="1:26">
      <c r="A216" s="243"/>
      <c r="B216" s="243"/>
      <c r="C216" s="243"/>
      <c r="D216" s="243"/>
      <c r="E216" s="243"/>
      <c r="F216" s="243"/>
      <c r="G216" s="243"/>
      <c r="H216" s="243"/>
      <c r="I216" s="243"/>
      <c r="J216" s="243"/>
      <c r="K216" s="243"/>
      <c r="L216" s="243"/>
      <c r="M216" s="243"/>
      <c r="N216" s="243"/>
      <c r="O216" s="243"/>
      <c r="P216" s="243"/>
      <c r="Q216" s="243"/>
      <c r="R216" s="243"/>
      <c r="S216" s="243"/>
      <c r="T216" s="243"/>
      <c r="U216" s="243"/>
      <c r="V216" s="243"/>
      <c r="W216" s="243"/>
      <c r="X216" s="243"/>
      <c r="Y216" s="243"/>
      <c r="Z216" s="243"/>
    </row>
    <row r="217" ht="13.5" customHeight="1" spans="1:26">
      <c r="A217" s="243"/>
      <c r="B217" s="243"/>
      <c r="C217" s="243"/>
      <c r="D217" s="243"/>
      <c r="E217" s="243"/>
      <c r="F217" s="243"/>
      <c r="G217" s="243"/>
      <c r="H217" s="243"/>
      <c r="I217" s="243"/>
      <c r="J217" s="243"/>
      <c r="K217" s="243"/>
      <c r="L217" s="243"/>
      <c r="M217" s="243"/>
      <c r="N217" s="243"/>
      <c r="O217" s="243"/>
      <c r="P217" s="243"/>
      <c r="Q217" s="243"/>
      <c r="R217" s="243"/>
      <c r="S217" s="243"/>
      <c r="T217" s="243"/>
      <c r="U217" s="243"/>
      <c r="V217" s="243"/>
      <c r="W217" s="243"/>
      <c r="X217" s="243"/>
      <c r="Y217" s="243"/>
      <c r="Z217" s="243"/>
    </row>
    <row r="218" ht="13.5" customHeight="1" spans="1:26">
      <c r="A218" s="243"/>
      <c r="B218" s="243"/>
      <c r="C218" s="243"/>
      <c r="D218" s="243"/>
      <c r="E218" s="243"/>
      <c r="F218" s="243"/>
      <c r="G218" s="243"/>
      <c r="H218" s="243"/>
      <c r="I218" s="243"/>
      <c r="J218" s="243"/>
      <c r="K218" s="243"/>
      <c r="L218" s="243"/>
      <c r="M218" s="243"/>
      <c r="N218" s="243"/>
      <c r="O218" s="243"/>
      <c r="P218" s="243"/>
      <c r="Q218" s="243"/>
      <c r="R218" s="243"/>
      <c r="S218" s="243"/>
      <c r="T218" s="243"/>
      <c r="U218" s="243"/>
      <c r="V218" s="243"/>
      <c r="W218" s="243"/>
      <c r="X218" s="243"/>
      <c r="Y218" s="243"/>
      <c r="Z218" s="243"/>
    </row>
    <row r="219" ht="13.5" customHeight="1" spans="1:26">
      <c r="A219" s="243"/>
      <c r="B219" s="243"/>
      <c r="C219" s="243"/>
      <c r="D219" s="243"/>
      <c r="E219" s="243"/>
      <c r="F219" s="243"/>
      <c r="G219" s="243"/>
      <c r="H219" s="243"/>
      <c r="I219" s="243"/>
      <c r="J219" s="243"/>
      <c r="K219" s="243"/>
      <c r="L219" s="243"/>
      <c r="M219" s="243"/>
      <c r="N219" s="243"/>
      <c r="O219" s="243"/>
      <c r="P219" s="243"/>
      <c r="Q219" s="243"/>
      <c r="R219" s="243"/>
      <c r="S219" s="243"/>
      <c r="T219" s="243"/>
      <c r="U219" s="243"/>
      <c r="V219" s="243"/>
      <c r="W219" s="243"/>
      <c r="X219" s="243"/>
      <c r="Y219" s="243"/>
      <c r="Z219" s="243"/>
    </row>
    <row r="220" ht="13.5" customHeight="1" spans="1:26">
      <c r="A220" s="243"/>
      <c r="B220" s="243"/>
      <c r="C220" s="243"/>
      <c r="D220" s="243"/>
      <c r="E220" s="243"/>
      <c r="F220" s="243"/>
      <c r="G220" s="243"/>
      <c r="H220" s="243"/>
      <c r="I220" s="243"/>
      <c r="J220" s="243"/>
      <c r="K220" s="243"/>
      <c r="L220" s="243"/>
      <c r="M220" s="243"/>
      <c r="N220" s="243"/>
      <c r="O220" s="243"/>
      <c r="P220" s="243"/>
      <c r="Q220" s="243"/>
      <c r="R220" s="243"/>
      <c r="S220" s="243"/>
      <c r="T220" s="243"/>
      <c r="U220" s="243"/>
      <c r="V220" s="243"/>
      <c r="W220" s="243"/>
      <c r="X220" s="243"/>
      <c r="Y220" s="243"/>
      <c r="Z220" s="243"/>
    </row>
    <row r="221" ht="13.5" customHeight="1" spans="1:26">
      <c r="A221" s="243"/>
      <c r="B221" s="243"/>
      <c r="C221" s="243"/>
      <c r="D221" s="243"/>
      <c r="E221" s="243"/>
      <c r="F221" s="243"/>
      <c r="G221" s="243"/>
      <c r="H221" s="243"/>
      <c r="I221" s="243"/>
      <c r="J221" s="243"/>
      <c r="K221" s="243"/>
      <c r="L221" s="243"/>
      <c r="M221" s="243"/>
      <c r="N221" s="243"/>
      <c r="O221" s="243"/>
      <c r="P221" s="243"/>
      <c r="Q221" s="243"/>
      <c r="R221" s="243"/>
      <c r="S221" s="243"/>
      <c r="T221" s="243"/>
      <c r="U221" s="243"/>
      <c r="V221" s="243"/>
      <c r="W221" s="243"/>
      <c r="X221" s="243"/>
      <c r="Y221" s="243"/>
      <c r="Z221" s="243"/>
    </row>
    <row r="222" ht="13.5" customHeight="1" spans="1:26">
      <c r="A222" s="243"/>
      <c r="B222" s="243"/>
      <c r="C222" s="243"/>
      <c r="D222" s="243"/>
      <c r="E222" s="243"/>
      <c r="F222" s="243"/>
      <c r="G222" s="243"/>
      <c r="H222" s="243"/>
      <c r="I222" s="243"/>
      <c r="J222" s="243"/>
      <c r="K222" s="243"/>
      <c r="L222" s="243"/>
      <c r="M222" s="243"/>
      <c r="N222" s="243"/>
      <c r="O222" s="243"/>
      <c r="P222" s="243"/>
      <c r="Q222" s="243"/>
      <c r="R222" s="243"/>
      <c r="S222" s="243"/>
      <c r="T222" s="243"/>
      <c r="U222" s="243"/>
      <c r="V222" s="243"/>
      <c r="W222" s="243"/>
      <c r="X222" s="243"/>
      <c r="Y222" s="243"/>
      <c r="Z222" s="243"/>
    </row>
    <row r="223" ht="13.5" customHeight="1" spans="1:26">
      <c r="A223" s="243"/>
      <c r="B223" s="243"/>
      <c r="C223" s="243"/>
      <c r="D223" s="243"/>
      <c r="E223" s="243"/>
      <c r="F223" s="243"/>
      <c r="G223" s="243"/>
      <c r="H223" s="243"/>
      <c r="I223" s="243"/>
      <c r="J223" s="243"/>
      <c r="K223" s="243"/>
      <c r="L223" s="243"/>
      <c r="M223" s="243"/>
      <c r="N223" s="243"/>
      <c r="O223" s="243"/>
      <c r="P223" s="243"/>
      <c r="Q223" s="243"/>
      <c r="R223" s="243"/>
      <c r="S223" s="243"/>
      <c r="T223" s="243"/>
      <c r="U223" s="243"/>
      <c r="V223" s="243"/>
      <c r="W223" s="243"/>
      <c r="X223" s="243"/>
      <c r="Y223" s="243"/>
      <c r="Z223" s="243"/>
    </row>
    <row r="224" ht="13.5" customHeight="1" spans="1:26">
      <c r="A224" s="243"/>
      <c r="B224" s="243"/>
      <c r="C224" s="243"/>
      <c r="D224" s="243"/>
      <c r="E224" s="243"/>
      <c r="F224" s="243"/>
      <c r="G224" s="243"/>
      <c r="H224" s="243"/>
      <c r="I224" s="243"/>
      <c r="J224" s="243"/>
      <c r="K224" s="243"/>
      <c r="L224" s="243"/>
      <c r="M224" s="243"/>
      <c r="N224" s="243"/>
      <c r="O224" s="243"/>
      <c r="P224" s="243"/>
      <c r="Q224" s="243"/>
      <c r="R224" s="243"/>
      <c r="S224" s="243"/>
      <c r="T224" s="243"/>
      <c r="U224" s="243"/>
      <c r="V224" s="243"/>
      <c r="W224" s="243"/>
      <c r="X224" s="243"/>
      <c r="Y224" s="243"/>
      <c r="Z224" s="243"/>
    </row>
    <row r="225" ht="13.5" customHeight="1" spans="1:26">
      <c r="A225" s="243"/>
      <c r="B225" s="243"/>
      <c r="C225" s="243"/>
      <c r="D225" s="243"/>
      <c r="E225" s="243"/>
      <c r="F225" s="243"/>
      <c r="G225" s="243"/>
      <c r="H225" s="243"/>
      <c r="I225" s="243"/>
      <c r="J225" s="243"/>
      <c r="K225" s="243"/>
      <c r="L225" s="243"/>
      <c r="M225" s="243"/>
      <c r="N225" s="243"/>
      <c r="O225" s="243"/>
      <c r="P225" s="243"/>
      <c r="Q225" s="243"/>
      <c r="R225" s="243"/>
      <c r="S225" s="243"/>
      <c r="T225" s="243"/>
      <c r="U225" s="243"/>
      <c r="V225" s="243"/>
      <c r="W225" s="243"/>
      <c r="X225" s="243"/>
      <c r="Y225" s="243"/>
      <c r="Z225" s="243"/>
    </row>
    <row r="226" ht="13.5" customHeight="1" spans="1:26">
      <c r="A226" s="243"/>
      <c r="B226" s="243"/>
      <c r="C226" s="243"/>
      <c r="D226" s="243"/>
      <c r="E226" s="243"/>
      <c r="F226" s="243"/>
      <c r="G226" s="243"/>
      <c r="H226" s="243"/>
      <c r="I226" s="243"/>
      <c r="J226" s="243"/>
      <c r="K226" s="243"/>
      <c r="L226" s="243"/>
      <c r="M226" s="243"/>
      <c r="N226" s="243"/>
      <c r="O226" s="243"/>
      <c r="P226" s="243"/>
      <c r="Q226" s="243"/>
      <c r="R226" s="243"/>
      <c r="S226" s="243"/>
      <c r="T226" s="243"/>
      <c r="U226" s="243"/>
      <c r="V226" s="243"/>
      <c r="W226" s="243"/>
      <c r="X226" s="243"/>
      <c r="Y226" s="243"/>
      <c r="Z226" s="243"/>
    </row>
    <row r="227" ht="13.5" customHeight="1" spans="1:26">
      <c r="A227" s="243"/>
      <c r="B227" s="243"/>
      <c r="C227" s="243"/>
      <c r="D227" s="243"/>
      <c r="E227" s="243"/>
      <c r="F227" s="243"/>
      <c r="G227" s="243"/>
      <c r="H227" s="243"/>
      <c r="I227" s="243"/>
      <c r="J227" s="243"/>
      <c r="K227" s="243"/>
      <c r="L227" s="243"/>
      <c r="M227" s="243"/>
      <c r="N227" s="243"/>
      <c r="O227" s="243"/>
      <c r="P227" s="243"/>
      <c r="Q227" s="243"/>
      <c r="R227" s="243"/>
      <c r="S227" s="243"/>
      <c r="T227" s="243"/>
      <c r="U227" s="243"/>
      <c r="V227" s="243"/>
      <c r="W227" s="243"/>
      <c r="X227" s="243"/>
      <c r="Y227" s="243"/>
      <c r="Z227" s="243"/>
    </row>
    <row r="228" ht="13.5" customHeight="1" spans="1:26">
      <c r="A228" s="243"/>
      <c r="B228" s="243"/>
      <c r="C228" s="243"/>
      <c r="D228" s="243"/>
      <c r="E228" s="243"/>
      <c r="F228" s="243"/>
      <c r="G228" s="243"/>
      <c r="H228" s="243"/>
      <c r="I228" s="243"/>
      <c r="J228" s="243"/>
      <c r="K228" s="243"/>
      <c r="L228" s="243"/>
      <c r="M228" s="243"/>
      <c r="N228" s="243"/>
      <c r="O228" s="243"/>
      <c r="P228" s="243"/>
      <c r="Q228" s="243"/>
      <c r="R228" s="243"/>
      <c r="S228" s="243"/>
      <c r="T228" s="243"/>
      <c r="U228" s="243"/>
      <c r="V228" s="243"/>
      <c r="W228" s="243"/>
      <c r="X228" s="243"/>
      <c r="Y228" s="243"/>
      <c r="Z228" s="243"/>
    </row>
    <row r="229" ht="13.5" customHeight="1" spans="1:26">
      <c r="A229" s="243"/>
      <c r="B229" s="243"/>
      <c r="C229" s="243"/>
      <c r="D229" s="243"/>
      <c r="E229" s="243"/>
      <c r="F229" s="243"/>
      <c r="G229" s="243"/>
      <c r="H229" s="243"/>
      <c r="I229" s="243"/>
      <c r="J229" s="243"/>
      <c r="K229" s="243"/>
      <c r="L229" s="243"/>
      <c r="M229" s="243"/>
      <c r="N229" s="243"/>
      <c r="O229" s="243"/>
      <c r="P229" s="243"/>
      <c r="Q229" s="243"/>
      <c r="R229" s="243"/>
      <c r="S229" s="243"/>
      <c r="T229" s="243"/>
      <c r="U229" s="243"/>
      <c r="V229" s="243"/>
      <c r="W229" s="243"/>
      <c r="X229" s="243"/>
      <c r="Y229" s="243"/>
      <c r="Z229" s="243"/>
    </row>
    <row r="230" ht="13.5" customHeight="1" spans="1:26">
      <c r="A230" s="243"/>
      <c r="B230" s="243"/>
      <c r="C230" s="243"/>
      <c r="D230" s="243"/>
      <c r="E230" s="243"/>
      <c r="F230" s="243"/>
      <c r="G230" s="243"/>
      <c r="H230" s="243"/>
      <c r="I230" s="243"/>
      <c r="J230" s="243"/>
      <c r="K230" s="243"/>
      <c r="L230" s="243"/>
      <c r="M230" s="243"/>
      <c r="N230" s="243"/>
      <c r="O230" s="243"/>
      <c r="P230" s="243"/>
      <c r="Q230" s="243"/>
      <c r="R230" s="243"/>
      <c r="S230" s="243"/>
      <c r="T230" s="243"/>
      <c r="U230" s="243"/>
      <c r="V230" s="243"/>
      <c r="W230" s="243"/>
      <c r="X230" s="243"/>
      <c r="Y230" s="243"/>
      <c r="Z230" s="243"/>
    </row>
    <row r="231" ht="13.5" customHeight="1" spans="1:26">
      <c r="A231" s="243"/>
      <c r="B231" s="243"/>
      <c r="C231" s="243"/>
      <c r="D231" s="243"/>
      <c r="E231" s="243"/>
      <c r="F231" s="243"/>
      <c r="G231" s="243"/>
      <c r="H231" s="243"/>
      <c r="I231" s="243"/>
      <c r="J231" s="243"/>
      <c r="K231" s="243"/>
      <c r="L231" s="243"/>
      <c r="M231" s="243"/>
      <c r="N231" s="243"/>
      <c r="O231" s="243"/>
      <c r="P231" s="243"/>
      <c r="Q231" s="243"/>
      <c r="R231" s="243"/>
      <c r="S231" s="243"/>
      <c r="T231" s="243"/>
      <c r="U231" s="243"/>
      <c r="V231" s="243"/>
      <c r="W231" s="243"/>
      <c r="X231" s="243"/>
      <c r="Y231" s="243"/>
      <c r="Z231" s="243"/>
    </row>
    <row r="232" ht="13.5" customHeight="1" spans="1:26">
      <c r="A232" s="243"/>
      <c r="B232" s="243"/>
      <c r="C232" s="243"/>
      <c r="D232" s="243"/>
      <c r="E232" s="243"/>
      <c r="F232" s="243"/>
      <c r="G232" s="243"/>
      <c r="H232" s="243"/>
      <c r="I232" s="243"/>
      <c r="J232" s="243"/>
      <c r="K232" s="243"/>
      <c r="L232" s="243"/>
      <c r="M232" s="243"/>
      <c r="N232" s="243"/>
      <c r="O232" s="243"/>
      <c r="P232" s="243"/>
      <c r="Q232" s="243"/>
      <c r="R232" s="243"/>
      <c r="S232" s="243"/>
      <c r="T232" s="243"/>
      <c r="U232" s="243"/>
      <c r="V232" s="243"/>
      <c r="W232" s="243"/>
      <c r="X232" s="243"/>
      <c r="Y232" s="243"/>
      <c r="Z232" s="243"/>
    </row>
    <row r="233" ht="13.5" customHeight="1" spans="1:26">
      <c r="A233" s="243"/>
      <c r="B233" s="243"/>
      <c r="C233" s="243"/>
      <c r="D233" s="243"/>
      <c r="E233" s="243"/>
      <c r="F233" s="243"/>
      <c r="G233" s="243"/>
      <c r="H233" s="243"/>
      <c r="I233" s="243"/>
      <c r="J233" s="243"/>
      <c r="K233" s="243"/>
      <c r="L233" s="243"/>
      <c r="M233" s="243"/>
      <c r="N233" s="243"/>
      <c r="O233" s="243"/>
      <c r="P233" s="243"/>
      <c r="Q233" s="243"/>
      <c r="R233" s="243"/>
      <c r="S233" s="243"/>
      <c r="T233" s="243"/>
      <c r="U233" s="243"/>
      <c r="V233" s="243"/>
      <c r="W233" s="243"/>
      <c r="X233" s="243"/>
      <c r="Y233" s="243"/>
      <c r="Z233" s="243"/>
    </row>
    <row r="234" ht="13.5" customHeight="1" spans="1:26">
      <c r="A234" s="243"/>
      <c r="B234" s="243"/>
      <c r="C234" s="243"/>
      <c r="D234" s="243"/>
      <c r="E234" s="243"/>
      <c r="F234" s="243"/>
      <c r="G234" s="243"/>
      <c r="H234" s="243"/>
      <c r="I234" s="243"/>
      <c r="J234" s="243"/>
      <c r="K234" s="243"/>
      <c r="L234" s="243"/>
      <c r="M234" s="243"/>
      <c r="N234" s="243"/>
      <c r="O234" s="243"/>
      <c r="P234" s="243"/>
      <c r="Q234" s="243"/>
      <c r="R234" s="243"/>
      <c r="S234" s="243"/>
      <c r="T234" s="243"/>
      <c r="U234" s="243"/>
      <c r="V234" s="243"/>
      <c r="W234" s="243"/>
      <c r="X234" s="243"/>
      <c r="Y234" s="243"/>
      <c r="Z234" s="243"/>
    </row>
    <row r="235" ht="13.5" customHeight="1" spans="1:26">
      <c r="A235" s="243"/>
      <c r="B235" s="243"/>
      <c r="C235" s="243"/>
      <c r="D235" s="243"/>
      <c r="E235" s="243"/>
      <c r="F235" s="243"/>
      <c r="G235" s="243"/>
      <c r="H235" s="243"/>
      <c r="I235" s="243"/>
      <c r="J235" s="243"/>
      <c r="K235" s="243"/>
      <c r="L235" s="243"/>
      <c r="M235" s="243"/>
      <c r="N235" s="243"/>
      <c r="O235" s="243"/>
      <c r="P235" s="243"/>
      <c r="Q235" s="243"/>
      <c r="R235" s="243"/>
      <c r="S235" s="243"/>
      <c r="T235" s="243"/>
      <c r="U235" s="243"/>
      <c r="V235" s="243"/>
      <c r="W235" s="243"/>
      <c r="X235" s="243"/>
      <c r="Y235" s="243"/>
      <c r="Z235" s="243"/>
    </row>
    <row r="236" ht="13.5" customHeight="1" spans="1:26">
      <c r="A236" s="243"/>
      <c r="B236" s="243"/>
      <c r="C236" s="243"/>
      <c r="D236" s="243"/>
      <c r="E236" s="243"/>
      <c r="F236" s="243"/>
      <c r="G236" s="243"/>
      <c r="H236" s="243"/>
      <c r="I236" s="243"/>
      <c r="J236" s="243"/>
      <c r="K236" s="243"/>
      <c r="L236" s="243"/>
      <c r="M236" s="243"/>
      <c r="N236" s="243"/>
      <c r="O236" s="243"/>
      <c r="P236" s="243"/>
      <c r="Q236" s="243"/>
      <c r="R236" s="243"/>
      <c r="S236" s="243"/>
      <c r="T236" s="243"/>
      <c r="U236" s="243"/>
      <c r="V236" s="243"/>
      <c r="W236" s="243"/>
      <c r="X236" s="243"/>
      <c r="Y236" s="243"/>
      <c r="Z236" s="243"/>
    </row>
    <row r="237" ht="13.5" customHeight="1" spans="1:26">
      <c r="A237" s="243"/>
      <c r="B237" s="243"/>
      <c r="C237" s="243"/>
      <c r="D237" s="243"/>
      <c r="E237" s="243"/>
      <c r="F237" s="243"/>
      <c r="G237" s="243"/>
      <c r="H237" s="243"/>
      <c r="I237" s="243"/>
      <c r="J237" s="243"/>
      <c r="K237" s="243"/>
      <c r="L237" s="243"/>
      <c r="M237" s="243"/>
      <c r="N237" s="243"/>
      <c r="O237" s="243"/>
      <c r="P237" s="243"/>
      <c r="Q237" s="243"/>
      <c r="R237" s="243"/>
      <c r="S237" s="243"/>
      <c r="T237" s="243"/>
      <c r="U237" s="243"/>
      <c r="V237" s="243"/>
      <c r="W237" s="243"/>
      <c r="X237" s="243"/>
      <c r="Y237" s="243"/>
      <c r="Z237" s="243"/>
    </row>
    <row r="238" ht="13.5" customHeight="1" spans="1:26">
      <c r="A238" s="243"/>
      <c r="B238" s="243"/>
      <c r="C238" s="243"/>
      <c r="D238" s="243"/>
      <c r="E238" s="243"/>
      <c r="F238" s="243"/>
      <c r="G238" s="243"/>
      <c r="H238" s="243"/>
      <c r="I238" s="243"/>
      <c r="J238" s="243"/>
      <c r="K238" s="243"/>
      <c r="L238" s="243"/>
      <c r="M238" s="243"/>
      <c r="N238" s="243"/>
      <c r="O238" s="243"/>
      <c r="P238" s="243"/>
      <c r="Q238" s="243"/>
      <c r="R238" s="243"/>
      <c r="S238" s="243"/>
      <c r="T238" s="243"/>
      <c r="U238" s="243"/>
      <c r="V238" s="243"/>
      <c r="W238" s="243"/>
      <c r="X238" s="243"/>
      <c r="Y238" s="243"/>
      <c r="Z238" s="243"/>
    </row>
    <row r="239" ht="13.5" customHeight="1" spans="1:26">
      <c r="A239" s="243"/>
      <c r="B239" s="243"/>
      <c r="C239" s="243"/>
      <c r="D239" s="243"/>
      <c r="E239" s="243"/>
      <c r="F239" s="243"/>
      <c r="G239" s="243"/>
      <c r="H239" s="243"/>
      <c r="I239" s="243"/>
      <c r="J239" s="243"/>
      <c r="K239" s="243"/>
      <c r="L239" s="243"/>
      <c r="M239" s="243"/>
      <c r="N239" s="243"/>
      <c r="O239" s="243"/>
      <c r="P239" s="243"/>
      <c r="Q239" s="243"/>
      <c r="R239" s="243"/>
      <c r="S239" s="243"/>
      <c r="T239" s="243"/>
      <c r="U239" s="243"/>
      <c r="V239" s="243"/>
      <c r="W239" s="243"/>
      <c r="X239" s="243"/>
      <c r="Y239" s="243"/>
      <c r="Z239" s="243"/>
    </row>
    <row r="240" ht="13.5" customHeight="1" spans="1:26">
      <c r="A240" s="243"/>
      <c r="B240" s="243"/>
      <c r="C240" s="243"/>
      <c r="D240" s="243"/>
      <c r="E240" s="243"/>
      <c r="F240" s="243"/>
      <c r="G240" s="243"/>
      <c r="H240" s="243"/>
      <c r="I240" s="243"/>
      <c r="J240" s="243"/>
      <c r="K240" s="243"/>
      <c r="L240" s="243"/>
      <c r="M240" s="243"/>
      <c r="N240" s="243"/>
      <c r="O240" s="243"/>
      <c r="P240" s="243"/>
      <c r="Q240" s="243"/>
      <c r="R240" s="243"/>
      <c r="S240" s="243"/>
      <c r="T240" s="243"/>
      <c r="U240" s="243"/>
      <c r="V240" s="243"/>
      <c r="W240" s="243"/>
      <c r="X240" s="243"/>
      <c r="Y240" s="243"/>
      <c r="Z240" s="243"/>
    </row>
    <row r="241" ht="13.5" customHeight="1" spans="1:26">
      <c r="A241" s="243"/>
      <c r="B241" s="243"/>
      <c r="C241" s="243"/>
      <c r="D241" s="243"/>
      <c r="E241" s="243"/>
      <c r="F241" s="243"/>
      <c r="G241" s="243"/>
      <c r="H241" s="243"/>
      <c r="I241" s="243"/>
      <c r="J241" s="243"/>
      <c r="K241" s="243"/>
      <c r="L241" s="243"/>
      <c r="M241" s="243"/>
      <c r="N241" s="243"/>
      <c r="O241" s="243"/>
      <c r="P241" s="243"/>
      <c r="Q241" s="243"/>
      <c r="R241" s="243"/>
      <c r="S241" s="243"/>
      <c r="T241" s="243"/>
      <c r="U241" s="243"/>
      <c r="V241" s="243"/>
      <c r="W241" s="243"/>
      <c r="X241" s="243"/>
      <c r="Y241" s="243"/>
      <c r="Z241" s="243"/>
    </row>
    <row r="242" ht="13.5" customHeight="1" spans="1:26">
      <c r="A242" s="243"/>
      <c r="B242" s="243"/>
      <c r="C242" s="243"/>
      <c r="D242" s="243"/>
      <c r="E242" s="243"/>
      <c r="F242" s="243"/>
      <c r="G242" s="243"/>
      <c r="H242" s="243"/>
      <c r="I242" s="243"/>
      <c r="J242" s="243"/>
      <c r="K242" s="243"/>
      <c r="L242" s="243"/>
      <c r="M242" s="243"/>
      <c r="N242" s="243"/>
      <c r="O242" s="243"/>
      <c r="P242" s="243"/>
      <c r="Q242" s="243"/>
      <c r="R242" s="243"/>
      <c r="S242" s="243"/>
      <c r="T242" s="243"/>
      <c r="U242" s="243"/>
      <c r="V242" s="243"/>
      <c r="W242" s="243"/>
      <c r="X242" s="243"/>
      <c r="Y242" s="243"/>
      <c r="Z242" s="243"/>
    </row>
    <row r="243" ht="13.5" customHeight="1" spans="1:26">
      <c r="A243" s="243"/>
      <c r="B243" s="243"/>
      <c r="C243" s="243"/>
      <c r="D243" s="243"/>
      <c r="E243" s="243"/>
      <c r="F243" s="243"/>
      <c r="G243" s="243"/>
      <c r="H243" s="243"/>
      <c r="I243" s="243"/>
      <c r="J243" s="243"/>
      <c r="K243" s="243"/>
      <c r="L243" s="243"/>
      <c r="M243" s="243"/>
      <c r="N243" s="243"/>
      <c r="O243" s="243"/>
      <c r="P243" s="243"/>
      <c r="Q243" s="243"/>
      <c r="R243" s="243"/>
      <c r="S243" s="243"/>
      <c r="T243" s="243"/>
      <c r="U243" s="243"/>
      <c r="V243" s="243"/>
      <c r="W243" s="243"/>
      <c r="X243" s="243"/>
      <c r="Y243" s="243"/>
      <c r="Z243" s="243"/>
    </row>
    <row r="244" ht="13.5" customHeight="1" spans="1:26">
      <c r="A244" s="243"/>
      <c r="B244" s="243"/>
      <c r="C244" s="243"/>
      <c r="D244" s="243"/>
      <c r="E244" s="243"/>
      <c r="F244" s="243"/>
      <c r="G244" s="243"/>
      <c r="H244" s="243"/>
      <c r="I244" s="243"/>
      <c r="J244" s="243"/>
      <c r="K244" s="243"/>
      <c r="L244" s="243"/>
      <c r="M244" s="243"/>
      <c r="N244" s="243"/>
      <c r="O244" s="243"/>
      <c r="P244" s="243"/>
      <c r="Q244" s="243"/>
      <c r="R244" s="243"/>
      <c r="S244" s="243"/>
      <c r="T244" s="243"/>
      <c r="U244" s="243"/>
      <c r="V244" s="243"/>
      <c r="W244" s="243"/>
      <c r="X244" s="243"/>
      <c r="Y244" s="243"/>
      <c r="Z244" s="243"/>
    </row>
    <row r="245" ht="13.5" customHeight="1" spans="1:26">
      <c r="A245" s="243"/>
      <c r="B245" s="243"/>
      <c r="C245" s="243"/>
      <c r="D245" s="243"/>
      <c r="E245" s="243"/>
      <c r="F245" s="243"/>
      <c r="G245" s="243"/>
      <c r="H245" s="243"/>
      <c r="I245" s="243"/>
      <c r="J245" s="243"/>
      <c r="K245" s="243"/>
      <c r="L245" s="243"/>
      <c r="M245" s="243"/>
      <c r="N245" s="243"/>
      <c r="O245" s="243"/>
      <c r="P245" s="243"/>
      <c r="Q245" s="243"/>
      <c r="R245" s="243"/>
      <c r="S245" s="243"/>
      <c r="T245" s="243"/>
      <c r="U245" s="243"/>
      <c r="V245" s="243"/>
      <c r="W245" s="243"/>
      <c r="X245" s="243"/>
      <c r="Y245" s="243"/>
      <c r="Z245" s="243"/>
    </row>
    <row r="246" ht="13.5" customHeight="1" spans="1:26">
      <c r="A246" s="243"/>
      <c r="B246" s="243"/>
      <c r="C246" s="243"/>
      <c r="D246" s="243"/>
      <c r="E246" s="243"/>
      <c r="F246" s="243"/>
      <c r="G246" s="243"/>
      <c r="H246" s="243"/>
      <c r="I246" s="243"/>
      <c r="J246" s="243"/>
      <c r="K246" s="243"/>
      <c r="L246" s="243"/>
      <c r="M246" s="243"/>
      <c r="N246" s="243"/>
      <c r="O246" s="243"/>
      <c r="P246" s="243"/>
      <c r="Q246" s="243"/>
      <c r="R246" s="243"/>
      <c r="S246" s="243"/>
      <c r="T246" s="243"/>
      <c r="U246" s="243"/>
      <c r="V246" s="243"/>
      <c r="W246" s="243"/>
      <c r="X246" s="243"/>
      <c r="Y246" s="243"/>
      <c r="Z246" s="243"/>
    </row>
    <row r="247" ht="13.5" customHeight="1" spans="1:26">
      <c r="A247" s="243"/>
      <c r="B247" s="243"/>
      <c r="C247" s="243"/>
      <c r="D247" s="243"/>
      <c r="E247" s="243"/>
      <c r="F247" s="243"/>
      <c r="G247" s="243"/>
      <c r="H247" s="243"/>
      <c r="I247" s="243"/>
      <c r="J247" s="243"/>
      <c r="K247" s="243"/>
      <c r="L247" s="243"/>
      <c r="M247" s="243"/>
      <c r="N247" s="243"/>
      <c r="O247" s="243"/>
      <c r="P247" s="243"/>
      <c r="Q247" s="243"/>
      <c r="R247" s="243"/>
      <c r="S247" s="243"/>
      <c r="T247" s="243"/>
      <c r="U247" s="243"/>
      <c r="V247" s="243"/>
      <c r="W247" s="243"/>
      <c r="X247" s="243"/>
      <c r="Y247" s="243"/>
      <c r="Z247" s="243"/>
    </row>
    <row r="248" ht="13.5" customHeight="1" spans="1:26">
      <c r="A248" s="243"/>
      <c r="B248" s="243"/>
      <c r="C248" s="243"/>
      <c r="D248" s="243"/>
      <c r="E248" s="243"/>
      <c r="F248" s="243"/>
      <c r="G248" s="243"/>
      <c r="H248" s="243"/>
      <c r="I248" s="243"/>
      <c r="J248" s="243"/>
      <c r="K248" s="243"/>
      <c r="L248" s="243"/>
      <c r="M248" s="243"/>
      <c r="N248" s="243"/>
      <c r="O248" s="243"/>
      <c r="P248" s="243"/>
      <c r="Q248" s="243"/>
      <c r="R248" s="243"/>
      <c r="S248" s="243"/>
      <c r="T248" s="243"/>
      <c r="U248" s="243"/>
      <c r="V248" s="243"/>
      <c r="W248" s="243"/>
      <c r="X248" s="243"/>
      <c r="Y248" s="243"/>
      <c r="Z248" s="243"/>
    </row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showGridLines="0" workbookViewId="0">
      <selection activeCell="A1" sqref="A1"/>
    </sheetView>
  </sheetViews>
  <sheetFormatPr defaultColWidth="12.6271186440678" defaultRowHeight="15" customHeight="1"/>
  <cols>
    <col min="1" max="1" width="28.1271186440678" customWidth="1"/>
    <col min="2" max="2" width="10" customWidth="1"/>
    <col min="3" max="3" width="14.3813559322034" customWidth="1"/>
    <col min="4" max="4" width="26" customWidth="1"/>
    <col min="5" max="5" width="38" customWidth="1"/>
    <col min="6" max="6" width="48.1271186440678" customWidth="1"/>
    <col min="7" max="26" width="10" customWidth="1"/>
  </cols>
  <sheetData>
    <row r="1" ht="12.75" customHeight="1" spans="1:26">
      <c r="A1" s="205"/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</row>
    <row r="2" ht="75.75" customHeight="1" spans="1:26">
      <c r="A2" s="207"/>
      <c r="B2" s="208" t="s">
        <v>45</v>
      </c>
      <c r="C2" s="20"/>
      <c r="D2" s="20"/>
      <c r="E2" s="20"/>
      <c r="F2" s="15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09"/>
    </row>
    <row r="3" ht="12.75" customHeight="1" spans="1:26">
      <c r="A3" s="210"/>
      <c r="B3" s="211"/>
      <c r="C3" s="206"/>
      <c r="D3" s="206"/>
      <c r="E3" s="132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  <c r="Z3" s="206"/>
    </row>
    <row r="4" ht="14.25" customHeight="1" spans="1:26">
      <c r="A4" s="212" t="s">
        <v>46</v>
      </c>
      <c r="B4" s="213" t="s">
        <v>47</v>
      </c>
      <c r="C4" s="20"/>
      <c r="D4" s="15"/>
      <c r="E4" s="212" t="s">
        <v>48</v>
      </c>
      <c r="F4" s="214" t="s">
        <v>49</v>
      </c>
      <c r="G4" s="206"/>
      <c r="H4" s="206"/>
      <c r="I4" s="206"/>
      <c r="J4" s="206"/>
      <c r="K4" s="206"/>
      <c r="L4" s="206"/>
      <c r="M4" s="206"/>
      <c r="N4" s="206"/>
      <c r="O4" s="206"/>
      <c r="P4" s="206"/>
      <c r="Q4" s="206"/>
      <c r="R4" s="206"/>
      <c r="S4" s="206"/>
      <c r="T4" s="206"/>
      <c r="U4" s="206"/>
      <c r="V4" s="206"/>
      <c r="W4" s="206"/>
      <c r="X4" s="206"/>
      <c r="Y4" s="206"/>
      <c r="Z4" s="206"/>
    </row>
    <row r="5" ht="14.25" customHeight="1" spans="1:26">
      <c r="A5" s="212" t="s">
        <v>50</v>
      </c>
      <c r="B5" s="215" t="s">
        <v>51</v>
      </c>
      <c r="C5" s="20"/>
      <c r="D5" s="15"/>
      <c r="E5" s="212" t="s">
        <v>52</v>
      </c>
      <c r="F5" s="216">
        <v>46235</v>
      </c>
      <c r="G5" s="206"/>
      <c r="H5" s="206"/>
      <c r="I5" s="206"/>
      <c r="J5" s="206"/>
      <c r="K5" s="206"/>
      <c r="L5" s="206"/>
      <c r="M5" s="206"/>
      <c r="N5" s="206"/>
      <c r="O5" s="206"/>
      <c r="P5" s="206"/>
      <c r="Q5" s="206"/>
      <c r="R5" s="206"/>
      <c r="S5" s="206"/>
      <c r="T5" s="206"/>
      <c r="U5" s="206"/>
      <c r="V5" s="206"/>
      <c r="W5" s="206"/>
      <c r="X5" s="206"/>
      <c r="Y5" s="206"/>
      <c r="Z5" s="206"/>
    </row>
    <row r="6" ht="15.75" customHeight="1" spans="1:26">
      <c r="A6" s="142" t="s">
        <v>53</v>
      </c>
      <c r="B6" s="217" t="str">
        <f>B5&amp;"_"&amp;"001"&amp;"_"&amp;"v1.0"</f>
        <v>SU26SE038_001_v1.0</v>
      </c>
      <c r="C6" s="20"/>
      <c r="D6" s="15"/>
      <c r="E6" s="212" t="s">
        <v>54</v>
      </c>
      <c r="F6" s="218">
        <v>1</v>
      </c>
      <c r="G6" s="206"/>
      <c r="H6" s="206"/>
      <c r="I6" s="206"/>
      <c r="J6" s="206"/>
      <c r="K6" s="206"/>
      <c r="L6" s="206"/>
      <c r="M6" s="206"/>
      <c r="N6" s="206"/>
      <c r="O6" s="206"/>
      <c r="P6" s="206"/>
      <c r="Q6" s="206"/>
      <c r="R6" s="206"/>
      <c r="S6" s="206"/>
      <c r="T6" s="206"/>
      <c r="U6" s="206"/>
      <c r="V6" s="206"/>
      <c r="W6" s="206"/>
      <c r="X6" s="206"/>
      <c r="Y6" s="206"/>
      <c r="Z6" s="206"/>
    </row>
    <row r="7" ht="12.75" customHeight="1" spans="1:26">
      <c r="A7" s="219"/>
      <c r="B7" s="211"/>
      <c r="C7" s="206"/>
      <c r="D7" s="206"/>
      <c r="E7" s="220"/>
      <c r="F7" s="211"/>
      <c r="G7" s="206"/>
      <c r="H7" s="206"/>
      <c r="I7" s="206"/>
      <c r="J7" s="206"/>
      <c r="K7" s="206"/>
      <c r="L7" s="206"/>
      <c r="M7" s="206"/>
      <c r="N7" s="206"/>
      <c r="O7" s="206"/>
      <c r="P7" s="206"/>
      <c r="Q7" s="206"/>
      <c r="R7" s="206"/>
      <c r="S7" s="206"/>
      <c r="T7" s="206"/>
      <c r="U7" s="206"/>
      <c r="V7" s="206"/>
      <c r="W7" s="206"/>
      <c r="X7" s="206"/>
      <c r="Y7" s="206"/>
      <c r="Z7" s="206"/>
    </row>
    <row r="8" ht="12.75" customHeight="1" spans="1:26">
      <c r="A8" s="206"/>
      <c r="B8" s="206"/>
      <c r="C8" s="206"/>
      <c r="D8" s="206"/>
      <c r="E8" s="206"/>
      <c r="F8" s="206"/>
      <c r="G8" s="206"/>
      <c r="H8" s="206"/>
      <c r="I8" s="206"/>
      <c r="J8" s="206"/>
      <c r="K8" s="206"/>
      <c r="L8" s="206"/>
      <c r="M8" s="206"/>
      <c r="N8" s="206"/>
      <c r="O8" s="206"/>
      <c r="P8" s="206"/>
      <c r="Q8" s="206"/>
      <c r="R8" s="206"/>
      <c r="S8" s="206"/>
      <c r="T8" s="206"/>
      <c r="U8" s="206"/>
      <c r="V8" s="206"/>
      <c r="W8" s="206"/>
      <c r="X8" s="206"/>
      <c r="Y8" s="206"/>
      <c r="Z8" s="206"/>
    </row>
    <row r="9" ht="12.75" customHeight="1" spans="1:26">
      <c r="A9" s="221" t="s">
        <v>55</v>
      </c>
      <c r="B9" s="206"/>
      <c r="C9" s="206"/>
      <c r="D9" s="206"/>
      <c r="E9" s="206"/>
      <c r="F9" s="206"/>
      <c r="G9" s="206"/>
      <c r="H9" s="206"/>
      <c r="I9" s="206"/>
      <c r="J9" s="206"/>
      <c r="K9" s="206"/>
      <c r="L9" s="206"/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</row>
    <row r="10" ht="12.75" customHeight="1" spans="1:26">
      <c r="A10" s="222" t="s">
        <v>56</v>
      </c>
      <c r="B10" s="223" t="s">
        <v>54</v>
      </c>
      <c r="C10" s="223" t="s">
        <v>57</v>
      </c>
      <c r="D10" s="223" t="s">
        <v>58</v>
      </c>
      <c r="E10" s="223" t="s">
        <v>59</v>
      </c>
      <c r="F10" s="224" t="s">
        <v>60</v>
      </c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 ht="26.25" customHeight="1" spans="1:26">
      <c r="A11" s="225">
        <v>46237</v>
      </c>
      <c r="B11" s="226" t="s">
        <v>61</v>
      </c>
      <c r="C11" s="227"/>
      <c r="D11" s="228" t="s">
        <v>62</v>
      </c>
      <c r="E11" s="228" t="s">
        <v>63</v>
      </c>
      <c r="F11" s="229" t="s">
        <v>64</v>
      </c>
      <c r="G11" s="230"/>
      <c r="H11" s="230"/>
      <c r="I11" s="230"/>
      <c r="J11" s="230"/>
      <c r="K11" s="230"/>
      <c r="L11" s="230"/>
      <c r="M11" s="230"/>
      <c r="N11" s="230"/>
      <c r="O11" s="230"/>
      <c r="P11" s="230"/>
      <c r="Q11" s="230"/>
      <c r="R11" s="230"/>
      <c r="S11" s="230"/>
      <c r="T11" s="230"/>
      <c r="U11" s="230"/>
      <c r="V11" s="230"/>
      <c r="W11" s="230"/>
      <c r="X11" s="230"/>
      <c r="Y11" s="230"/>
      <c r="Z11" s="230"/>
    </row>
    <row r="12" ht="21.75" customHeight="1" spans="1:26">
      <c r="A12" s="231"/>
      <c r="B12" s="232"/>
      <c r="C12" s="227"/>
      <c r="D12" s="227"/>
      <c r="E12" s="227"/>
      <c r="F12" s="233"/>
      <c r="G12" s="230"/>
      <c r="H12" s="230"/>
      <c r="I12" s="230"/>
      <c r="J12" s="230"/>
      <c r="K12" s="230"/>
      <c r="L12" s="230"/>
      <c r="M12" s="230"/>
      <c r="N12" s="230"/>
      <c r="O12" s="230"/>
      <c r="P12" s="230"/>
      <c r="Q12" s="230"/>
      <c r="R12" s="230"/>
      <c r="S12" s="230"/>
      <c r="T12" s="230"/>
      <c r="U12" s="230"/>
      <c r="V12" s="230"/>
      <c r="W12" s="230"/>
      <c r="X12" s="230"/>
      <c r="Y12" s="230"/>
      <c r="Z12" s="230"/>
    </row>
    <row r="13" ht="19.5" customHeight="1" spans="1:26">
      <c r="A13" s="231"/>
      <c r="B13" s="232"/>
      <c r="C13" s="227"/>
      <c r="D13" s="227"/>
      <c r="E13" s="227"/>
      <c r="F13" s="233"/>
      <c r="G13" s="230"/>
      <c r="H13" s="230"/>
      <c r="I13" s="230"/>
      <c r="J13" s="230"/>
      <c r="K13" s="230"/>
      <c r="L13" s="230"/>
      <c r="M13" s="230"/>
      <c r="N13" s="230"/>
      <c r="O13" s="230"/>
      <c r="P13" s="230"/>
      <c r="Q13" s="230"/>
      <c r="R13" s="230"/>
      <c r="S13" s="230"/>
      <c r="T13" s="230"/>
      <c r="U13" s="230"/>
      <c r="V13" s="230"/>
      <c r="W13" s="230"/>
      <c r="X13" s="230"/>
      <c r="Y13" s="230"/>
      <c r="Z13" s="230"/>
    </row>
    <row r="14" ht="21.75" customHeight="1" spans="1:26">
      <c r="A14" s="231"/>
      <c r="B14" s="232"/>
      <c r="C14" s="227"/>
      <c r="D14" s="227"/>
      <c r="E14" s="227"/>
      <c r="F14" s="233"/>
      <c r="G14" s="230"/>
      <c r="H14" s="230"/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</row>
    <row r="15" ht="19.5" customHeight="1" spans="1:26">
      <c r="A15" s="231"/>
      <c r="B15" s="232"/>
      <c r="C15" s="227"/>
      <c r="D15" s="227"/>
      <c r="E15" s="227"/>
      <c r="F15" s="233"/>
      <c r="G15" s="230"/>
      <c r="H15" s="230"/>
      <c r="I15" s="230"/>
      <c r="J15" s="230"/>
      <c r="K15" s="230"/>
      <c r="L15" s="230"/>
      <c r="M15" s="230"/>
      <c r="N15" s="230"/>
      <c r="O15" s="230"/>
      <c r="P15" s="230"/>
      <c r="Q15" s="230"/>
      <c r="R15" s="230"/>
      <c r="S15" s="230"/>
      <c r="T15" s="230"/>
      <c r="U15" s="230"/>
      <c r="V15" s="230"/>
      <c r="W15" s="230"/>
      <c r="X15" s="230"/>
      <c r="Y15" s="230"/>
      <c r="Z15" s="230"/>
    </row>
    <row r="16" ht="21.75" customHeight="1" spans="1:26">
      <c r="A16" s="231"/>
      <c r="B16" s="232"/>
      <c r="C16" s="227"/>
      <c r="D16" s="227"/>
      <c r="E16" s="227"/>
      <c r="F16" s="233"/>
      <c r="G16" s="230"/>
      <c r="H16" s="230"/>
      <c r="I16" s="230"/>
      <c r="J16" s="230"/>
      <c r="K16" s="230"/>
      <c r="L16" s="230"/>
      <c r="M16" s="230"/>
      <c r="N16" s="230"/>
      <c r="O16" s="230"/>
      <c r="P16" s="230"/>
      <c r="Q16" s="230"/>
      <c r="R16" s="230"/>
      <c r="S16" s="230"/>
      <c r="T16" s="230"/>
      <c r="U16" s="230"/>
      <c r="V16" s="230"/>
      <c r="W16" s="230"/>
      <c r="X16" s="230"/>
      <c r="Y16" s="230"/>
      <c r="Z16" s="230"/>
    </row>
    <row r="17" ht="19.5" customHeight="1" spans="1:26">
      <c r="A17" s="234"/>
      <c r="B17" s="235"/>
      <c r="C17" s="236"/>
      <c r="D17" s="236"/>
      <c r="E17" s="236"/>
      <c r="F17" s="237"/>
      <c r="G17" s="230"/>
      <c r="H17" s="230"/>
      <c r="I17" s="230"/>
      <c r="J17" s="230"/>
      <c r="K17" s="230"/>
      <c r="L17" s="230"/>
      <c r="M17" s="230"/>
      <c r="N17" s="230"/>
      <c r="O17" s="230"/>
      <c r="P17" s="230"/>
      <c r="Q17" s="230"/>
      <c r="R17" s="230"/>
      <c r="S17" s="230"/>
      <c r="T17" s="230"/>
      <c r="U17" s="230"/>
      <c r="V17" s="230"/>
      <c r="W17" s="230"/>
      <c r="X17" s="230"/>
      <c r="Y17" s="230"/>
      <c r="Z17" s="230"/>
    </row>
    <row r="18" ht="12.75" customHeight="1" spans="1:26">
      <c r="A18" s="205"/>
      <c r="B18" s="206"/>
      <c r="C18" s="206"/>
      <c r="D18" s="206"/>
      <c r="E18" s="206"/>
      <c r="F18" s="206"/>
      <c r="G18" s="206"/>
      <c r="H18" s="206"/>
      <c r="I18" s="206"/>
      <c r="J18" s="206"/>
      <c r="K18" s="206"/>
      <c r="L18" s="206"/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</row>
    <row r="19" ht="12.75" customHeight="1" spans="1:26">
      <c r="A19" s="205"/>
      <c r="B19" s="206"/>
      <c r="C19" s="206"/>
      <c r="D19" s="206"/>
      <c r="E19" s="206"/>
      <c r="F19" s="206"/>
      <c r="G19" s="206"/>
      <c r="H19" s="206"/>
      <c r="I19" s="206"/>
      <c r="J19" s="206"/>
      <c r="K19" s="206"/>
      <c r="L19" s="206"/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</row>
    <row r="20" ht="12.75" customHeight="1" spans="1:26">
      <c r="A20" s="205"/>
      <c r="B20" s="206"/>
      <c r="C20" s="206"/>
      <c r="D20" s="206"/>
      <c r="E20" s="206"/>
      <c r="F20" s="206"/>
      <c r="G20" s="206"/>
      <c r="H20" s="206"/>
      <c r="I20" s="206"/>
      <c r="J20" s="206"/>
      <c r="K20" s="206"/>
      <c r="L20" s="206"/>
      <c r="M20" s="206"/>
      <c r="N20" s="206"/>
      <c r="O20" s="206"/>
      <c r="P20" s="206"/>
      <c r="Q20" s="206"/>
      <c r="R20" s="206"/>
      <c r="S20" s="206"/>
      <c r="T20" s="206"/>
      <c r="U20" s="206"/>
      <c r="V20" s="206"/>
      <c r="W20" s="206"/>
      <c r="X20" s="206"/>
      <c r="Y20" s="206"/>
      <c r="Z20" s="206"/>
    </row>
    <row r="21" ht="12.75" customHeight="1" spans="1:26">
      <c r="A21" s="205"/>
      <c r="B21" s="206"/>
      <c r="C21" s="206"/>
      <c r="D21" s="206"/>
      <c r="E21" s="206"/>
      <c r="F21" s="206"/>
      <c r="G21" s="206"/>
      <c r="H21" s="206"/>
      <c r="I21" s="206"/>
      <c r="J21" s="206"/>
      <c r="K21" s="206"/>
      <c r="L21" s="206"/>
      <c r="M21" s="206"/>
      <c r="N21" s="206"/>
      <c r="O21" s="206"/>
      <c r="P21" s="206"/>
      <c r="Q21" s="206"/>
      <c r="R21" s="206"/>
      <c r="S21" s="206"/>
      <c r="T21" s="206"/>
      <c r="U21" s="206"/>
      <c r="V21" s="206"/>
      <c r="W21" s="206"/>
      <c r="X21" s="206"/>
      <c r="Y21" s="206"/>
      <c r="Z21" s="206"/>
    </row>
    <row r="22" ht="12.75" customHeight="1" spans="1:26">
      <c r="A22" s="205"/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</row>
    <row r="23" ht="12.75" customHeight="1" spans="1:26">
      <c r="A23" s="205"/>
      <c r="B23" s="206"/>
      <c r="C23" s="206"/>
      <c r="D23" s="206"/>
      <c r="E23" s="206"/>
      <c r="F23" s="206"/>
      <c r="G23" s="206"/>
      <c r="H23" s="206"/>
      <c r="I23" s="206"/>
      <c r="J23" s="206"/>
      <c r="K23" s="206"/>
      <c r="L23" s="206"/>
      <c r="M23" s="206"/>
      <c r="N23" s="206"/>
      <c r="O23" s="206"/>
      <c r="P23" s="206"/>
      <c r="Q23" s="206"/>
      <c r="R23" s="206"/>
      <c r="S23" s="206"/>
      <c r="T23" s="206"/>
      <c r="U23" s="206"/>
      <c r="V23" s="206"/>
      <c r="W23" s="206"/>
      <c r="X23" s="206"/>
      <c r="Y23" s="206"/>
      <c r="Z23" s="206"/>
    </row>
    <row r="24" ht="12.75" customHeight="1" spans="1:26">
      <c r="A24" s="205"/>
      <c r="B24" s="206"/>
      <c r="C24" s="206"/>
      <c r="D24" s="206"/>
      <c r="E24" s="206"/>
      <c r="F24" s="206"/>
      <c r="G24" s="206"/>
      <c r="H24" s="206"/>
      <c r="I24" s="206"/>
      <c r="J24" s="206"/>
      <c r="K24" s="206"/>
      <c r="L24" s="206"/>
      <c r="M24" s="206"/>
      <c r="N24" s="206"/>
      <c r="O24" s="206"/>
      <c r="P24" s="206"/>
      <c r="Q24" s="206"/>
      <c r="R24" s="206"/>
      <c r="S24" s="206"/>
      <c r="T24" s="206"/>
      <c r="U24" s="206"/>
      <c r="V24" s="206"/>
      <c r="W24" s="206"/>
      <c r="X24" s="206"/>
      <c r="Y24" s="206"/>
      <c r="Z24" s="206"/>
    </row>
    <row r="25" ht="12.75" customHeight="1" spans="1:26">
      <c r="A25" s="205"/>
      <c r="B25" s="206"/>
      <c r="C25" s="206"/>
      <c r="D25" s="206"/>
      <c r="E25" s="206"/>
      <c r="F25" s="206"/>
      <c r="G25" s="206"/>
      <c r="H25" s="206"/>
      <c r="I25" s="206"/>
      <c r="J25" s="206"/>
      <c r="K25" s="206"/>
      <c r="L25" s="206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</row>
    <row r="26" ht="12.75" customHeight="1" spans="1:26">
      <c r="A26" s="205"/>
      <c r="B26" s="206"/>
      <c r="C26" s="206"/>
      <c r="D26" s="206"/>
      <c r="E26" s="206"/>
      <c r="F26" s="206"/>
      <c r="G26" s="206"/>
      <c r="H26" s="206"/>
      <c r="I26" s="206"/>
      <c r="J26" s="206"/>
      <c r="K26" s="206"/>
      <c r="L26" s="206"/>
      <c r="M26" s="206"/>
      <c r="N26" s="206"/>
      <c r="O26" s="206"/>
      <c r="P26" s="206"/>
      <c r="Q26" s="206"/>
      <c r="R26" s="206"/>
      <c r="S26" s="206"/>
      <c r="T26" s="206"/>
      <c r="U26" s="206"/>
      <c r="V26" s="206"/>
      <c r="W26" s="206"/>
      <c r="X26" s="206"/>
      <c r="Y26" s="206"/>
      <c r="Z26" s="206"/>
    </row>
    <row r="27" ht="12.75" customHeight="1" spans="1:26">
      <c r="A27" s="205"/>
      <c r="B27" s="206"/>
      <c r="C27" s="206"/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206"/>
      <c r="O27" s="206"/>
      <c r="P27" s="206"/>
      <c r="Q27" s="206"/>
      <c r="R27" s="206"/>
      <c r="S27" s="206"/>
      <c r="T27" s="206"/>
      <c r="U27" s="206"/>
      <c r="V27" s="206"/>
      <c r="W27" s="206"/>
      <c r="X27" s="206"/>
      <c r="Y27" s="206"/>
      <c r="Z27" s="206"/>
    </row>
    <row r="28" ht="12.75" customHeight="1" spans="1:26">
      <c r="A28" s="205"/>
      <c r="B28" s="206"/>
      <c r="C28" s="206"/>
      <c r="D28" s="206"/>
      <c r="E28" s="206"/>
      <c r="F28" s="206"/>
      <c r="G28" s="206"/>
      <c r="H28" s="206"/>
      <c r="I28" s="206"/>
      <c r="J28" s="206"/>
      <c r="K28" s="206"/>
      <c r="L28" s="206"/>
      <c r="M28" s="206"/>
      <c r="N28" s="206"/>
      <c r="O28" s="206"/>
      <c r="P28" s="206"/>
      <c r="Q28" s="206"/>
      <c r="R28" s="206"/>
      <c r="S28" s="206"/>
      <c r="T28" s="206"/>
      <c r="U28" s="206"/>
      <c r="V28" s="206"/>
      <c r="W28" s="206"/>
      <c r="X28" s="206"/>
      <c r="Y28" s="206"/>
      <c r="Z28" s="206"/>
    </row>
    <row r="29" ht="12.75" customHeight="1" spans="1:26">
      <c r="A29" s="205"/>
      <c r="B29" s="206"/>
      <c r="C29" s="206"/>
      <c r="D29" s="206"/>
      <c r="E29" s="206"/>
      <c r="F29" s="206"/>
      <c r="G29" s="206"/>
      <c r="H29" s="206"/>
      <c r="I29" s="206"/>
      <c r="J29" s="206"/>
      <c r="K29" s="206"/>
      <c r="L29" s="206"/>
      <c r="M29" s="206"/>
      <c r="N29" s="206"/>
      <c r="O29" s="206"/>
      <c r="P29" s="206"/>
      <c r="Q29" s="206"/>
      <c r="R29" s="206"/>
      <c r="S29" s="206"/>
      <c r="T29" s="206"/>
      <c r="U29" s="206"/>
      <c r="V29" s="206"/>
      <c r="W29" s="206"/>
      <c r="X29" s="206"/>
      <c r="Y29" s="206"/>
      <c r="Z29" s="206"/>
    </row>
    <row r="30" ht="12.75" customHeight="1" spans="1:26">
      <c r="A30" s="205"/>
      <c r="B30" s="206"/>
      <c r="C30" s="206"/>
      <c r="D30" s="206"/>
      <c r="E30" s="206"/>
      <c r="F30" s="206"/>
      <c r="G30" s="206"/>
      <c r="H30" s="206"/>
      <c r="I30" s="206"/>
      <c r="J30" s="206"/>
      <c r="K30" s="206"/>
      <c r="L30" s="206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</row>
    <row r="31" ht="12.75" customHeight="1" spans="1:26">
      <c r="A31" s="205"/>
      <c r="B31" s="206"/>
      <c r="C31" s="206"/>
      <c r="D31" s="206"/>
      <c r="E31" s="206"/>
      <c r="F31" s="206"/>
      <c r="G31" s="206"/>
      <c r="H31" s="206"/>
      <c r="I31" s="206"/>
      <c r="J31" s="206"/>
      <c r="K31" s="206"/>
      <c r="L31" s="206"/>
      <c r="M31" s="206"/>
      <c r="N31" s="206"/>
      <c r="O31" s="206"/>
      <c r="P31" s="206"/>
      <c r="Q31" s="206"/>
      <c r="R31" s="206"/>
      <c r="S31" s="206"/>
      <c r="T31" s="206"/>
      <c r="U31" s="206"/>
      <c r="V31" s="206"/>
      <c r="W31" s="206"/>
      <c r="X31" s="206"/>
      <c r="Y31" s="206"/>
      <c r="Z31" s="206"/>
    </row>
    <row r="32" ht="12.75" customHeight="1" spans="1:26">
      <c r="A32" s="205"/>
      <c r="B32" s="206"/>
      <c r="C32" s="206"/>
      <c r="D32" s="206"/>
      <c r="E32" s="206"/>
      <c r="F32" s="206"/>
      <c r="G32" s="206"/>
      <c r="H32" s="206"/>
      <c r="I32" s="206"/>
      <c r="J32" s="206"/>
      <c r="K32" s="206"/>
      <c r="L32" s="206"/>
      <c r="M32" s="206"/>
      <c r="N32" s="206"/>
      <c r="O32" s="206"/>
      <c r="P32" s="206"/>
      <c r="Q32" s="206"/>
      <c r="R32" s="206"/>
      <c r="S32" s="206"/>
      <c r="T32" s="206"/>
      <c r="U32" s="206"/>
      <c r="V32" s="206"/>
      <c r="W32" s="206"/>
      <c r="X32" s="206"/>
      <c r="Y32" s="206"/>
      <c r="Z32" s="206"/>
    </row>
    <row r="33" ht="12.75" customHeight="1" spans="1:26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6"/>
      <c r="X33" s="206"/>
      <c r="Y33" s="206"/>
      <c r="Z33" s="206"/>
    </row>
    <row r="34" ht="12.75" customHeight="1" spans="1:26">
      <c r="A34" s="205"/>
      <c r="B34" s="206"/>
      <c r="C34" s="206"/>
      <c r="D34" s="206"/>
      <c r="E34" s="206"/>
      <c r="F34" s="206"/>
      <c r="G34" s="206"/>
      <c r="H34" s="206"/>
      <c r="I34" s="206"/>
      <c r="J34" s="206"/>
      <c r="K34" s="206"/>
      <c r="L34" s="206"/>
      <c r="M34" s="206"/>
      <c r="N34" s="206"/>
      <c r="O34" s="206"/>
      <c r="P34" s="206"/>
      <c r="Q34" s="206"/>
      <c r="R34" s="206"/>
      <c r="S34" s="206"/>
      <c r="T34" s="206"/>
      <c r="U34" s="206"/>
      <c r="V34" s="206"/>
      <c r="W34" s="206"/>
      <c r="X34" s="206"/>
      <c r="Y34" s="206"/>
      <c r="Z34" s="206"/>
    </row>
    <row r="35" ht="12.75" customHeight="1" spans="1:26">
      <c r="A35" s="205"/>
      <c r="B35" s="206"/>
      <c r="C35" s="206"/>
      <c r="D35" s="206"/>
      <c r="E35" s="206"/>
      <c r="F35" s="206"/>
      <c r="G35" s="206"/>
      <c r="H35" s="206"/>
      <c r="I35" s="206"/>
      <c r="J35" s="206"/>
      <c r="K35" s="206"/>
      <c r="L35" s="206"/>
      <c r="M35" s="206"/>
      <c r="N35" s="206"/>
      <c r="O35" s="206"/>
      <c r="P35" s="206"/>
      <c r="Q35" s="206"/>
      <c r="R35" s="206"/>
      <c r="S35" s="206"/>
      <c r="T35" s="206"/>
      <c r="U35" s="206"/>
      <c r="V35" s="206"/>
      <c r="W35" s="206"/>
      <c r="X35" s="206"/>
      <c r="Y35" s="206"/>
      <c r="Z35" s="206"/>
    </row>
    <row r="36" ht="12.75" customHeight="1" spans="1:26">
      <c r="A36" s="205"/>
      <c r="B36" s="206"/>
      <c r="C36" s="206"/>
      <c r="D36" s="206"/>
      <c r="E36" s="206"/>
      <c r="F36" s="206"/>
      <c r="G36" s="206"/>
      <c r="H36" s="206"/>
      <c r="I36" s="206"/>
      <c r="J36" s="206"/>
      <c r="K36" s="206"/>
      <c r="L36" s="206"/>
      <c r="M36" s="206"/>
      <c r="N36" s="206"/>
      <c r="O36" s="206"/>
      <c r="P36" s="206"/>
      <c r="Q36" s="206"/>
      <c r="R36" s="206"/>
      <c r="S36" s="206"/>
      <c r="T36" s="206"/>
      <c r="U36" s="206"/>
      <c r="V36" s="206"/>
      <c r="W36" s="206"/>
      <c r="X36" s="206"/>
      <c r="Y36" s="206"/>
      <c r="Z36" s="206"/>
    </row>
    <row r="37" ht="12.75" customHeight="1" spans="1:26">
      <c r="A37" s="205"/>
      <c r="B37" s="206"/>
      <c r="C37" s="206"/>
      <c r="D37" s="206"/>
      <c r="E37" s="206"/>
      <c r="F37" s="20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206"/>
      <c r="R37" s="206"/>
      <c r="S37" s="206"/>
      <c r="T37" s="206"/>
      <c r="U37" s="206"/>
      <c r="V37" s="206"/>
      <c r="W37" s="206"/>
      <c r="X37" s="206"/>
      <c r="Y37" s="206"/>
      <c r="Z37" s="206"/>
    </row>
    <row r="38" ht="12.75" customHeight="1" spans="1:26">
      <c r="A38" s="205"/>
      <c r="B38" s="206"/>
      <c r="C38" s="206"/>
      <c r="D38" s="206"/>
      <c r="E38" s="206"/>
      <c r="F38" s="206"/>
      <c r="G38" s="206"/>
      <c r="H38" s="206"/>
      <c r="I38" s="206"/>
      <c r="J38" s="206"/>
      <c r="K38" s="206"/>
      <c r="L38" s="206"/>
      <c r="M38" s="206"/>
      <c r="N38" s="206"/>
      <c r="O38" s="206"/>
      <c r="P38" s="206"/>
      <c r="Q38" s="206"/>
      <c r="R38" s="206"/>
      <c r="S38" s="206"/>
      <c r="T38" s="206"/>
      <c r="U38" s="206"/>
      <c r="V38" s="206"/>
      <c r="W38" s="206"/>
      <c r="X38" s="206"/>
      <c r="Y38" s="206"/>
      <c r="Z38" s="206"/>
    </row>
    <row r="39" ht="12.75" customHeight="1" spans="1:26">
      <c r="A39" s="205"/>
      <c r="B39" s="206"/>
      <c r="C39" s="206"/>
      <c r="D39" s="206"/>
      <c r="E39" s="206"/>
      <c r="F39" s="206"/>
      <c r="G39" s="206"/>
      <c r="H39" s="206"/>
      <c r="I39" s="206"/>
      <c r="J39" s="206"/>
      <c r="K39" s="206"/>
      <c r="L39" s="206"/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206"/>
    </row>
    <row r="40" ht="12.75" customHeight="1" spans="1:26">
      <c r="A40" s="205"/>
      <c r="B40" s="206"/>
      <c r="C40" s="206"/>
      <c r="D40" s="206"/>
      <c r="E40" s="206"/>
      <c r="F40" s="206"/>
      <c r="G40" s="206"/>
      <c r="H40" s="206"/>
      <c r="I40" s="206"/>
      <c r="J40" s="206"/>
      <c r="K40" s="206"/>
      <c r="L40" s="206"/>
      <c r="M40" s="206"/>
      <c r="N40" s="206"/>
      <c r="O40" s="206"/>
      <c r="P40" s="206"/>
      <c r="Q40" s="206"/>
      <c r="R40" s="206"/>
      <c r="S40" s="206"/>
      <c r="T40" s="206"/>
      <c r="U40" s="206"/>
      <c r="V40" s="206"/>
      <c r="W40" s="206"/>
      <c r="X40" s="206"/>
      <c r="Y40" s="206"/>
      <c r="Z40" s="206"/>
    </row>
    <row r="41" ht="12.75" customHeight="1" spans="1:26">
      <c r="A41" s="205"/>
      <c r="B41" s="206"/>
      <c r="C41" s="206"/>
      <c r="D41" s="206"/>
      <c r="E41" s="206"/>
      <c r="F41" s="206"/>
      <c r="G41" s="206"/>
      <c r="H41" s="206"/>
      <c r="I41" s="206"/>
      <c r="J41" s="206"/>
      <c r="K41" s="206"/>
      <c r="L41" s="206"/>
      <c r="M41" s="206"/>
      <c r="N41" s="206"/>
      <c r="O41" s="206"/>
      <c r="P41" s="206"/>
      <c r="Q41" s="206"/>
      <c r="R41" s="206"/>
      <c r="S41" s="206"/>
      <c r="T41" s="206"/>
      <c r="U41" s="206"/>
      <c r="V41" s="206"/>
      <c r="W41" s="206"/>
      <c r="X41" s="206"/>
      <c r="Y41" s="206"/>
      <c r="Z41" s="206"/>
    </row>
    <row r="42" ht="12.75" customHeight="1" spans="1:26">
      <c r="A42" s="205"/>
      <c r="B42" s="206"/>
      <c r="C42" s="206"/>
      <c r="D42" s="206"/>
      <c r="E42" s="206"/>
      <c r="F42" s="206"/>
      <c r="G42" s="206"/>
      <c r="H42" s="206"/>
      <c r="I42" s="206"/>
      <c r="J42" s="206"/>
      <c r="K42" s="206"/>
      <c r="L42" s="206"/>
      <c r="M42" s="206"/>
      <c r="N42" s="206"/>
      <c r="O42" s="206"/>
      <c r="P42" s="206"/>
      <c r="Q42" s="206"/>
      <c r="R42" s="206"/>
      <c r="S42" s="206"/>
      <c r="T42" s="206"/>
      <c r="U42" s="206"/>
      <c r="V42" s="206"/>
      <c r="W42" s="206"/>
      <c r="X42" s="206"/>
      <c r="Y42" s="206"/>
      <c r="Z42" s="206"/>
    </row>
    <row r="43" ht="12.75" customHeight="1" spans="1:26">
      <c r="A43" s="205"/>
      <c r="B43" s="206"/>
      <c r="C43" s="206"/>
      <c r="D43" s="206"/>
      <c r="E43" s="206"/>
      <c r="F43" s="206"/>
      <c r="G43" s="206"/>
      <c r="H43" s="206"/>
      <c r="I43" s="206"/>
      <c r="J43" s="206"/>
      <c r="K43" s="206"/>
      <c r="L43" s="206"/>
      <c r="M43" s="206"/>
      <c r="N43" s="206"/>
      <c r="O43" s="206"/>
      <c r="P43" s="206"/>
      <c r="Q43" s="206"/>
      <c r="R43" s="206"/>
      <c r="S43" s="206"/>
      <c r="T43" s="206"/>
      <c r="U43" s="206"/>
      <c r="V43" s="206"/>
      <c r="W43" s="206"/>
      <c r="X43" s="206"/>
      <c r="Y43" s="206"/>
      <c r="Z43" s="206"/>
    </row>
    <row r="44" ht="12.75" customHeight="1" spans="1:26">
      <c r="A44" s="205"/>
      <c r="B44" s="206"/>
      <c r="C44" s="206"/>
      <c r="D44" s="206"/>
      <c r="E44" s="206"/>
      <c r="F44" s="206"/>
      <c r="G44" s="206"/>
      <c r="H44" s="206"/>
      <c r="I44" s="206"/>
      <c r="J44" s="206"/>
      <c r="K44" s="206"/>
      <c r="L44" s="206"/>
      <c r="M44" s="206"/>
      <c r="N44" s="206"/>
      <c r="O44" s="206"/>
      <c r="P44" s="206"/>
      <c r="Q44" s="206"/>
      <c r="R44" s="206"/>
      <c r="S44" s="206"/>
      <c r="T44" s="206"/>
      <c r="U44" s="206"/>
      <c r="V44" s="206"/>
      <c r="W44" s="206"/>
      <c r="X44" s="206"/>
      <c r="Y44" s="206"/>
      <c r="Z44" s="206"/>
    </row>
    <row r="45" ht="12.75" customHeight="1" spans="1:26">
      <c r="A45" s="205"/>
      <c r="B45" s="206"/>
      <c r="C45" s="206"/>
      <c r="D45" s="206"/>
      <c r="E45" s="206"/>
      <c r="F45" s="206"/>
      <c r="G45" s="206"/>
      <c r="H45" s="206"/>
      <c r="I45" s="206"/>
      <c r="J45" s="206"/>
      <c r="K45" s="206"/>
      <c r="L45" s="206"/>
      <c r="M45" s="206"/>
      <c r="N45" s="206"/>
      <c r="O45" s="206"/>
      <c r="P45" s="206"/>
      <c r="Q45" s="206"/>
      <c r="R45" s="206"/>
      <c r="S45" s="206"/>
      <c r="T45" s="206"/>
      <c r="U45" s="206"/>
      <c r="V45" s="206"/>
      <c r="W45" s="206"/>
      <c r="X45" s="206"/>
      <c r="Y45" s="206"/>
      <c r="Z45" s="206"/>
    </row>
    <row r="46" ht="12.75" customHeight="1" spans="1:26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6"/>
      <c r="X46" s="206"/>
      <c r="Y46" s="206"/>
      <c r="Z46" s="206"/>
    </row>
    <row r="47" ht="12.75" customHeight="1" spans="1:26">
      <c r="A47" s="205"/>
      <c r="B47" s="206"/>
      <c r="C47" s="206"/>
      <c r="D47" s="206"/>
      <c r="E47" s="206"/>
      <c r="F47" s="206"/>
      <c r="G47" s="206"/>
      <c r="H47" s="206"/>
      <c r="I47" s="206"/>
      <c r="J47" s="206"/>
      <c r="K47" s="206"/>
      <c r="L47" s="206"/>
      <c r="M47" s="206"/>
      <c r="N47" s="206"/>
      <c r="O47" s="206"/>
      <c r="P47" s="206"/>
      <c r="Q47" s="206"/>
      <c r="R47" s="206"/>
      <c r="S47" s="206"/>
      <c r="T47" s="206"/>
      <c r="U47" s="206"/>
      <c r="V47" s="206"/>
      <c r="W47" s="206"/>
      <c r="X47" s="206"/>
      <c r="Y47" s="206"/>
      <c r="Z47" s="206"/>
    </row>
    <row r="48" ht="12.75" customHeight="1" spans="1:26">
      <c r="A48" s="205"/>
      <c r="B48" s="206"/>
      <c r="C48" s="206"/>
      <c r="D48" s="206"/>
      <c r="E48" s="206"/>
      <c r="F48" s="206"/>
      <c r="G48" s="206"/>
      <c r="H48" s="206"/>
      <c r="I48" s="206"/>
      <c r="J48" s="206"/>
      <c r="K48" s="206"/>
      <c r="L48" s="206"/>
      <c r="M48" s="206"/>
      <c r="N48" s="206"/>
      <c r="O48" s="206"/>
      <c r="P48" s="206"/>
      <c r="Q48" s="206"/>
      <c r="R48" s="206"/>
      <c r="S48" s="206"/>
      <c r="T48" s="206"/>
      <c r="U48" s="206"/>
      <c r="V48" s="206"/>
      <c r="W48" s="206"/>
      <c r="X48" s="206"/>
      <c r="Y48" s="206"/>
      <c r="Z48" s="206"/>
    </row>
    <row r="49" ht="12.75" customHeight="1" spans="1:26">
      <c r="A49" s="205"/>
      <c r="B49" s="206"/>
      <c r="C49" s="206"/>
      <c r="D49" s="206"/>
      <c r="E49" s="206"/>
      <c r="F49" s="206"/>
      <c r="G49" s="206"/>
      <c r="H49" s="206"/>
      <c r="I49" s="206"/>
      <c r="J49" s="206"/>
      <c r="K49" s="206"/>
      <c r="L49" s="206"/>
      <c r="M49" s="206"/>
      <c r="N49" s="206"/>
      <c r="O49" s="206"/>
      <c r="P49" s="206"/>
      <c r="Q49" s="206"/>
      <c r="R49" s="206"/>
      <c r="S49" s="206"/>
      <c r="T49" s="206"/>
      <c r="U49" s="206"/>
      <c r="V49" s="206"/>
      <c r="W49" s="206"/>
      <c r="X49" s="206"/>
      <c r="Y49" s="206"/>
      <c r="Z49" s="206"/>
    </row>
    <row r="50" ht="12.75" customHeight="1" spans="1:26">
      <c r="A50" s="205"/>
      <c r="B50" s="206"/>
      <c r="C50" s="206"/>
      <c r="D50" s="206"/>
      <c r="E50" s="206"/>
      <c r="F50" s="206"/>
      <c r="G50" s="206"/>
      <c r="H50" s="206"/>
      <c r="I50" s="206"/>
      <c r="J50" s="206"/>
      <c r="K50" s="206"/>
      <c r="L50" s="206"/>
      <c r="M50" s="206"/>
      <c r="N50" s="206"/>
      <c r="O50" s="206"/>
      <c r="P50" s="206"/>
      <c r="Q50" s="206"/>
      <c r="R50" s="206"/>
      <c r="S50" s="206"/>
      <c r="T50" s="206"/>
      <c r="U50" s="206"/>
      <c r="V50" s="206"/>
      <c r="W50" s="206"/>
      <c r="X50" s="206"/>
      <c r="Y50" s="206"/>
      <c r="Z50" s="206"/>
    </row>
    <row r="51" ht="12.75" customHeight="1" spans="1:26">
      <c r="A51" s="205"/>
      <c r="B51" s="206"/>
      <c r="C51" s="206"/>
      <c r="D51" s="206"/>
      <c r="E51" s="206"/>
      <c r="F51" s="206"/>
      <c r="G51" s="206"/>
      <c r="H51" s="206"/>
      <c r="I51" s="206"/>
      <c r="J51" s="206"/>
      <c r="K51" s="206"/>
      <c r="L51" s="206"/>
      <c r="M51" s="206"/>
      <c r="N51" s="206"/>
      <c r="O51" s="206"/>
      <c r="P51" s="206"/>
      <c r="Q51" s="206"/>
      <c r="R51" s="206"/>
      <c r="S51" s="206"/>
      <c r="T51" s="206"/>
      <c r="U51" s="206"/>
      <c r="V51" s="206"/>
      <c r="W51" s="206"/>
      <c r="X51" s="206"/>
      <c r="Y51" s="206"/>
      <c r="Z51" s="206"/>
    </row>
    <row r="52" ht="12.75" customHeight="1" spans="1:26">
      <c r="A52" s="205"/>
      <c r="B52" s="206"/>
      <c r="C52" s="206"/>
      <c r="D52" s="206"/>
      <c r="E52" s="206"/>
      <c r="F52" s="206"/>
      <c r="G52" s="206"/>
      <c r="H52" s="206"/>
      <c r="I52" s="206"/>
      <c r="J52" s="206"/>
      <c r="K52" s="206"/>
      <c r="L52" s="206"/>
      <c r="M52" s="206"/>
      <c r="N52" s="206"/>
      <c r="O52" s="206"/>
      <c r="P52" s="206"/>
      <c r="Q52" s="206"/>
      <c r="R52" s="206"/>
      <c r="S52" s="206"/>
      <c r="T52" s="206"/>
      <c r="U52" s="206"/>
      <c r="V52" s="206"/>
      <c r="W52" s="206"/>
      <c r="X52" s="206"/>
      <c r="Y52" s="206"/>
      <c r="Z52" s="206"/>
    </row>
    <row r="53" ht="12.75" customHeight="1" spans="1:26">
      <c r="A53" s="205"/>
      <c r="B53" s="206"/>
      <c r="C53" s="206"/>
      <c r="D53" s="206"/>
      <c r="E53" s="206"/>
      <c r="F53" s="206"/>
      <c r="G53" s="206"/>
      <c r="H53" s="206"/>
      <c r="I53" s="206"/>
      <c r="J53" s="206"/>
      <c r="K53" s="206"/>
      <c r="L53" s="206"/>
      <c r="M53" s="206"/>
      <c r="N53" s="206"/>
      <c r="O53" s="206"/>
      <c r="P53" s="206"/>
      <c r="Q53" s="206"/>
      <c r="R53" s="206"/>
      <c r="S53" s="206"/>
      <c r="T53" s="206"/>
      <c r="U53" s="206"/>
      <c r="V53" s="206"/>
      <c r="W53" s="206"/>
      <c r="X53" s="206"/>
      <c r="Y53" s="206"/>
      <c r="Z53" s="206"/>
    </row>
    <row r="54" ht="12.75" customHeight="1" spans="1:26">
      <c r="A54" s="205"/>
      <c r="B54" s="206"/>
      <c r="C54" s="206"/>
      <c r="D54" s="206"/>
      <c r="E54" s="206"/>
      <c r="F54" s="206"/>
      <c r="G54" s="206"/>
      <c r="H54" s="206"/>
      <c r="I54" s="206"/>
      <c r="J54" s="206"/>
      <c r="K54" s="206"/>
      <c r="L54" s="206"/>
      <c r="M54" s="206"/>
      <c r="N54" s="206"/>
      <c r="O54" s="206"/>
      <c r="P54" s="206"/>
      <c r="Q54" s="206"/>
      <c r="R54" s="206"/>
      <c r="S54" s="206"/>
      <c r="T54" s="206"/>
      <c r="U54" s="206"/>
      <c r="V54" s="206"/>
      <c r="W54" s="206"/>
      <c r="X54" s="206"/>
      <c r="Y54" s="206"/>
      <c r="Z54" s="206"/>
    </row>
    <row r="55" ht="12.75" customHeight="1" spans="1:26">
      <c r="A55" s="205"/>
      <c r="B55" s="206"/>
      <c r="C55" s="206"/>
      <c r="D55" s="206"/>
      <c r="E55" s="206"/>
      <c r="F55" s="206"/>
      <c r="G55" s="206"/>
      <c r="H55" s="206"/>
      <c r="I55" s="206"/>
      <c r="J55" s="206"/>
      <c r="K55" s="206"/>
      <c r="L55" s="206"/>
      <c r="M55" s="206"/>
      <c r="N55" s="206"/>
      <c r="O55" s="206"/>
      <c r="P55" s="206"/>
      <c r="Q55" s="206"/>
      <c r="R55" s="206"/>
      <c r="S55" s="206"/>
      <c r="T55" s="206"/>
      <c r="U55" s="206"/>
      <c r="V55" s="206"/>
      <c r="W55" s="206"/>
      <c r="X55" s="206"/>
      <c r="Y55" s="206"/>
      <c r="Z55" s="206"/>
    </row>
    <row r="56" ht="12.75" customHeight="1" spans="1:26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6"/>
      <c r="X56" s="206"/>
      <c r="Y56" s="206"/>
      <c r="Z56" s="206"/>
    </row>
    <row r="57" ht="12.75" customHeight="1" spans="1:26">
      <c r="A57" s="205"/>
      <c r="B57" s="206"/>
      <c r="C57" s="206"/>
      <c r="D57" s="206"/>
      <c r="E57" s="206"/>
      <c r="F57" s="206"/>
      <c r="G57" s="206"/>
      <c r="H57" s="206"/>
      <c r="I57" s="206"/>
      <c r="J57" s="206"/>
      <c r="K57" s="206"/>
      <c r="L57" s="206"/>
      <c r="M57" s="206"/>
      <c r="N57" s="206"/>
      <c r="O57" s="206"/>
      <c r="P57" s="206"/>
      <c r="Q57" s="206"/>
      <c r="R57" s="206"/>
      <c r="S57" s="206"/>
      <c r="T57" s="206"/>
      <c r="U57" s="206"/>
      <c r="V57" s="206"/>
      <c r="W57" s="206"/>
      <c r="X57" s="206"/>
      <c r="Y57" s="206"/>
      <c r="Z57" s="206"/>
    </row>
    <row r="58" ht="12.75" customHeight="1" spans="1:26">
      <c r="A58" s="205"/>
      <c r="B58" s="206"/>
      <c r="C58" s="206"/>
      <c r="D58" s="206"/>
      <c r="E58" s="206"/>
      <c r="F58" s="206"/>
      <c r="G58" s="206"/>
      <c r="H58" s="206"/>
      <c r="I58" s="206"/>
      <c r="J58" s="206"/>
      <c r="K58" s="206"/>
      <c r="L58" s="206"/>
      <c r="M58" s="206"/>
      <c r="N58" s="206"/>
      <c r="O58" s="206"/>
      <c r="P58" s="206"/>
      <c r="Q58" s="206"/>
      <c r="R58" s="206"/>
      <c r="S58" s="206"/>
      <c r="T58" s="206"/>
      <c r="U58" s="206"/>
      <c r="V58" s="206"/>
      <c r="W58" s="206"/>
      <c r="X58" s="206"/>
      <c r="Y58" s="206"/>
      <c r="Z58" s="206"/>
    </row>
    <row r="59" ht="12.75" customHeight="1" spans="1:26">
      <c r="A59" s="205"/>
      <c r="B59" s="206"/>
      <c r="C59" s="206"/>
      <c r="D59" s="206"/>
      <c r="E59" s="206"/>
      <c r="F59" s="206"/>
      <c r="G59" s="206"/>
      <c r="H59" s="206"/>
      <c r="I59" s="206"/>
      <c r="J59" s="206"/>
      <c r="K59" s="206"/>
      <c r="L59" s="206"/>
      <c r="M59" s="206"/>
      <c r="N59" s="206"/>
      <c r="O59" s="206"/>
      <c r="P59" s="206"/>
      <c r="Q59" s="206"/>
      <c r="R59" s="206"/>
      <c r="S59" s="206"/>
      <c r="T59" s="206"/>
      <c r="U59" s="206"/>
      <c r="V59" s="206"/>
      <c r="W59" s="206"/>
      <c r="X59" s="206"/>
      <c r="Y59" s="206"/>
      <c r="Z59" s="206"/>
    </row>
    <row r="60" ht="12.75" customHeight="1" spans="1:26">
      <c r="A60" s="205"/>
      <c r="B60" s="206"/>
      <c r="C60" s="206"/>
      <c r="D60" s="206"/>
      <c r="E60" s="206"/>
      <c r="F60" s="206"/>
      <c r="G60" s="206"/>
      <c r="H60" s="206"/>
      <c r="I60" s="206"/>
      <c r="J60" s="206"/>
      <c r="K60" s="206"/>
      <c r="L60" s="206"/>
      <c r="M60" s="206"/>
      <c r="N60" s="206"/>
      <c r="O60" s="206"/>
      <c r="P60" s="206"/>
      <c r="Q60" s="206"/>
      <c r="R60" s="206"/>
      <c r="S60" s="206"/>
      <c r="T60" s="206"/>
      <c r="U60" s="206"/>
      <c r="V60" s="206"/>
      <c r="W60" s="206"/>
      <c r="X60" s="206"/>
      <c r="Y60" s="206"/>
      <c r="Z60" s="206"/>
    </row>
    <row r="61" ht="12.75" customHeight="1" spans="1:26">
      <c r="A61" s="205"/>
      <c r="B61" s="206"/>
      <c r="C61" s="206"/>
      <c r="D61" s="206"/>
      <c r="E61" s="206"/>
      <c r="F61" s="206"/>
      <c r="G61" s="206"/>
      <c r="H61" s="206"/>
      <c r="I61" s="206"/>
      <c r="J61" s="206"/>
      <c r="K61" s="206"/>
      <c r="L61" s="206"/>
      <c r="M61" s="206"/>
      <c r="N61" s="206"/>
      <c r="O61" s="206"/>
      <c r="P61" s="206"/>
      <c r="Q61" s="206"/>
      <c r="R61" s="206"/>
      <c r="S61" s="206"/>
      <c r="T61" s="206"/>
      <c r="U61" s="206"/>
      <c r="V61" s="206"/>
      <c r="W61" s="206"/>
      <c r="X61" s="206"/>
      <c r="Y61" s="206"/>
      <c r="Z61" s="206"/>
    </row>
    <row r="62" ht="12.75" customHeight="1" spans="1:26">
      <c r="A62" s="205"/>
      <c r="B62" s="206"/>
      <c r="C62" s="206"/>
      <c r="D62" s="206"/>
      <c r="E62" s="206"/>
      <c r="F62" s="206"/>
      <c r="G62" s="206"/>
      <c r="H62" s="206"/>
      <c r="I62" s="206"/>
      <c r="J62" s="206"/>
      <c r="K62" s="206"/>
      <c r="L62" s="206"/>
      <c r="M62" s="206"/>
      <c r="N62" s="206"/>
      <c r="O62" s="206"/>
      <c r="P62" s="206"/>
      <c r="Q62" s="206"/>
      <c r="R62" s="206"/>
      <c r="S62" s="206"/>
      <c r="T62" s="206"/>
      <c r="U62" s="206"/>
      <c r="V62" s="206"/>
      <c r="W62" s="206"/>
      <c r="X62" s="206"/>
      <c r="Y62" s="206"/>
      <c r="Z62" s="206"/>
    </row>
    <row r="63" ht="12.75" customHeight="1" spans="1:26">
      <c r="A63" s="205"/>
      <c r="B63" s="206"/>
      <c r="C63" s="206"/>
      <c r="D63" s="206"/>
      <c r="E63" s="206"/>
      <c r="F63" s="206"/>
      <c r="G63" s="206"/>
      <c r="H63" s="206"/>
      <c r="I63" s="206"/>
      <c r="J63" s="206"/>
      <c r="K63" s="206"/>
      <c r="L63" s="206"/>
      <c r="M63" s="206"/>
      <c r="N63" s="206"/>
      <c r="O63" s="206"/>
      <c r="P63" s="206"/>
      <c r="Q63" s="206"/>
      <c r="R63" s="206"/>
      <c r="S63" s="206"/>
      <c r="T63" s="206"/>
      <c r="U63" s="206"/>
      <c r="V63" s="206"/>
      <c r="W63" s="206"/>
      <c r="X63" s="206"/>
      <c r="Y63" s="206"/>
      <c r="Z63" s="206"/>
    </row>
    <row r="64" ht="12.75" customHeight="1" spans="1:26">
      <c r="A64" s="205"/>
      <c r="B64" s="206"/>
      <c r="C64" s="206"/>
      <c r="D64" s="206"/>
      <c r="E64" s="206"/>
      <c r="F64" s="206"/>
      <c r="G64" s="206"/>
      <c r="H64" s="206"/>
      <c r="I64" s="206"/>
      <c r="J64" s="206"/>
      <c r="K64" s="206"/>
      <c r="L64" s="206"/>
      <c r="M64" s="206"/>
      <c r="N64" s="206"/>
      <c r="O64" s="206"/>
      <c r="P64" s="206"/>
      <c r="Q64" s="206"/>
      <c r="R64" s="206"/>
      <c r="S64" s="206"/>
      <c r="T64" s="206"/>
      <c r="U64" s="206"/>
      <c r="V64" s="206"/>
      <c r="W64" s="206"/>
      <c r="X64" s="206"/>
      <c r="Y64" s="206"/>
      <c r="Z64" s="206"/>
    </row>
    <row r="65" ht="12.75" customHeight="1" spans="1:26">
      <c r="A65" s="205"/>
      <c r="B65" s="206"/>
      <c r="C65" s="206"/>
      <c r="D65" s="206"/>
      <c r="E65" s="206"/>
      <c r="F65" s="206"/>
      <c r="G65" s="206"/>
      <c r="H65" s="206"/>
      <c r="I65" s="206"/>
      <c r="J65" s="206"/>
      <c r="K65" s="206"/>
      <c r="L65" s="206"/>
      <c r="M65" s="206"/>
      <c r="N65" s="206"/>
      <c r="O65" s="206"/>
      <c r="P65" s="206"/>
      <c r="Q65" s="206"/>
      <c r="R65" s="206"/>
      <c r="S65" s="206"/>
      <c r="T65" s="206"/>
      <c r="U65" s="206"/>
      <c r="V65" s="206"/>
      <c r="W65" s="206"/>
      <c r="X65" s="206"/>
      <c r="Y65" s="206"/>
      <c r="Z65" s="206"/>
    </row>
    <row r="66" ht="12.75" customHeight="1" spans="1:26">
      <c r="A66" s="205"/>
      <c r="B66" s="206"/>
      <c r="C66" s="206"/>
      <c r="D66" s="206"/>
      <c r="E66" s="206"/>
      <c r="F66" s="206"/>
      <c r="G66" s="206"/>
      <c r="H66" s="206"/>
      <c r="I66" s="206"/>
      <c r="J66" s="206"/>
      <c r="K66" s="206"/>
      <c r="L66" s="206"/>
      <c r="M66" s="206"/>
      <c r="N66" s="206"/>
      <c r="O66" s="206"/>
      <c r="P66" s="206"/>
      <c r="Q66" s="206"/>
      <c r="R66" s="206"/>
      <c r="S66" s="206"/>
      <c r="T66" s="206"/>
      <c r="U66" s="206"/>
      <c r="V66" s="206"/>
      <c r="W66" s="206"/>
      <c r="X66" s="206"/>
      <c r="Y66" s="206"/>
      <c r="Z66" s="206"/>
    </row>
    <row r="67" ht="12.75" customHeight="1" spans="1:26">
      <c r="A67" s="205"/>
      <c r="B67" s="206"/>
      <c r="C67" s="206"/>
      <c r="D67" s="206"/>
      <c r="E67" s="206"/>
      <c r="F67" s="206"/>
      <c r="G67" s="206"/>
      <c r="H67" s="206"/>
      <c r="I67" s="206"/>
      <c r="J67" s="206"/>
      <c r="K67" s="206"/>
      <c r="L67" s="206"/>
      <c r="M67" s="206"/>
      <c r="N67" s="206"/>
      <c r="O67" s="206"/>
      <c r="P67" s="206"/>
      <c r="Q67" s="206"/>
      <c r="R67" s="206"/>
      <c r="S67" s="206"/>
      <c r="T67" s="206"/>
      <c r="U67" s="206"/>
      <c r="V67" s="206"/>
      <c r="W67" s="206"/>
      <c r="X67" s="206"/>
      <c r="Y67" s="206"/>
      <c r="Z67" s="206"/>
    </row>
    <row r="68" ht="12.75" customHeight="1" spans="1:26">
      <c r="A68" s="205"/>
      <c r="B68" s="206"/>
      <c r="C68" s="206"/>
      <c r="D68" s="206"/>
      <c r="E68" s="206"/>
      <c r="F68" s="206"/>
      <c r="G68" s="206"/>
      <c r="H68" s="206"/>
      <c r="I68" s="206"/>
      <c r="J68" s="206"/>
      <c r="K68" s="206"/>
      <c r="L68" s="206"/>
      <c r="M68" s="206"/>
      <c r="N68" s="206"/>
      <c r="O68" s="206"/>
      <c r="P68" s="206"/>
      <c r="Q68" s="206"/>
      <c r="R68" s="206"/>
      <c r="S68" s="206"/>
      <c r="T68" s="206"/>
      <c r="U68" s="206"/>
      <c r="V68" s="206"/>
      <c r="W68" s="206"/>
      <c r="X68" s="206"/>
      <c r="Y68" s="206"/>
      <c r="Z68" s="206"/>
    </row>
    <row r="69" ht="12.75" customHeight="1" spans="1:26">
      <c r="A69" s="205"/>
      <c r="B69" s="206"/>
      <c r="C69" s="206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6"/>
      <c r="Y69" s="206"/>
      <c r="Z69" s="206"/>
    </row>
    <row r="70" ht="12.75" customHeight="1" spans="1:26">
      <c r="A70" s="205"/>
      <c r="B70" s="206"/>
      <c r="C70" s="206"/>
      <c r="D70" s="206"/>
      <c r="E70" s="206"/>
      <c r="F70" s="206"/>
      <c r="G70" s="206"/>
      <c r="H70" s="206"/>
      <c r="I70" s="206"/>
      <c r="J70" s="206"/>
      <c r="K70" s="206"/>
      <c r="L70" s="206"/>
      <c r="M70" s="206"/>
      <c r="N70" s="206"/>
      <c r="O70" s="206"/>
      <c r="P70" s="206"/>
      <c r="Q70" s="206"/>
      <c r="R70" s="206"/>
      <c r="S70" s="206"/>
      <c r="T70" s="206"/>
      <c r="U70" s="206"/>
      <c r="V70" s="206"/>
      <c r="W70" s="206"/>
      <c r="X70" s="206"/>
      <c r="Y70" s="206"/>
      <c r="Z70" s="206"/>
    </row>
    <row r="71" ht="12.75" customHeight="1" spans="1:26">
      <c r="A71" s="205"/>
      <c r="B71" s="206"/>
      <c r="C71" s="206"/>
      <c r="D71" s="206"/>
      <c r="E71" s="206"/>
      <c r="F71" s="206"/>
      <c r="G71" s="206"/>
      <c r="H71" s="206"/>
      <c r="I71" s="206"/>
      <c r="J71" s="206"/>
      <c r="K71" s="206"/>
      <c r="L71" s="206"/>
      <c r="M71" s="206"/>
      <c r="N71" s="206"/>
      <c r="O71" s="206"/>
      <c r="P71" s="206"/>
      <c r="Q71" s="206"/>
      <c r="R71" s="206"/>
      <c r="S71" s="206"/>
      <c r="T71" s="206"/>
      <c r="U71" s="206"/>
      <c r="V71" s="206"/>
      <c r="W71" s="206"/>
      <c r="X71" s="206"/>
      <c r="Y71" s="206"/>
      <c r="Z71" s="206"/>
    </row>
    <row r="72" ht="12.75" customHeight="1" spans="1:26">
      <c r="A72" s="205"/>
      <c r="B72" s="206"/>
      <c r="C72" s="206"/>
      <c r="D72" s="206"/>
      <c r="E72" s="206"/>
      <c r="F72" s="206"/>
      <c r="G72" s="206"/>
      <c r="H72" s="206"/>
      <c r="I72" s="206"/>
      <c r="J72" s="206"/>
      <c r="K72" s="206"/>
      <c r="L72" s="206"/>
      <c r="M72" s="206"/>
      <c r="N72" s="206"/>
      <c r="O72" s="206"/>
      <c r="P72" s="206"/>
      <c r="Q72" s="206"/>
      <c r="R72" s="206"/>
      <c r="S72" s="206"/>
      <c r="T72" s="206"/>
      <c r="U72" s="206"/>
      <c r="V72" s="206"/>
      <c r="W72" s="206"/>
      <c r="X72" s="206"/>
      <c r="Y72" s="206"/>
      <c r="Z72" s="206"/>
    </row>
    <row r="73" ht="12.75" customHeight="1" spans="1:26">
      <c r="A73" s="205"/>
      <c r="B73" s="206"/>
      <c r="C73" s="206"/>
      <c r="D73" s="206"/>
      <c r="E73" s="206"/>
      <c r="F73" s="206"/>
      <c r="G73" s="206"/>
      <c r="H73" s="206"/>
      <c r="I73" s="206"/>
      <c r="J73" s="206"/>
      <c r="K73" s="206"/>
      <c r="L73" s="206"/>
      <c r="M73" s="206"/>
      <c r="N73" s="206"/>
      <c r="O73" s="206"/>
      <c r="P73" s="206"/>
      <c r="Q73" s="206"/>
      <c r="R73" s="206"/>
      <c r="S73" s="206"/>
      <c r="T73" s="206"/>
      <c r="U73" s="206"/>
      <c r="V73" s="206"/>
      <c r="W73" s="206"/>
      <c r="X73" s="206"/>
      <c r="Y73" s="206"/>
      <c r="Z73" s="206"/>
    </row>
    <row r="74" ht="12.75" customHeight="1" spans="1:26">
      <c r="A74" s="205"/>
      <c r="B74" s="206"/>
      <c r="C74" s="206"/>
      <c r="D74" s="206"/>
      <c r="E74" s="206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6"/>
      <c r="Y74" s="206"/>
      <c r="Z74" s="206"/>
    </row>
    <row r="75" ht="12.75" customHeight="1" spans="1:26">
      <c r="A75" s="205"/>
      <c r="B75" s="206"/>
      <c r="C75" s="20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6"/>
      <c r="Y75" s="206"/>
      <c r="Z75" s="206"/>
    </row>
    <row r="76" ht="12.75" customHeight="1" spans="1:26">
      <c r="A76" s="205"/>
      <c r="B76" s="206"/>
      <c r="C76" s="206"/>
      <c r="D76" s="206"/>
      <c r="E76" s="206"/>
      <c r="F76" s="206"/>
      <c r="G76" s="206"/>
      <c r="H76" s="206"/>
      <c r="I76" s="206"/>
      <c r="J76" s="206"/>
      <c r="K76" s="206"/>
      <c r="L76" s="206"/>
      <c r="M76" s="206"/>
      <c r="N76" s="206"/>
      <c r="O76" s="206"/>
      <c r="P76" s="206"/>
      <c r="Q76" s="206"/>
      <c r="R76" s="206"/>
      <c r="S76" s="206"/>
      <c r="T76" s="206"/>
      <c r="U76" s="206"/>
      <c r="V76" s="206"/>
      <c r="W76" s="206"/>
      <c r="X76" s="206"/>
      <c r="Y76" s="206"/>
      <c r="Z76" s="206"/>
    </row>
    <row r="77" ht="12.75" customHeight="1" spans="1:26">
      <c r="A77" s="205"/>
      <c r="B77" s="206"/>
      <c r="C77" s="206"/>
      <c r="D77" s="206"/>
      <c r="E77" s="206"/>
      <c r="F77" s="206"/>
      <c r="G77" s="206"/>
      <c r="H77" s="206"/>
      <c r="I77" s="206"/>
      <c r="J77" s="206"/>
      <c r="K77" s="206"/>
      <c r="L77" s="206"/>
      <c r="M77" s="206"/>
      <c r="N77" s="206"/>
      <c r="O77" s="206"/>
      <c r="P77" s="206"/>
      <c r="Q77" s="206"/>
      <c r="R77" s="206"/>
      <c r="S77" s="206"/>
      <c r="T77" s="206"/>
      <c r="U77" s="206"/>
      <c r="V77" s="206"/>
      <c r="W77" s="206"/>
      <c r="X77" s="206"/>
      <c r="Y77" s="206"/>
      <c r="Z77" s="206"/>
    </row>
    <row r="78" ht="12.75" customHeight="1" spans="1:26">
      <c r="A78" s="205"/>
      <c r="B78" s="206"/>
      <c r="C78" s="206"/>
      <c r="D78" s="206"/>
      <c r="E78" s="206"/>
      <c r="F78" s="206"/>
      <c r="G78" s="206"/>
      <c r="H78" s="206"/>
      <c r="I78" s="206"/>
      <c r="J78" s="206"/>
      <c r="K78" s="206"/>
      <c r="L78" s="206"/>
      <c r="M78" s="206"/>
      <c r="N78" s="206"/>
      <c r="O78" s="206"/>
      <c r="P78" s="206"/>
      <c r="Q78" s="206"/>
      <c r="R78" s="206"/>
      <c r="S78" s="206"/>
      <c r="T78" s="206"/>
      <c r="U78" s="206"/>
      <c r="V78" s="206"/>
      <c r="W78" s="206"/>
      <c r="X78" s="206"/>
      <c r="Y78" s="206"/>
      <c r="Z78" s="206"/>
    </row>
    <row r="79" ht="12.75" customHeight="1" spans="1:26">
      <c r="A79" s="205"/>
      <c r="B79" s="206"/>
      <c r="C79" s="206"/>
      <c r="D79" s="206"/>
      <c r="E79" s="206"/>
      <c r="F79" s="206"/>
      <c r="G79" s="206"/>
      <c r="H79" s="206"/>
      <c r="I79" s="206"/>
      <c r="J79" s="206"/>
      <c r="K79" s="206"/>
      <c r="L79" s="206"/>
      <c r="M79" s="206"/>
      <c r="N79" s="206"/>
      <c r="O79" s="206"/>
      <c r="P79" s="206"/>
      <c r="Q79" s="206"/>
      <c r="R79" s="206"/>
      <c r="S79" s="206"/>
      <c r="T79" s="206"/>
      <c r="U79" s="206"/>
      <c r="V79" s="206"/>
      <c r="W79" s="206"/>
      <c r="X79" s="206"/>
      <c r="Y79" s="206"/>
      <c r="Z79" s="206"/>
    </row>
    <row r="80" ht="12.75" customHeight="1" spans="1:26">
      <c r="A80" s="205"/>
      <c r="B80" s="206"/>
      <c r="C80" s="206"/>
      <c r="D80" s="206"/>
      <c r="E80" s="206"/>
      <c r="F80" s="206"/>
      <c r="G80" s="206"/>
      <c r="H80" s="206"/>
      <c r="I80" s="206"/>
      <c r="J80" s="206"/>
      <c r="K80" s="206"/>
      <c r="L80" s="206"/>
      <c r="M80" s="206"/>
      <c r="N80" s="206"/>
      <c r="O80" s="206"/>
      <c r="P80" s="206"/>
      <c r="Q80" s="206"/>
      <c r="R80" s="206"/>
      <c r="S80" s="206"/>
      <c r="T80" s="206"/>
      <c r="U80" s="206"/>
      <c r="V80" s="206"/>
      <c r="W80" s="206"/>
      <c r="X80" s="206"/>
      <c r="Y80" s="206"/>
      <c r="Z80" s="206"/>
    </row>
    <row r="81" ht="12.75" customHeight="1" spans="1:26">
      <c r="A81" s="205"/>
      <c r="B81" s="206"/>
      <c r="C81" s="206"/>
      <c r="D81" s="206"/>
      <c r="E81" s="206"/>
      <c r="F81" s="206"/>
      <c r="G81" s="206"/>
      <c r="H81" s="206"/>
      <c r="I81" s="206"/>
      <c r="J81" s="206"/>
      <c r="K81" s="206"/>
      <c r="L81" s="206"/>
      <c r="M81" s="206"/>
      <c r="N81" s="206"/>
      <c r="O81" s="206"/>
      <c r="P81" s="206"/>
      <c r="Q81" s="206"/>
      <c r="R81" s="206"/>
      <c r="S81" s="206"/>
      <c r="T81" s="206"/>
      <c r="U81" s="206"/>
      <c r="V81" s="206"/>
      <c r="W81" s="206"/>
      <c r="X81" s="206"/>
      <c r="Y81" s="206"/>
      <c r="Z81" s="206"/>
    </row>
    <row r="82" ht="12.75" customHeight="1" spans="1:26">
      <c r="A82" s="205"/>
      <c r="B82" s="206"/>
      <c r="C82" s="206"/>
      <c r="D82" s="206"/>
      <c r="E82" s="206"/>
      <c r="F82" s="206"/>
      <c r="G82" s="206"/>
      <c r="H82" s="206"/>
      <c r="I82" s="206"/>
      <c r="J82" s="206"/>
      <c r="K82" s="206"/>
      <c r="L82" s="206"/>
      <c r="M82" s="206"/>
      <c r="N82" s="206"/>
      <c r="O82" s="206"/>
      <c r="P82" s="206"/>
      <c r="Q82" s="206"/>
      <c r="R82" s="206"/>
      <c r="S82" s="206"/>
      <c r="T82" s="206"/>
      <c r="U82" s="206"/>
      <c r="V82" s="206"/>
      <c r="W82" s="206"/>
      <c r="X82" s="206"/>
      <c r="Y82" s="206"/>
      <c r="Z82" s="206"/>
    </row>
    <row r="83" ht="12.75" customHeight="1" spans="1:26">
      <c r="A83" s="205"/>
      <c r="B83" s="206"/>
      <c r="C83" s="206"/>
      <c r="D83" s="206"/>
      <c r="E83" s="206"/>
      <c r="F83" s="206"/>
      <c r="G83" s="206"/>
      <c r="H83" s="206"/>
      <c r="I83" s="206"/>
      <c r="J83" s="206"/>
      <c r="K83" s="206"/>
      <c r="L83" s="206"/>
      <c r="M83" s="206"/>
      <c r="N83" s="206"/>
      <c r="O83" s="206"/>
      <c r="P83" s="206"/>
      <c r="Q83" s="206"/>
      <c r="R83" s="206"/>
      <c r="S83" s="206"/>
      <c r="T83" s="206"/>
      <c r="U83" s="206"/>
      <c r="V83" s="206"/>
      <c r="W83" s="206"/>
      <c r="X83" s="206"/>
      <c r="Y83" s="206"/>
      <c r="Z83" s="206"/>
    </row>
    <row r="84" ht="12.75" customHeight="1" spans="1:26">
      <c r="A84" s="205"/>
      <c r="B84" s="206"/>
      <c r="C84" s="206"/>
      <c r="D84" s="206"/>
      <c r="E84" s="206"/>
      <c r="F84" s="206"/>
      <c r="G84" s="206"/>
      <c r="H84" s="206"/>
      <c r="I84" s="206"/>
      <c r="J84" s="206"/>
      <c r="K84" s="206"/>
      <c r="L84" s="206"/>
      <c r="M84" s="206"/>
      <c r="N84" s="206"/>
      <c r="O84" s="206"/>
      <c r="P84" s="206"/>
      <c r="Q84" s="206"/>
      <c r="R84" s="206"/>
      <c r="S84" s="206"/>
      <c r="T84" s="206"/>
      <c r="U84" s="206"/>
      <c r="V84" s="206"/>
      <c r="W84" s="206"/>
      <c r="X84" s="206"/>
      <c r="Y84" s="206"/>
      <c r="Z84" s="206"/>
    </row>
    <row r="85" ht="12.75" customHeight="1" spans="1:26">
      <c r="A85" s="205"/>
      <c r="B85" s="206"/>
      <c r="C85" s="206"/>
      <c r="D85" s="206"/>
      <c r="E85" s="206"/>
      <c r="F85" s="206"/>
      <c r="G85" s="206"/>
      <c r="H85" s="206"/>
      <c r="I85" s="206"/>
      <c r="J85" s="206"/>
      <c r="K85" s="206"/>
      <c r="L85" s="206"/>
      <c r="M85" s="206"/>
      <c r="N85" s="206"/>
      <c r="O85" s="206"/>
      <c r="P85" s="206"/>
      <c r="Q85" s="206"/>
      <c r="R85" s="206"/>
      <c r="S85" s="206"/>
      <c r="T85" s="206"/>
      <c r="U85" s="206"/>
      <c r="V85" s="206"/>
      <c r="W85" s="206"/>
      <c r="X85" s="206"/>
      <c r="Y85" s="206"/>
      <c r="Z85" s="206"/>
    </row>
    <row r="86" ht="12.75" customHeight="1" spans="1:26">
      <c r="A86" s="205"/>
      <c r="B86" s="206"/>
      <c r="C86" s="206"/>
      <c r="D86" s="206"/>
      <c r="E86" s="206"/>
      <c r="F86" s="206"/>
      <c r="G86" s="206"/>
      <c r="H86" s="206"/>
      <c r="I86" s="206"/>
      <c r="J86" s="206"/>
      <c r="K86" s="206"/>
      <c r="L86" s="206"/>
      <c r="M86" s="206"/>
      <c r="N86" s="206"/>
      <c r="O86" s="206"/>
      <c r="P86" s="206"/>
      <c r="Q86" s="206"/>
      <c r="R86" s="206"/>
      <c r="S86" s="206"/>
      <c r="T86" s="206"/>
      <c r="U86" s="206"/>
      <c r="V86" s="206"/>
      <c r="W86" s="206"/>
      <c r="X86" s="206"/>
      <c r="Y86" s="206"/>
      <c r="Z86" s="206"/>
    </row>
    <row r="87" ht="12.75" customHeight="1" spans="1:26">
      <c r="A87" s="205"/>
      <c r="B87" s="206"/>
      <c r="C87" s="206"/>
      <c r="D87" s="206"/>
      <c r="E87" s="206"/>
      <c r="F87" s="206"/>
      <c r="G87" s="206"/>
      <c r="H87" s="206"/>
      <c r="I87" s="206"/>
      <c r="J87" s="206"/>
      <c r="K87" s="206"/>
      <c r="L87" s="206"/>
      <c r="M87" s="206"/>
      <c r="N87" s="206"/>
      <c r="O87" s="206"/>
      <c r="P87" s="206"/>
      <c r="Q87" s="206"/>
      <c r="R87" s="206"/>
      <c r="S87" s="206"/>
      <c r="T87" s="206"/>
      <c r="U87" s="206"/>
      <c r="V87" s="206"/>
      <c r="W87" s="206"/>
      <c r="X87" s="206"/>
      <c r="Y87" s="206"/>
      <c r="Z87" s="206"/>
    </row>
    <row r="88" ht="12.75" customHeight="1" spans="1:26">
      <c r="A88" s="205"/>
      <c r="B88" s="206"/>
      <c r="C88" s="206"/>
      <c r="D88" s="206"/>
      <c r="E88" s="206"/>
      <c r="F88" s="206"/>
      <c r="G88" s="206"/>
      <c r="H88" s="206"/>
      <c r="I88" s="206"/>
      <c r="J88" s="206"/>
      <c r="K88" s="206"/>
      <c r="L88" s="206"/>
      <c r="M88" s="206"/>
      <c r="N88" s="206"/>
      <c r="O88" s="206"/>
      <c r="P88" s="206"/>
      <c r="Q88" s="206"/>
      <c r="R88" s="206"/>
      <c r="S88" s="206"/>
      <c r="T88" s="206"/>
      <c r="U88" s="206"/>
      <c r="V88" s="206"/>
      <c r="W88" s="206"/>
      <c r="X88" s="206"/>
      <c r="Y88" s="206"/>
      <c r="Z88" s="206"/>
    </row>
    <row r="89" ht="12.75" customHeight="1" spans="1:26">
      <c r="A89" s="205"/>
      <c r="B89" s="206"/>
      <c r="C89" s="206"/>
      <c r="D89" s="206"/>
      <c r="E89" s="206"/>
      <c r="F89" s="206"/>
      <c r="G89" s="206"/>
      <c r="H89" s="206"/>
      <c r="I89" s="206"/>
      <c r="J89" s="206"/>
      <c r="K89" s="206"/>
      <c r="L89" s="206"/>
      <c r="M89" s="206"/>
      <c r="N89" s="206"/>
      <c r="O89" s="206"/>
      <c r="P89" s="206"/>
      <c r="Q89" s="206"/>
      <c r="R89" s="206"/>
      <c r="S89" s="206"/>
      <c r="T89" s="206"/>
      <c r="U89" s="206"/>
      <c r="V89" s="206"/>
      <c r="W89" s="206"/>
      <c r="X89" s="206"/>
      <c r="Y89" s="206"/>
      <c r="Z89" s="206"/>
    </row>
    <row r="90" ht="12.75" customHeight="1" spans="1:26">
      <c r="A90" s="205"/>
      <c r="B90" s="206"/>
      <c r="C90" s="206"/>
      <c r="D90" s="206"/>
      <c r="E90" s="206"/>
      <c r="F90" s="206"/>
      <c r="G90" s="206"/>
      <c r="H90" s="206"/>
      <c r="I90" s="206"/>
      <c r="J90" s="206"/>
      <c r="K90" s="206"/>
      <c r="L90" s="206"/>
      <c r="M90" s="206"/>
      <c r="N90" s="206"/>
      <c r="O90" s="206"/>
      <c r="P90" s="206"/>
      <c r="Q90" s="206"/>
      <c r="R90" s="206"/>
      <c r="S90" s="206"/>
      <c r="T90" s="206"/>
      <c r="U90" s="206"/>
      <c r="V90" s="206"/>
      <c r="W90" s="206"/>
      <c r="X90" s="206"/>
      <c r="Y90" s="206"/>
      <c r="Z90" s="206"/>
    </row>
    <row r="91" ht="12.75" customHeight="1" spans="1:26">
      <c r="A91" s="205"/>
      <c r="B91" s="206"/>
      <c r="C91" s="206"/>
      <c r="D91" s="206"/>
      <c r="E91" s="206"/>
      <c r="F91" s="206"/>
      <c r="G91" s="206"/>
      <c r="H91" s="206"/>
      <c r="I91" s="206"/>
      <c r="J91" s="206"/>
      <c r="K91" s="206"/>
      <c r="L91" s="206"/>
      <c r="M91" s="206"/>
      <c r="N91" s="206"/>
      <c r="O91" s="206"/>
      <c r="P91" s="206"/>
      <c r="Q91" s="206"/>
      <c r="R91" s="206"/>
      <c r="S91" s="206"/>
      <c r="T91" s="206"/>
      <c r="U91" s="206"/>
      <c r="V91" s="206"/>
      <c r="W91" s="206"/>
      <c r="X91" s="206"/>
      <c r="Y91" s="206"/>
      <c r="Z91" s="206"/>
    </row>
    <row r="92" ht="12.75" customHeight="1" spans="1:26">
      <c r="A92" s="205"/>
      <c r="B92" s="206"/>
      <c r="C92" s="206"/>
      <c r="D92" s="206"/>
      <c r="E92" s="206"/>
      <c r="F92" s="206"/>
      <c r="G92" s="206"/>
      <c r="H92" s="206"/>
      <c r="I92" s="206"/>
      <c r="J92" s="206"/>
      <c r="K92" s="206"/>
      <c r="L92" s="206"/>
      <c r="M92" s="206"/>
      <c r="N92" s="206"/>
      <c r="O92" s="206"/>
      <c r="P92" s="206"/>
      <c r="Q92" s="206"/>
      <c r="R92" s="206"/>
      <c r="S92" s="206"/>
      <c r="T92" s="206"/>
      <c r="U92" s="206"/>
      <c r="V92" s="206"/>
      <c r="W92" s="206"/>
      <c r="X92" s="206"/>
      <c r="Y92" s="206"/>
      <c r="Z92" s="206"/>
    </row>
    <row r="93" ht="12.75" customHeight="1" spans="1:26">
      <c r="A93" s="205"/>
      <c r="B93" s="206"/>
      <c r="C93" s="206"/>
      <c r="D93" s="206"/>
      <c r="E93" s="206"/>
      <c r="F93" s="206"/>
      <c r="G93" s="206"/>
      <c r="H93" s="206"/>
      <c r="I93" s="206"/>
      <c r="J93" s="206"/>
      <c r="K93" s="206"/>
      <c r="L93" s="206"/>
      <c r="M93" s="206"/>
      <c r="N93" s="206"/>
      <c r="O93" s="206"/>
      <c r="P93" s="206"/>
      <c r="Q93" s="206"/>
      <c r="R93" s="206"/>
      <c r="S93" s="206"/>
      <c r="T93" s="206"/>
      <c r="U93" s="206"/>
      <c r="V93" s="206"/>
      <c r="W93" s="206"/>
      <c r="X93" s="206"/>
      <c r="Y93" s="206"/>
      <c r="Z93" s="206"/>
    </row>
    <row r="94" ht="12.75" customHeight="1" spans="1:26">
      <c r="A94" s="205"/>
      <c r="B94" s="206"/>
      <c r="C94" s="206"/>
      <c r="D94" s="206"/>
      <c r="E94" s="206"/>
      <c r="F94" s="206"/>
      <c r="G94" s="206"/>
      <c r="H94" s="206"/>
      <c r="I94" s="206"/>
      <c r="J94" s="206"/>
      <c r="K94" s="206"/>
      <c r="L94" s="206"/>
      <c r="M94" s="206"/>
      <c r="N94" s="206"/>
      <c r="O94" s="206"/>
      <c r="P94" s="206"/>
      <c r="Q94" s="206"/>
      <c r="R94" s="206"/>
      <c r="S94" s="206"/>
      <c r="T94" s="206"/>
      <c r="U94" s="206"/>
      <c r="V94" s="206"/>
      <c r="W94" s="206"/>
      <c r="X94" s="206"/>
      <c r="Y94" s="206"/>
      <c r="Z94" s="206"/>
    </row>
    <row r="95" ht="12.75" customHeight="1" spans="1:26">
      <c r="A95" s="205"/>
      <c r="B95" s="206"/>
      <c r="C95" s="206"/>
      <c r="D95" s="206"/>
      <c r="E95" s="206"/>
      <c r="F95" s="206"/>
      <c r="G95" s="206"/>
      <c r="H95" s="206"/>
      <c r="I95" s="206"/>
      <c r="J95" s="206"/>
      <c r="K95" s="206"/>
      <c r="L95" s="206"/>
      <c r="M95" s="206"/>
      <c r="N95" s="206"/>
      <c r="O95" s="206"/>
      <c r="P95" s="206"/>
      <c r="Q95" s="206"/>
      <c r="R95" s="206"/>
      <c r="S95" s="206"/>
      <c r="T95" s="206"/>
      <c r="U95" s="206"/>
      <c r="V95" s="206"/>
      <c r="W95" s="206"/>
      <c r="X95" s="206"/>
      <c r="Y95" s="206"/>
      <c r="Z95" s="206"/>
    </row>
    <row r="96" ht="12.75" customHeight="1" spans="1:26">
      <c r="A96" s="205"/>
      <c r="B96" s="206"/>
      <c r="C96" s="206"/>
      <c r="D96" s="206"/>
      <c r="E96" s="206"/>
      <c r="F96" s="206"/>
      <c r="G96" s="206"/>
      <c r="H96" s="206"/>
      <c r="I96" s="206"/>
      <c r="J96" s="206"/>
      <c r="K96" s="206"/>
      <c r="L96" s="206"/>
      <c r="M96" s="206"/>
      <c r="N96" s="206"/>
      <c r="O96" s="206"/>
      <c r="P96" s="206"/>
      <c r="Q96" s="206"/>
      <c r="R96" s="206"/>
      <c r="S96" s="206"/>
      <c r="T96" s="206"/>
      <c r="U96" s="206"/>
      <c r="V96" s="206"/>
      <c r="W96" s="206"/>
      <c r="X96" s="206"/>
      <c r="Y96" s="206"/>
      <c r="Z96" s="206"/>
    </row>
    <row r="97" ht="12.75" customHeight="1" spans="1:26">
      <c r="A97" s="205"/>
      <c r="B97" s="206"/>
      <c r="C97" s="206"/>
      <c r="D97" s="206"/>
      <c r="E97" s="206"/>
      <c r="F97" s="206"/>
      <c r="G97" s="206"/>
      <c r="H97" s="206"/>
      <c r="I97" s="206"/>
      <c r="J97" s="206"/>
      <c r="K97" s="206"/>
      <c r="L97" s="206"/>
      <c r="M97" s="206"/>
      <c r="N97" s="206"/>
      <c r="O97" s="206"/>
      <c r="P97" s="206"/>
      <c r="Q97" s="206"/>
      <c r="R97" s="206"/>
      <c r="S97" s="206"/>
      <c r="T97" s="206"/>
      <c r="U97" s="206"/>
      <c r="V97" s="206"/>
      <c r="W97" s="206"/>
      <c r="X97" s="206"/>
      <c r="Y97" s="206"/>
      <c r="Z97" s="206"/>
    </row>
    <row r="98" ht="12.75" customHeight="1" spans="1:26">
      <c r="A98" s="205"/>
      <c r="B98" s="206"/>
      <c r="C98" s="206"/>
      <c r="D98" s="206"/>
      <c r="E98" s="206"/>
      <c r="F98" s="206"/>
      <c r="G98" s="206"/>
      <c r="H98" s="206"/>
      <c r="I98" s="206"/>
      <c r="J98" s="206"/>
      <c r="K98" s="206"/>
      <c r="L98" s="206"/>
      <c r="M98" s="206"/>
      <c r="N98" s="206"/>
      <c r="O98" s="206"/>
      <c r="P98" s="206"/>
      <c r="Q98" s="206"/>
      <c r="R98" s="206"/>
      <c r="S98" s="206"/>
      <c r="T98" s="206"/>
      <c r="U98" s="206"/>
      <c r="V98" s="206"/>
      <c r="W98" s="206"/>
      <c r="X98" s="206"/>
      <c r="Y98" s="206"/>
      <c r="Z98" s="206"/>
    </row>
    <row r="99" ht="12.75" customHeight="1" spans="1:26">
      <c r="A99" s="205"/>
      <c r="B99" s="206"/>
      <c r="C99" s="206"/>
      <c r="D99" s="206"/>
      <c r="E99" s="206"/>
      <c r="F99" s="206"/>
      <c r="G99" s="206"/>
      <c r="H99" s="206"/>
      <c r="I99" s="206"/>
      <c r="J99" s="206"/>
      <c r="K99" s="206"/>
      <c r="L99" s="206"/>
      <c r="M99" s="206"/>
      <c r="N99" s="206"/>
      <c r="O99" s="206"/>
      <c r="P99" s="206"/>
      <c r="Q99" s="206"/>
      <c r="R99" s="206"/>
      <c r="S99" s="206"/>
      <c r="T99" s="206"/>
      <c r="U99" s="206"/>
      <c r="V99" s="206"/>
      <c r="W99" s="206"/>
      <c r="X99" s="206"/>
      <c r="Y99" s="206"/>
      <c r="Z99" s="206"/>
    </row>
    <row r="100" ht="12.75" customHeight="1" spans="1:26">
      <c r="A100" s="205"/>
      <c r="B100" s="206"/>
      <c r="C100" s="206"/>
      <c r="D100" s="206"/>
      <c r="E100" s="206"/>
      <c r="F100" s="206"/>
      <c r="G100" s="206"/>
      <c r="H100" s="206"/>
      <c r="I100" s="206"/>
      <c r="J100" s="206"/>
      <c r="K100" s="206"/>
      <c r="L100" s="206"/>
      <c r="M100" s="206"/>
      <c r="N100" s="206"/>
      <c r="O100" s="206"/>
      <c r="P100" s="206"/>
      <c r="Q100" s="206"/>
      <c r="R100" s="206"/>
      <c r="S100" s="206"/>
      <c r="T100" s="206"/>
      <c r="U100" s="206"/>
      <c r="V100" s="206"/>
      <c r="W100" s="206"/>
      <c r="X100" s="206"/>
      <c r="Y100" s="206"/>
      <c r="Z100" s="206"/>
    </row>
    <row r="101" ht="12.75" customHeight="1" spans="1:26">
      <c r="A101" s="205"/>
      <c r="B101" s="206"/>
      <c r="C101" s="206"/>
      <c r="D101" s="206"/>
      <c r="E101" s="206"/>
      <c r="F101" s="206"/>
      <c r="G101" s="206"/>
      <c r="H101" s="206"/>
      <c r="I101" s="206"/>
      <c r="J101" s="206"/>
      <c r="K101" s="206"/>
      <c r="L101" s="206"/>
      <c r="M101" s="206"/>
      <c r="N101" s="206"/>
      <c r="O101" s="206"/>
      <c r="P101" s="206"/>
      <c r="Q101" s="206"/>
      <c r="R101" s="206"/>
      <c r="S101" s="206"/>
      <c r="T101" s="206"/>
      <c r="U101" s="206"/>
      <c r="V101" s="206"/>
      <c r="W101" s="206"/>
      <c r="X101" s="206"/>
      <c r="Y101" s="206"/>
      <c r="Z101" s="206"/>
    </row>
    <row r="102" ht="12.75" customHeight="1" spans="1:26">
      <c r="A102" s="205"/>
      <c r="B102" s="206"/>
      <c r="C102" s="206"/>
      <c r="D102" s="206"/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06"/>
      <c r="Y102" s="206"/>
      <c r="Z102" s="206"/>
    </row>
    <row r="103" ht="12.75" customHeight="1" spans="1:26">
      <c r="A103" s="205"/>
      <c r="B103" s="206"/>
      <c r="C103" s="206"/>
      <c r="D103" s="206"/>
      <c r="E103" s="206"/>
      <c r="F103" s="206"/>
      <c r="G103" s="206"/>
      <c r="H103" s="206"/>
      <c r="I103" s="206"/>
      <c r="J103" s="206"/>
      <c r="K103" s="206"/>
      <c r="L103" s="206"/>
      <c r="M103" s="206"/>
      <c r="N103" s="206"/>
      <c r="O103" s="206"/>
      <c r="P103" s="206"/>
      <c r="Q103" s="206"/>
      <c r="R103" s="206"/>
      <c r="S103" s="206"/>
      <c r="T103" s="206"/>
      <c r="U103" s="206"/>
      <c r="V103" s="206"/>
      <c r="W103" s="206"/>
      <c r="X103" s="206"/>
      <c r="Y103" s="206"/>
      <c r="Z103" s="206"/>
    </row>
    <row r="104" ht="12.75" customHeight="1" spans="1:26">
      <c r="A104" s="205"/>
      <c r="B104" s="206"/>
      <c r="C104" s="206"/>
      <c r="D104" s="206"/>
      <c r="E104" s="206"/>
      <c r="F104" s="206"/>
      <c r="G104" s="206"/>
      <c r="H104" s="206"/>
      <c r="I104" s="206"/>
      <c r="J104" s="206"/>
      <c r="K104" s="206"/>
      <c r="L104" s="206"/>
      <c r="M104" s="206"/>
      <c r="N104" s="206"/>
      <c r="O104" s="206"/>
      <c r="P104" s="206"/>
      <c r="Q104" s="206"/>
      <c r="R104" s="206"/>
      <c r="S104" s="206"/>
      <c r="T104" s="206"/>
      <c r="U104" s="206"/>
      <c r="V104" s="206"/>
      <c r="W104" s="206"/>
      <c r="X104" s="206"/>
      <c r="Y104" s="206"/>
      <c r="Z104" s="206"/>
    </row>
    <row r="105" ht="12.75" customHeight="1" spans="1:26">
      <c r="A105" s="205"/>
      <c r="B105" s="206"/>
      <c r="C105" s="206"/>
      <c r="D105" s="206"/>
      <c r="E105" s="206"/>
      <c r="F105" s="206"/>
      <c r="G105" s="206"/>
      <c r="H105" s="206"/>
      <c r="I105" s="206"/>
      <c r="J105" s="206"/>
      <c r="K105" s="206"/>
      <c r="L105" s="206"/>
      <c r="M105" s="206"/>
      <c r="N105" s="206"/>
      <c r="O105" s="206"/>
      <c r="P105" s="206"/>
      <c r="Q105" s="206"/>
      <c r="R105" s="206"/>
      <c r="S105" s="206"/>
      <c r="T105" s="206"/>
      <c r="U105" s="206"/>
      <c r="V105" s="206"/>
      <c r="W105" s="206"/>
      <c r="X105" s="206"/>
      <c r="Y105" s="206"/>
      <c r="Z105" s="206"/>
    </row>
    <row r="106" ht="12.75" customHeight="1" spans="1:26">
      <c r="A106" s="205"/>
      <c r="B106" s="206"/>
      <c r="C106" s="206"/>
      <c r="D106" s="206"/>
      <c r="E106" s="206"/>
      <c r="F106" s="206"/>
      <c r="G106" s="206"/>
      <c r="H106" s="206"/>
      <c r="I106" s="206"/>
      <c r="J106" s="206"/>
      <c r="K106" s="206"/>
      <c r="L106" s="206"/>
      <c r="M106" s="206"/>
      <c r="N106" s="206"/>
      <c r="O106" s="206"/>
      <c r="P106" s="206"/>
      <c r="Q106" s="206"/>
      <c r="R106" s="206"/>
      <c r="S106" s="206"/>
      <c r="T106" s="206"/>
      <c r="U106" s="206"/>
      <c r="V106" s="206"/>
      <c r="W106" s="206"/>
      <c r="X106" s="206"/>
      <c r="Y106" s="206"/>
      <c r="Z106" s="206"/>
    </row>
    <row r="107" ht="12.75" customHeight="1" spans="1:26">
      <c r="A107" s="205"/>
      <c r="B107" s="206"/>
      <c r="C107" s="206"/>
      <c r="D107" s="206"/>
      <c r="E107" s="206"/>
      <c r="F107" s="206"/>
      <c r="G107" s="206"/>
      <c r="H107" s="206"/>
      <c r="I107" s="206"/>
      <c r="J107" s="206"/>
      <c r="K107" s="206"/>
      <c r="L107" s="206"/>
      <c r="M107" s="206"/>
      <c r="N107" s="206"/>
      <c r="O107" s="206"/>
      <c r="P107" s="206"/>
      <c r="Q107" s="206"/>
      <c r="R107" s="206"/>
      <c r="S107" s="206"/>
      <c r="T107" s="206"/>
      <c r="U107" s="206"/>
      <c r="V107" s="206"/>
      <c r="W107" s="206"/>
      <c r="X107" s="206"/>
      <c r="Y107" s="206"/>
      <c r="Z107" s="206"/>
    </row>
    <row r="108" ht="12.75" customHeight="1" spans="1:26">
      <c r="A108" s="205"/>
      <c r="B108" s="206"/>
      <c r="C108" s="206"/>
      <c r="D108" s="206"/>
      <c r="E108" s="206"/>
      <c r="F108" s="206"/>
      <c r="G108" s="206"/>
      <c r="H108" s="206"/>
      <c r="I108" s="206"/>
      <c r="J108" s="206"/>
      <c r="K108" s="206"/>
      <c r="L108" s="206"/>
      <c r="M108" s="206"/>
      <c r="N108" s="206"/>
      <c r="O108" s="206"/>
      <c r="P108" s="206"/>
      <c r="Q108" s="206"/>
      <c r="R108" s="206"/>
      <c r="S108" s="206"/>
      <c r="T108" s="206"/>
      <c r="U108" s="206"/>
      <c r="V108" s="206"/>
      <c r="W108" s="206"/>
      <c r="X108" s="206"/>
      <c r="Y108" s="206"/>
      <c r="Z108" s="206"/>
    </row>
    <row r="109" ht="12.75" customHeight="1" spans="1:26">
      <c r="A109" s="205"/>
      <c r="B109" s="206"/>
      <c r="C109" s="206"/>
      <c r="D109" s="206"/>
      <c r="E109" s="206"/>
      <c r="F109" s="206"/>
      <c r="G109" s="206"/>
      <c r="H109" s="206"/>
      <c r="I109" s="206"/>
      <c r="J109" s="206"/>
      <c r="K109" s="206"/>
      <c r="L109" s="206"/>
      <c r="M109" s="206"/>
      <c r="N109" s="206"/>
      <c r="O109" s="206"/>
      <c r="P109" s="206"/>
      <c r="Q109" s="206"/>
      <c r="R109" s="206"/>
      <c r="S109" s="206"/>
      <c r="T109" s="206"/>
      <c r="U109" s="206"/>
      <c r="V109" s="206"/>
      <c r="W109" s="206"/>
      <c r="X109" s="206"/>
      <c r="Y109" s="206"/>
      <c r="Z109" s="206"/>
    </row>
    <row r="110" ht="12.75" customHeight="1" spans="1:26">
      <c r="A110" s="205"/>
      <c r="B110" s="206"/>
      <c r="C110" s="206"/>
      <c r="D110" s="206"/>
      <c r="E110" s="206"/>
      <c r="F110" s="206"/>
      <c r="G110" s="206"/>
      <c r="H110" s="206"/>
      <c r="I110" s="206"/>
      <c r="J110" s="206"/>
      <c r="K110" s="206"/>
      <c r="L110" s="206"/>
      <c r="M110" s="206"/>
      <c r="N110" s="206"/>
      <c r="O110" s="206"/>
      <c r="P110" s="206"/>
      <c r="Q110" s="206"/>
      <c r="R110" s="206"/>
      <c r="S110" s="206"/>
      <c r="T110" s="206"/>
      <c r="U110" s="206"/>
      <c r="V110" s="206"/>
      <c r="W110" s="206"/>
      <c r="X110" s="206"/>
      <c r="Y110" s="206"/>
      <c r="Z110" s="206"/>
    </row>
    <row r="111" ht="12.75" customHeight="1" spans="1:26">
      <c r="A111" s="205"/>
      <c r="B111" s="206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  <c r="S111" s="206"/>
      <c r="T111" s="206"/>
      <c r="U111" s="206"/>
      <c r="V111" s="206"/>
      <c r="W111" s="206"/>
      <c r="X111" s="206"/>
      <c r="Y111" s="206"/>
      <c r="Z111" s="206"/>
    </row>
    <row r="112" ht="12.75" customHeight="1" spans="1:26">
      <c r="A112" s="205"/>
      <c r="B112" s="206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  <c r="O112" s="206"/>
      <c r="P112" s="206"/>
      <c r="Q112" s="206"/>
      <c r="R112" s="206"/>
      <c r="S112" s="206"/>
      <c r="T112" s="206"/>
      <c r="U112" s="206"/>
      <c r="V112" s="206"/>
      <c r="W112" s="206"/>
      <c r="X112" s="206"/>
      <c r="Y112" s="206"/>
      <c r="Z112" s="206"/>
    </row>
    <row r="113" ht="12.75" customHeight="1" spans="1:26">
      <c r="A113" s="205"/>
      <c r="B113" s="206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  <c r="P113" s="206"/>
      <c r="Q113" s="206"/>
      <c r="R113" s="206"/>
      <c r="S113" s="206"/>
      <c r="T113" s="206"/>
      <c r="U113" s="206"/>
      <c r="V113" s="206"/>
      <c r="W113" s="206"/>
      <c r="X113" s="206"/>
      <c r="Y113" s="206"/>
      <c r="Z113" s="206"/>
    </row>
    <row r="114" ht="12.75" customHeight="1" spans="1:26">
      <c r="A114" s="205"/>
      <c r="B114" s="206"/>
      <c r="C114" s="206"/>
      <c r="D114" s="206"/>
      <c r="E114" s="206"/>
      <c r="F114" s="206"/>
      <c r="G114" s="206"/>
      <c r="H114" s="206"/>
      <c r="I114" s="206"/>
      <c r="J114" s="206"/>
      <c r="K114" s="206"/>
      <c r="L114" s="206"/>
      <c r="M114" s="206"/>
      <c r="N114" s="206"/>
      <c r="O114" s="206"/>
      <c r="P114" s="206"/>
      <c r="Q114" s="206"/>
      <c r="R114" s="206"/>
      <c r="S114" s="206"/>
      <c r="T114" s="206"/>
      <c r="U114" s="206"/>
      <c r="V114" s="206"/>
      <c r="W114" s="206"/>
      <c r="X114" s="206"/>
      <c r="Y114" s="206"/>
      <c r="Z114" s="206"/>
    </row>
    <row r="115" ht="12.75" customHeight="1" spans="1:26">
      <c r="A115" s="205"/>
      <c r="B115" s="206"/>
      <c r="C115" s="206"/>
      <c r="D115" s="206"/>
      <c r="E115" s="206"/>
      <c r="F115" s="206"/>
      <c r="G115" s="206"/>
      <c r="H115" s="206"/>
      <c r="I115" s="206"/>
      <c r="J115" s="206"/>
      <c r="K115" s="206"/>
      <c r="L115" s="206"/>
      <c r="M115" s="206"/>
      <c r="N115" s="206"/>
      <c r="O115" s="206"/>
      <c r="P115" s="206"/>
      <c r="Q115" s="206"/>
      <c r="R115" s="206"/>
      <c r="S115" s="206"/>
      <c r="T115" s="206"/>
      <c r="U115" s="206"/>
      <c r="V115" s="206"/>
      <c r="W115" s="206"/>
      <c r="X115" s="206"/>
      <c r="Y115" s="206"/>
      <c r="Z115" s="206"/>
    </row>
    <row r="116" ht="12.75" customHeight="1" spans="1:26">
      <c r="A116" s="205"/>
      <c r="B116" s="206"/>
      <c r="C116" s="206"/>
      <c r="D116" s="206"/>
      <c r="E116" s="206"/>
      <c r="F116" s="206"/>
      <c r="G116" s="206"/>
      <c r="H116" s="206"/>
      <c r="I116" s="206"/>
      <c r="J116" s="206"/>
      <c r="K116" s="206"/>
      <c r="L116" s="206"/>
      <c r="M116" s="206"/>
      <c r="N116" s="206"/>
      <c r="O116" s="206"/>
      <c r="P116" s="206"/>
      <c r="Q116" s="206"/>
      <c r="R116" s="206"/>
      <c r="S116" s="206"/>
      <c r="T116" s="206"/>
      <c r="U116" s="206"/>
      <c r="V116" s="206"/>
      <c r="W116" s="206"/>
      <c r="X116" s="206"/>
      <c r="Y116" s="206"/>
      <c r="Z116" s="206"/>
    </row>
    <row r="117" ht="12.75" customHeight="1" spans="1:26">
      <c r="A117" s="205"/>
      <c r="B117" s="206"/>
      <c r="C117" s="206"/>
      <c r="D117" s="206"/>
      <c r="E117" s="206"/>
      <c r="F117" s="206"/>
      <c r="G117" s="206"/>
      <c r="H117" s="206"/>
      <c r="I117" s="206"/>
      <c r="J117" s="206"/>
      <c r="K117" s="206"/>
      <c r="L117" s="206"/>
      <c r="M117" s="206"/>
      <c r="N117" s="206"/>
      <c r="O117" s="206"/>
      <c r="P117" s="206"/>
      <c r="Q117" s="206"/>
      <c r="R117" s="206"/>
      <c r="S117" s="206"/>
      <c r="T117" s="206"/>
      <c r="U117" s="206"/>
      <c r="V117" s="206"/>
      <c r="W117" s="206"/>
      <c r="X117" s="206"/>
      <c r="Y117" s="206"/>
      <c r="Z117" s="206"/>
    </row>
    <row r="118" ht="12.75" customHeight="1" spans="1:26">
      <c r="A118" s="205"/>
      <c r="B118" s="206"/>
      <c r="C118" s="206"/>
      <c r="D118" s="206"/>
      <c r="E118" s="206"/>
      <c r="F118" s="206"/>
      <c r="G118" s="206"/>
      <c r="H118" s="206"/>
      <c r="I118" s="206"/>
      <c r="J118" s="206"/>
      <c r="K118" s="206"/>
      <c r="L118" s="206"/>
      <c r="M118" s="206"/>
      <c r="N118" s="206"/>
      <c r="O118" s="206"/>
      <c r="P118" s="206"/>
      <c r="Q118" s="206"/>
      <c r="R118" s="206"/>
      <c r="S118" s="206"/>
      <c r="T118" s="206"/>
      <c r="U118" s="206"/>
      <c r="V118" s="206"/>
      <c r="W118" s="206"/>
      <c r="X118" s="206"/>
      <c r="Y118" s="206"/>
      <c r="Z118" s="206"/>
    </row>
    <row r="119" ht="12.75" customHeight="1" spans="1:26">
      <c r="A119" s="205"/>
      <c r="B119" s="206"/>
      <c r="C119" s="206"/>
      <c r="D119" s="206"/>
      <c r="E119" s="206"/>
      <c r="F119" s="206"/>
      <c r="G119" s="206"/>
      <c r="H119" s="206"/>
      <c r="I119" s="206"/>
      <c r="J119" s="206"/>
      <c r="K119" s="206"/>
      <c r="L119" s="206"/>
      <c r="M119" s="206"/>
      <c r="N119" s="206"/>
      <c r="O119" s="206"/>
      <c r="P119" s="206"/>
      <c r="Q119" s="206"/>
      <c r="R119" s="206"/>
      <c r="S119" s="206"/>
      <c r="T119" s="206"/>
      <c r="U119" s="206"/>
      <c r="V119" s="206"/>
      <c r="W119" s="206"/>
      <c r="X119" s="206"/>
      <c r="Y119" s="206"/>
      <c r="Z119" s="206"/>
    </row>
    <row r="120" ht="12.75" customHeight="1" spans="1:26">
      <c r="A120" s="205"/>
      <c r="B120" s="206"/>
      <c r="C120" s="206"/>
      <c r="D120" s="206"/>
      <c r="E120" s="206"/>
      <c r="F120" s="206"/>
      <c r="G120" s="206"/>
      <c r="H120" s="206"/>
      <c r="I120" s="206"/>
      <c r="J120" s="206"/>
      <c r="K120" s="206"/>
      <c r="L120" s="206"/>
      <c r="M120" s="206"/>
      <c r="N120" s="206"/>
      <c r="O120" s="206"/>
      <c r="P120" s="206"/>
      <c r="Q120" s="206"/>
      <c r="R120" s="206"/>
      <c r="S120" s="206"/>
      <c r="T120" s="206"/>
      <c r="U120" s="206"/>
      <c r="V120" s="206"/>
      <c r="W120" s="206"/>
      <c r="X120" s="206"/>
      <c r="Y120" s="206"/>
      <c r="Z120" s="206"/>
    </row>
    <row r="121" ht="12.75" customHeight="1" spans="1:26">
      <c r="A121" s="205"/>
      <c r="B121" s="206"/>
      <c r="C121" s="206"/>
      <c r="D121" s="206"/>
      <c r="E121" s="206"/>
      <c r="F121" s="206"/>
      <c r="G121" s="206"/>
      <c r="H121" s="206"/>
      <c r="I121" s="206"/>
      <c r="J121" s="206"/>
      <c r="K121" s="206"/>
      <c r="L121" s="206"/>
      <c r="M121" s="206"/>
      <c r="N121" s="206"/>
      <c r="O121" s="206"/>
      <c r="P121" s="206"/>
      <c r="Q121" s="206"/>
      <c r="R121" s="206"/>
      <c r="S121" s="206"/>
      <c r="T121" s="206"/>
      <c r="U121" s="206"/>
      <c r="V121" s="206"/>
      <c r="W121" s="206"/>
      <c r="X121" s="206"/>
      <c r="Y121" s="206"/>
      <c r="Z121" s="206"/>
    </row>
    <row r="122" ht="12.75" customHeight="1" spans="1:26">
      <c r="A122" s="205"/>
      <c r="B122" s="206"/>
      <c r="C122" s="206"/>
      <c r="D122" s="206"/>
      <c r="E122" s="206"/>
      <c r="F122" s="206"/>
      <c r="G122" s="206"/>
      <c r="H122" s="206"/>
      <c r="I122" s="206"/>
      <c r="J122" s="206"/>
      <c r="K122" s="206"/>
      <c r="L122" s="206"/>
      <c r="M122" s="206"/>
      <c r="N122" s="206"/>
      <c r="O122" s="206"/>
      <c r="P122" s="206"/>
      <c r="Q122" s="206"/>
      <c r="R122" s="206"/>
      <c r="S122" s="206"/>
      <c r="T122" s="206"/>
      <c r="U122" s="206"/>
      <c r="V122" s="206"/>
      <c r="W122" s="206"/>
      <c r="X122" s="206"/>
      <c r="Y122" s="206"/>
      <c r="Z122" s="206"/>
    </row>
    <row r="123" ht="12.75" customHeight="1" spans="1:26">
      <c r="A123" s="205"/>
      <c r="B123" s="206"/>
      <c r="C123" s="206"/>
      <c r="D123" s="206"/>
      <c r="E123" s="206"/>
      <c r="F123" s="206"/>
      <c r="G123" s="206"/>
      <c r="H123" s="206"/>
      <c r="I123" s="206"/>
      <c r="J123" s="206"/>
      <c r="K123" s="206"/>
      <c r="L123" s="206"/>
      <c r="M123" s="206"/>
      <c r="N123" s="206"/>
      <c r="O123" s="206"/>
      <c r="P123" s="206"/>
      <c r="Q123" s="206"/>
      <c r="R123" s="206"/>
      <c r="S123" s="206"/>
      <c r="T123" s="206"/>
      <c r="U123" s="206"/>
      <c r="V123" s="206"/>
      <c r="W123" s="206"/>
      <c r="X123" s="206"/>
      <c r="Y123" s="206"/>
      <c r="Z123" s="206"/>
    </row>
    <row r="124" ht="12.75" customHeight="1" spans="1:26">
      <c r="A124" s="205"/>
      <c r="B124" s="206"/>
      <c r="C124" s="206"/>
      <c r="D124" s="206"/>
      <c r="E124" s="206"/>
      <c r="F124" s="206"/>
      <c r="G124" s="206"/>
      <c r="H124" s="206"/>
      <c r="I124" s="206"/>
      <c r="J124" s="206"/>
      <c r="K124" s="206"/>
      <c r="L124" s="206"/>
      <c r="M124" s="206"/>
      <c r="N124" s="206"/>
      <c r="O124" s="206"/>
      <c r="P124" s="206"/>
      <c r="Q124" s="206"/>
      <c r="R124" s="206"/>
      <c r="S124" s="206"/>
      <c r="T124" s="206"/>
      <c r="U124" s="206"/>
      <c r="V124" s="206"/>
      <c r="W124" s="206"/>
      <c r="X124" s="206"/>
      <c r="Y124" s="206"/>
      <c r="Z124" s="206"/>
    </row>
    <row r="125" ht="12.75" customHeight="1" spans="1:26">
      <c r="A125" s="205"/>
      <c r="B125" s="206"/>
      <c r="C125" s="206"/>
      <c r="D125" s="206"/>
      <c r="E125" s="206"/>
      <c r="F125" s="206"/>
      <c r="G125" s="206"/>
      <c r="H125" s="206"/>
      <c r="I125" s="206"/>
      <c r="J125" s="206"/>
      <c r="K125" s="206"/>
      <c r="L125" s="206"/>
      <c r="M125" s="206"/>
      <c r="N125" s="206"/>
      <c r="O125" s="206"/>
      <c r="P125" s="206"/>
      <c r="Q125" s="206"/>
      <c r="R125" s="206"/>
      <c r="S125" s="206"/>
      <c r="T125" s="206"/>
      <c r="U125" s="206"/>
      <c r="V125" s="206"/>
      <c r="W125" s="206"/>
      <c r="X125" s="206"/>
      <c r="Y125" s="206"/>
      <c r="Z125" s="206"/>
    </row>
    <row r="126" ht="12.75" customHeight="1" spans="1:26">
      <c r="A126" s="205"/>
      <c r="B126" s="206"/>
      <c r="C126" s="206"/>
      <c r="D126" s="206"/>
      <c r="E126" s="206"/>
      <c r="F126" s="206"/>
      <c r="G126" s="206"/>
      <c r="H126" s="206"/>
      <c r="I126" s="206"/>
      <c r="J126" s="206"/>
      <c r="K126" s="206"/>
      <c r="L126" s="206"/>
      <c r="M126" s="206"/>
      <c r="N126" s="206"/>
      <c r="O126" s="206"/>
      <c r="P126" s="206"/>
      <c r="Q126" s="206"/>
      <c r="R126" s="206"/>
      <c r="S126" s="206"/>
      <c r="T126" s="206"/>
      <c r="U126" s="206"/>
      <c r="V126" s="206"/>
      <c r="W126" s="206"/>
      <c r="X126" s="206"/>
      <c r="Y126" s="206"/>
      <c r="Z126" s="206"/>
    </row>
    <row r="127" ht="12.75" customHeight="1" spans="1:26">
      <c r="A127" s="205"/>
      <c r="B127" s="206"/>
      <c r="C127" s="206"/>
      <c r="D127" s="206"/>
      <c r="E127" s="206"/>
      <c r="F127" s="206"/>
      <c r="G127" s="206"/>
      <c r="H127" s="206"/>
      <c r="I127" s="206"/>
      <c r="J127" s="206"/>
      <c r="K127" s="206"/>
      <c r="L127" s="206"/>
      <c r="M127" s="206"/>
      <c r="N127" s="206"/>
      <c r="O127" s="206"/>
      <c r="P127" s="206"/>
      <c r="Q127" s="206"/>
      <c r="R127" s="206"/>
      <c r="S127" s="206"/>
      <c r="T127" s="206"/>
      <c r="U127" s="206"/>
      <c r="V127" s="206"/>
      <c r="W127" s="206"/>
      <c r="X127" s="206"/>
      <c r="Y127" s="206"/>
      <c r="Z127" s="206"/>
    </row>
    <row r="128" ht="12.75" customHeight="1" spans="1:26">
      <c r="A128" s="205"/>
      <c r="B128" s="206"/>
      <c r="C128" s="206"/>
      <c r="D128" s="206"/>
      <c r="E128" s="206"/>
      <c r="F128" s="206"/>
      <c r="G128" s="206"/>
      <c r="H128" s="206"/>
      <c r="I128" s="206"/>
      <c r="J128" s="206"/>
      <c r="K128" s="206"/>
      <c r="L128" s="206"/>
      <c r="M128" s="206"/>
      <c r="N128" s="206"/>
      <c r="O128" s="206"/>
      <c r="P128" s="206"/>
      <c r="Q128" s="206"/>
      <c r="R128" s="206"/>
      <c r="S128" s="206"/>
      <c r="T128" s="206"/>
      <c r="U128" s="206"/>
      <c r="V128" s="206"/>
      <c r="W128" s="206"/>
      <c r="X128" s="206"/>
      <c r="Y128" s="206"/>
      <c r="Z128" s="206"/>
    </row>
    <row r="129" ht="12.75" customHeight="1" spans="1:26">
      <c r="A129" s="205"/>
      <c r="B129" s="206"/>
      <c r="C129" s="206"/>
      <c r="D129" s="206"/>
      <c r="E129" s="206"/>
      <c r="F129" s="206"/>
      <c r="G129" s="206"/>
      <c r="H129" s="206"/>
      <c r="I129" s="206"/>
      <c r="J129" s="206"/>
      <c r="K129" s="206"/>
      <c r="L129" s="206"/>
      <c r="M129" s="206"/>
      <c r="N129" s="206"/>
      <c r="O129" s="206"/>
      <c r="P129" s="206"/>
      <c r="Q129" s="206"/>
      <c r="R129" s="206"/>
      <c r="S129" s="206"/>
      <c r="T129" s="206"/>
      <c r="U129" s="206"/>
      <c r="V129" s="206"/>
      <c r="W129" s="206"/>
      <c r="X129" s="206"/>
      <c r="Y129" s="206"/>
      <c r="Z129" s="206"/>
    </row>
    <row r="130" ht="12.75" customHeight="1" spans="1:26">
      <c r="A130" s="205"/>
      <c r="B130" s="206"/>
      <c r="C130" s="206"/>
      <c r="D130" s="206"/>
      <c r="E130" s="206"/>
      <c r="F130" s="206"/>
      <c r="G130" s="206"/>
      <c r="H130" s="206"/>
      <c r="I130" s="206"/>
      <c r="J130" s="206"/>
      <c r="K130" s="206"/>
      <c r="L130" s="206"/>
      <c r="M130" s="206"/>
      <c r="N130" s="206"/>
      <c r="O130" s="206"/>
      <c r="P130" s="206"/>
      <c r="Q130" s="206"/>
      <c r="R130" s="206"/>
      <c r="S130" s="206"/>
      <c r="T130" s="206"/>
      <c r="U130" s="206"/>
      <c r="V130" s="206"/>
      <c r="W130" s="206"/>
      <c r="X130" s="206"/>
      <c r="Y130" s="206"/>
      <c r="Z130" s="206"/>
    </row>
    <row r="131" ht="12.75" customHeight="1" spans="1:26">
      <c r="A131" s="205"/>
      <c r="B131" s="206"/>
      <c r="C131" s="206"/>
      <c r="D131" s="206"/>
      <c r="E131" s="206"/>
      <c r="F131" s="206"/>
      <c r="G131" s="206"/>
      <c r="H131" s="206"/>
      <c r="I131" s="206"/>
      <c r="J131" s="206"/>
      <c r="K131" s="206"/>
      <c r="L131" s="206"/>
      <c r="M131" s="206"/>
      <c r="N131" s="206"/>
      <c r="O131" s="206"/>
      <c r="P131" s="206"/>
      <c r="Q131" s="206"/>
      <c r="R131" s="206"/>
      <c r="S131" s="206"/>
      <c r="T131" s="206"/>
      <c r="U131" s="206"/>
      <c r="V131" s="206"/>
      <c r="W131" s="206"/>
      <c r="X131" s="206"/>
      <c r="Y131" s="206"/>
      <c r="Z131" s="206"/>
    </row>
    <row r="132" ht="12.75" customHeight="1" spans="1:26">
      <c r="A132" s="205"/>
      <c r="B132" s="206"/>
      <c r="C132" s="206"/>
      <c r="D132" s="206"/>
      <c r="E132" s="206"/>
      <c r="F132" s="206"/>
      <c r="G132" s="206"/>
      <c r="H132" s="206"/>
      <c r="I132" s="206"/>
      <c r="J132" s="206"/>
      <c r="K132" s="206"/>
      <c r="L132" s="206"/>
      <c r="M132" s="206"/>
      <c r="N132" s="206"/>
      <c r="O132" s="206"/>
      <c r="P132" s="206"/>
      <c r="Q132" s="206"/>
      <c r="R132" s="206"/>
      <c r="S132" s="206"/>
      <c r="T132" s="206"/>
      <c r="U132" s="206"/>
      <c r="V132" s="206"/>
      <c r="W132" s="206"/>
      <c r="X132" s="206"/>
      <c r="Y132" s="206"/>
      <c r="Z132" s="206"/>
    </row>
    <row r="133" ht="12.75" customHeight="1" spans="1:26">
      <c r="A133" s="205"/>
      <c r="B133" s="206"/>
      <c r="C133" s="206"/>
      <c r="D133" s="206"/>
      <c r="E133" s="206"/>
      <c r="F133" s="206"/>
      <c r="G133" s="206"/>
      <c r="H133" s="206"/>
      <c r="I133" s="206"/>
      <c r="J133" s="206"/>
      <c r="K133" s="206"/>
      <c r="L133" s="206"/>
      <c r="M133" s="206"/>
      <c r="N133" s="206"/>
      <c r="O133" s="206"/>
      <c r="P133" s="206"/>
      <c r="Q133" s="206"/>
      <c r="R133" s="206"/>
      <c r="S133" s="206"/>
      <c r="T133" s="206"/>
      <c r="U133" s="206"/>
      <c r="V133" s="206"/>
      <c r="W133" s="206"/>
      <c r="X133" s="206"/>
      <c r="Y133" s="206"/>
      <c r="Z133" s="206"/>
    </row>
    <row r="134" ht="12.75" customHeight="1" spans="1:26">
      <c r="A134" s="205"/>
      <c r="B134" s="206"/>
      <c r="C134" s="206"/>
      <c r="D134" s="206"/>
      <c r="E134" s="206"/>
      <c r="F134" s="206"/>
      <c r="G134" s="206"/>
      <c r="H134" s="206"/>
      <c r="I134" s="206"/>
      <c r="J134" s="206"/>
      <c r="K134" s="206"/>
      <c r="L134" s="206"/>
      <c r="M134" s="206"/>
      <c r="N134" s="206"/>
      <c r="O134" s="206"/>
      <c r="P134" s="206"/>
      <c r="Q134" s="206"/>
      <c r="R134" s="206"/>
      <c r="S134" s="206"/>
      <c r="T134" s="206"/>
      <c r="U134" s="206"/>
      <c r="V134" s="206"/>
      <c r="W134" s="206"/>
      <c r="X134" s="206"/>
      <c r="Y134" s="206"/>
      <c r="Z134" s="206"/>
    </row>
    <row r="135" ht="12.75" customHeight="1" spans="1:26">
      <c r="A135" s="205"/>
      <c r="B135" s="206"/>
      <c r="C135" s="206"/>
      <c r="D135" s="206"/>
      <c r="E135" s="206"/>
      <c r="F135" s="206"/>
      <c r="G135" s="206"/>
      <c r="H135" s="206"/>
      <c r="I135" s="206"/>
      <c r="J135" s="206"/>
      <c r="K135" s="206"/>
      <c r="L135" s="206"/>
      <c r="M135" s="206"/>
      <c r="N135" s="206"/>
      <c r="O135" s="206"/>
      <c r="P135" s="206"/>
      <c r="Q135" s="206"/>
      <c r="R135" s="206"/>
      <c r="S135" s="206"/>
      <c r="T135" s="206"/>
      <c r="U135" s="206"/>
      <c r="V135" s="206"/>
      <c r="W135" s="206"/>
      <c r="X135" s="206"/>
      <c r="Y135" s="206"/>
      <c r="Z135" s="206"/>
    </row>
    <row r="136" ht="12.75" customHeight="1" spans="1:26">
      <c r="A136" s="205"/>
      <c r="B136" s="206"/>
      <c r="C136" s="206"/>
      <c r="D136" s="206"/>
      <c r="E136" s="206"/>
      <c r="F136" s="206"/>
      <c r="G136" s="206"/>
      <c r="H136" s="206"/>
      <c r="I136" s="206"/>
      <c r="J136" s="206"/>
      <c r="K136" s="206"/>
      <c r="L136" s="206"/>
      <c r="M136" s="206"/>
      <c r="N136" s="206"/>
      <c r="O136" s="206"/>
      <c r="P136" s="206"/>
      <c r="Q136" s="206"/>
      <c r="R136" s="206"/>
      <c r="S136" s="206"/>
      <c r="T136" s="206"/>
      <c r="U136" s="206"/>
      <c r="V136" s="206"/>
      <c r="W136" s="206"/>
      <c r="X136" s="206"/>
      <c r="Y136" s="206"/>
      <c r="Z136" s="206"/>
    </row>
    <row r="137" ht="12.75" customHeight="1" spans="1:26">
      <c r="A137" s="205"/>
      <c r="B137" s="206"/>
      <c r="C137" s="206"/>
      <c r="D137" s="206"/>
      <c r="E137" s="206"/>
      <c r="F137" s="206"/>
      <c r="G137" s="206"/>
      <c r="H137" s="206"/>
      <c r="I137" s="206"/>
      <c r="J137" s="206"/>
      <c r="K137" s="206"/>
      <c r="L137" s="206"/>
      <c r="M137" s="206"/>
      <c r="N137" s="206"/>
      <c r="O137" s="206"/>
      <c r="P137" s="206"/>
      <c r="Q137" s="206"/>
      <c r="R137" s="206"/>
      <c r="S137" s="206"/>
      <c r="T137" s="206"/>
      <c r="U137" s="206"/>
      <c r="V137" s="206"/>
      <c r="W137" s="206"/>
      <c r="X137" s="206"/>
      <c r="Y137" s="206"/>
      <c r="Z137" s="206"/>
    </row>
    <row r="138" ht="12.75" customHeight="1" spans="1:26">
      <c r="A138" s="205"/>
      <c r="B138" s="206"/>
      <c r="C138" s="206"/>
      <c r="D138" s="206"/>
      <c r="E138" s="206"/>
      <c r="F138" s="206"/>
      <c r="G138" s="206"/>
      <c r="H138" s="206"/>
      <c r="I138" s="206"/>
      <c r="J138" s="206"/>
      <c r="K138" s="206"/>
      <c r="L138" s="206"/>
      <c r="M138" s="206"/>
      <c r="N138" s="206"/>
      <c r="O138" s="206"/>
      <c r="P138" s="206"/>
      <c r="Q138" s="206"/>
      <c r="R138" s="206"/>
      <c r="S138" s="206"/>
      <c r="T138" s="206"/>
      <c r="U138" s="206"/>
      <c r="V138" s="206"/>
      <c r="W138" s="206"/>
      <c r="X138" s="206"/>
      <c r="Y138" s="206"/>
      <c r="Z138" s="206"/>
    </row>
    <row r="139" ht="12.75" customHeight="1" spans="1:26">
      <c r="A139" s="205"/>
      <c r="B139" s="206"/>
      <c r="C139" s="206"/>
      <c r="D139" s="206"/>
      <c r="E139" s="206"/>
      <c r="F139" s="206"/>
      <c r="G139" s="206"/>
      <c r="H139" s="206"/>
      <c r="I139" s="206"/>
      <c r="J139" s="206"/>
      <c r="K139" s="206"/>
      <c r="L139" s="206"/>
      <c r="M139" s="206"/>
      <c r="N139" s="206"/>
      <c r="O139" s="206"/>
      <c r="P139" s="206"/>
      <c r="Q139" s="206"/>
      <c r="R139" s="206"/>
      <c r="S139" s="206"/>
      <c r="T139" s="206"/>
      <c r="U139" s="206"/>
      <c r="V139" s="206"/>
      <c r="W139" s="206"/>
      <c r="X139" s="206"/>
      <c r="Y139" s="206"/>
      <c r="Z139" s="206"/>
    </row>
    <row r="140" ht="12.75" customHeight="1" spans="1:26">
      <c r="A140" s="205"/>
      <c r="B140" s="206"/>
      <c r="C140" s="206"/>
      <c r="D140" s="206"/>
      <c r="E140" s="206"/>
      <c r="F140" s="206"/>
      <c r="G140" s="206"/>
      <c r="H140" s="206"/>
      <c r="I140" s="206"/>
      <c r="J140" s="206"/>
      <c r="K140" s="206"/>
      <c r="L140" s="206"/>
      <c r="M140" s="206"/>
      <c r="N140" s="206"/>
      <c r="O140" s="206"/>
      <c r="P140" s="206"/>
      <c r="Q140" s="206"/>
      <c r="R140" s="206"/>
      <c r="S140" s="206"/>
      <c r="T140" s="206"/>
      <c r="U140" s="206"/>
      <c r="V140" s="206"/>
      <c r="W140" s="206"/>
      <c r="X140" s="206"/>
      <c r="Y140" s="206"/>
      <c r="Z140" s="206"/>
    </row>
    <row r="141" ht="12.75" customHeight="1" spans="1:26">
      <c r="A141" s="205"/>
      <c r="B141" s="206"/>
      <c r="C141" s="206"/>
      <c r="D141" s="206"/>
      <c r="E141" s="206"/>
      <c r="F141" s="206"/>
      <c r="G141" s="206"/>
      <c r="H141" s="206"/>
      <c r="I141" s="206"/>
      <c r="J141" s="206"/>
      <c r="K141" s="206"/>
      <c r="L141" s="206"/>
      <c r="M141" s="206"/>
      <c r="N141" s="206"/>
      <c r="O141" s="206"/>
      <c r="P141" s="206"/>
      <c r="Q141" s="206"/>
      <c r="R141" s="206"/>
      <c r="S141" s="206"/>
      <c r="T141" s="206"/>
      <c r="U141" s="206"/>
      <c r="V141" s="206"/>
      <c r="W141" s="206"/>
      <c r="X141" s="206"/>
      <c r="Y141" s="206"/>
      <c r="Z141" s="206"/>
    </row>
    <row r="142" ht="12.75" customHeight="1" spans="1:26">
      <c r="A142" s="205"/>
      <c r="B142" s="206"/>
      <c r="C142" s="206"/>
      <c r="D142" s="206"/>
      <c r="E142" s="206"/>
      <c r="F142" s="206"/>
      <c r="G142" s="206"/>
      <c r="H142" s="206"/>
      <c r="I142" s="206"/>
      <c r="J142" s="206"/>
      <c r="K142" s="206"/>
      <c r="L142" s="206"/>
      <c r="M142" s="206"/>
      <c r="N142" s="206"/>
      <c r="O142" s="206"/>
      <c r="P142" s="206"/>
      <c r="Q142" s="206"/>
      <c r="R142" s="206"/>
      <c r="S142" s="206"/>
      <c r="T142" s="206"/>
      <c r="U142" s="206"/>
      <c r="V142" s="206"/>
      <c r="W142" s="206"/>
      <c r="X142" s="206"/>
      <c r="Y142" s="206"/>
      <c r="Z142" s="206"/>
    </row>
    <row r="143" ht="12.75" customHeight="1" spans="1:26">
      <c r="A143" s="205"/>
      <c r="B143" s="206"/>
      <c r="C143" s="206"/>
      <c r="D143" s="206"/>
      <c r="E143" s="206"/>
      <c r="F143" s="206"/>
      <c r="G143" s="206"/>
      <c r="H143" s="206"/>
      <c r="I143" s="206"/>
      <c r="J143" s="206"/>
      <c r="K143" s="206"/>
      <c r="L143" s="206"/>
      <c r="M143" s="206"/>
      <c r="N143" s="206"/>
      <c r="O143" s="206"/>
      <c r="P143" s="206"/>
      <c r="Q143" s="206"/>
      <c r="R143" s="206"/>
      <c r="S143" s="206"/>
      <c r="T143" s="206"/>
      <c r="U143" s="206"/>
      <c r="V143" s="206"/>
      <c r="W143" s="206"/>
      <c r="X143" s="206"/>
      <c r="Y143" s="206"/>
      <c r="Z143" s="206"/>
    </row>
    <row r="144" ht="12.75" customHeight="1" spans="1:26">
      <c r="A144" s="205"/>
      <c r="B144" s="206"/>
      <c r="C144" s="206"/>
      <c r="D144" s="206"/>
      <c r="E144" s="206"/>
      <c r="F144" s="206"/>
      <c r="G144" s="206"/>
      <c r="H144" s="206"/>
      <c r="I144" s="206"/>
      <c r="J144" s="206"/>
      <c r="K144" s="206"/>
      <c r="L144" s="206"/>
      <c r="M144" s="206"/>
      <c r="N144" s="206"/>
      <c r="O144" s="206"/>
      <c r="P144" s="206"/>
      <c r="Q144" s="206"/>
      <c r="R144" s="206"/>
      <c r="S144" s="206"/>
      <c r="T144" s="206"/>
      <c r="U144" s="206"/>
      <c r="V144" s="206"/>
      <c r="W144" s="206"/>
      <c r="X144" s="206"/>
      <c r="Y144" s="206"/>
      <c r="Z144" s="206"/>
    </row>
    <row r="145" ht="12.75" customHeight="1" spans="1:26">
      <c r="A145" s="205"/>
      <c r="B145" s="206"/>
      <c r="C145" s="206"/>
      <c r="D145" s="206"/>
      <c r="E145" s="206"/>
      <c r="F145" s="206"/>
      <c r="G145" s="206"/>
      <c r="H145" s="206"/>
      <c r="I145" s="206"/>
      <c r="J145" s="206"/>
      <c r="K145" s="206"/>
      <c r="L145" s="206"/>
      <c r="M145" s="206"/>
      <c r="N145" s="206"/>
      <c r="O145" s="206"/>
      <c r="P145" s="206"/>
      <c r="Q145" s="206"/>
      <c r="R145" s="206"/>
      <c r="S145" s="206"/>
      <c r="T145" s="206"/>
      <c r="U145" s="206"/>
      <c r="V145" s="206"/>
      <c r="W145" s="206"/>
      <c r="X145" s="206"/>
      <c r="Y145" s="206"/>
      <c r="Z145" s="206"/>
    </row>
    <row r="146" ht="12.75" customHeight="1" spans="1:26">
      <c r="A146" s="205"/>
      <c r="B146" s="206"/>
      <c r="C146" s="206"/>
      <c r="D146" s="206"/>
      <c r="E146" s="206"/>
      <c r="F146" s="206"/>
      <c r="G146" s="206"/>
      <c r="H146" s="206"/>
      <c r="I146" s="206"/>
      <c r="J146" s="206"/>
      <c r="K146" s="206"/>
      <c r="L146" s="206"/>
      <c r="M146" s="206"/>
      <c r="N146" s="206"/>
      <c r="O146" s="206"/>
      <c r="P146" s="206"/>
      <c r="Q146" s="206"/>
      <c r="R146" s="206"/>
      <c r="S146" s="206"/>
      <c r="T146" s="206"/>
      <c r="U146" s="206"/>
      <c r="V146" s="206"/>
      <c r="W146" s="206"/>
      <c r="X146" s="206"/>
      <c r="Y146" s="206"/>
      <c r="Z146" s="206"/>
    </row>
    <row r="147" ht="12.75" customHeight="1" spans="1:26">
      <c r="A147" s="205"/>
      <c r="B147" s="206"/>
      <c r="C147" s="206"/>
      <c r="D147" s="206"/>
      <c r="E147" s="206"/>
      <c r="F147" s="206"/>
      <c r="G147" s="20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06"/>
      <c r="T147" s="206"/>
      <c r="U147" s="206"/>
      <c r="V147" s="206"/>
      <c r="W147" s="206"/>
      <c r="X147" s="206"/>
      <c r="Y147" s="206"/>
      <c r="Z147" s="206"/>
    </row>
    <row r="148" ht="12.75" customHeight="1" spans="1:26">
      <c r="A148" s="205"/>
      <c r="B148" s="206"/>
      <c r="C148" s="206"/>
      <c r="D148" s="206"/>
      <c r="E148" s="206"/>
      <c r="F148" s="206"/>
      <c r="G148" s="206"/>
      <c r="H148" s="206"/>
      <c r="I148" s="206"/>
      <c r="J148" s="206"/>
      <c r="K148" s="206"/>
      <c r="L148" s="206"/>
      <c r="M148" s="206"/>
      <c r="N148" s="206"/>
      <c r="O148" s="206"/>
      <c r="P148" s="206"/>
      <c r="Q148" s="206"/>
      <c r="R148" s="206"/>
      <c r="S148" s="206"/>
      <c r="T148" s="206"/>
      <c r="U148" s="206"/>
      <c r="V148" s="206"/>
      <c r="W148" s="206"/>
      <c r="X148" s="206"/>
      <c r="Y148" s="206"/>
      <c r="Z148" s="206"/>
    </row>
    <row r="149" ht="12.75" customHeight="1" spans="1:26">
      <c r="A149" s="205"/>
      <c r="B149" s="206"/>
      <c r="C149" s="206"/>
      <c r="D149" s="206"/>
      <c r="E149" s="206"/>
      <c r="F149" s="206"/>
      <c r="G149" s="206"/>
      <c r="H149" s="206"/>
      <c r="I149" s="206"/>
      <c r="J149" s="206"/>
      <c r="K149" s="206"/>
      <c r="L149" s="206"/>
      <c r="M149" s="206"/>
      <c r="N149" s="206"/>
      <c r="O149" s="206"/>
      <c r="P149" s="206"/>
      <c r="Q149" s="206"/>
      <c r="R149" s="206"/>
      <c r="S149" s="206"/>
      <c r="T149" s="206"/>
      <c r="U149" s="206"/>
      <c r="V149" s="206"/>
      <c r="W149" s="206"/>
      <c r="X149" s="206"/>
      <c r="Y149" s="206"/>
      <c r="Z149" s="206"/>
    </row>
    <row r="150" ht="12.75" customHeight="1" spans="1:26">
      <c r="A150" s="205"/>
      <c r="B150" s="206"/>
      <c r="C150" s="206"/>
      <c r="D150" s="206"/>
      <c r="E150" s="206"/>
      <c r="F150" s="206"/>
      <c r="G150" s="206"/>
      <c r="H150" s="206"/>
      <c r="I150" s="206"/>
      <c r="J150" s="206"/>
      <c r="K150" s="206"/>
      <c r="L150" s="206"/>
      <c r="M150" s="206"/>
      <c r="N150" s="206"/>
      <c r="O150" s="206"/>
      <c r="P150" s="206"/>
      <c r="Q150" s="206"/>
      <c r="R150" s="206"/>
      <c r="S150" s="206"/>
      <c r="T150" s="206"/>
      <c r="U150" s="206"/>
      <c r="V150" s="206"/>
      <c r="W150" s="206"/>
      <c r="X150" s="206"/>
      <c r="Y150" s="206"/>
      <c r="Z150" s="206"/>
    </row>
    <row r="151" ht="12.75" customHeight="1" spans="1:26">
      <c r="A151" s="205"/>
      <c r="B151" s="206"/>
      <c r="C151" s="206"/>
      <c r="D151" s="206"/>
      <c r="E151" s="206"/>
      <c r="F151" s="206"/>
      <c r="G151" s="206"/>
      <c r="H151" s="206"/>
      <c r="I151" s="206"/>
      <c r="J151" s="206"/>
      <c r="K151" s="206"/>
      <c r="L151" s="206"/>
      <c r="M151" s="206"/>
      <c r="N151" s="206"/>
      <c r="O151" s="206"/>
      <c r="P151" s="206"/>
      <c r="Q151" s="206"/>
      <c r="R151" s="206"/>
      <c r="S151" s="206"/>
      <c r="T151" s="206"/>
      <c r="U151" s="206"/>
      <c r="V151" s="206"/>
      <c r="W151" s="206"/>
      <c r="X151" s="206"/>
      <c r="Y151" s="206"/>
      <c r="Z151" s="206"/>
    </row>
    <row r="152" ht="12.75" customHeight="1" spans="1:26">
      <c r="A152" s="205"/>
      <c r="B152" s="206"/>
      <c r="C152" s="206"/>
      <c r="D152" s="206"/>
      <c r="E152" s="206"/>
      <c r="F152" s="206"/>
      <c r="G152" s="206"/>
      <c r="H152" s="206"/>
      <c r="I152" s="206"/>
      <c r="J152" s="206"/>
      <c r="K152" s="206"/>
      <c r="L152" s="206"/>
      <c r="M152" s="206"/>
      <c r="N152" s="206"/>
      <c r="O152" s="206"/>
      <c r="P152" s="206"/>
      <c r="Q152" s="206"/>
      <c r="R152" s="206"/>
      <c r="S152" s="206"/>
      <c r="T152" s="206"/>
      <c r="U152" s="206"/>
      <c r="V152" s="206"/>
      <c r="W152" s="206"/>
      <c r="X152" s="206"/>
      <c r="Y152" s="206"/>
      <c r="Z152" s="206"/>
    </row>
    <row r="153" ht="12.75" customHeight="1" spans="1:26">
      <c r="A153" s="205"/>
      <c r="B153" s="206"/>
      <c r="C153" s="206"/>
      <c r="D153" s="206"/>
      <c r="E153" s="206"/>
      <c r="F153" s="206"/>
      <c r="G153" s="206"/>
      <c r="H153" s="206"/>
      <c r="I153" s="206"/>
      <c r="J153" s="206"/>
      <c r="K153" s="206"/>
      <c r="L153" s="206"/>
      <c r="M153" s="206"/>
      <c r="N153" s="206"/>
      <c r="O153" s="206"/>
      <c r="P153" s="206"/>
      <c r="Q153" s="206"/>
      <c r="R153" s="206"/>
      <c r="S153" s="206"/>
      <c r="T153" s="206"/>
      <c r="U153" s="206"/>
      <c r="V153" s="206"/>
      <c r="W153" s="206"/>
      <c r="X153" s="206"/>
      <c r="Y153" s="206"/>
      <c r="Z153" s="206"/>
    </row>
    <row r="154" ht="12.75" customHeight="1" spans="1:26">
      <c r="A154" s="205"/>
      <c r="B154" s="206"/>
      <c r="C154" s="206"/>
      <c r="D154" s="206"/>
      <c r="E154" s="206"/>
      <c r="F154" s="206"/>
      <c r="G154" s="206"/>
      <c r="H154" s="206"/>
      <c r="I154" s="206"/>
      <c r="J154" s="206"/>
      <c r="K154" s="206"/>
      <c r="L154" s="206"/>
      <c r="M154" s="206"/>
      <c r="N154" s="206"/>
      <c r="O154" s="206"/>
      <c r="P154" s="206"/>
      <c r="Q154" s="206"/>
      <c r="R154" s="206"/>
      <c r="S154" s="206"/>
      <c r="T154" s="206"/>
      <c r="U154" s="206"/>
      <c r="V154" s="206"/>
      <c r="W154" s="206"/>
      <c r="X154" s="206"/>
      <c r="Y154" s="206"/>
      <c r="Z154" s="206"/>
    </row>
    <row r="155" ht="12.75" customHeight="1" spans="1:26">
      <c r="A155" s="205"/>
      <c r="B155" s="206"/>
      <c r="C155" s="206"/>
      <c r="D155" s="206"/>
      <c r="E155" s="206"/>
      <c r="F155" s="206"/>
      <c r="G155" s="206"/>
      <c r="H155" s="206"/>
      <c r="I155" s="206"/>
      <c r="J155" s="206"/>
      <c r="K155" s="206"/>
      <c r="L155" s="206"/>
      <c r="M155" s="206"/>
      <c r="N155" s="206"/>
      <c r="O155" s="206"/>
      <c r="P155" s="206"/>
      <c r="Q155" s="206"/>
      <c r="R155" s="206"/>
      <c r="S155" s="206"/>
      <c r="T155" s="206"/>
      <c r="U155" s="206"/>
      <c r="V155" s="206"/>
      <c r="W155" s="206"/>
      <c r="X155" s="206"/>
      <c r="Y155" s="206"/>
      <c r="Z155" s="206"/>
    </row>
    <row r="156" ht="12.75" customHeight="1" spans="1:26">
      <c r="A156" s="205"/>
      <c r="B156" s="206"/>
      <c r="C156" s="206"/>
      <c r="D156" s="206"/>
      <c r="E156" s="206"/>
      <c r="F156" s="206"/>
      <c r="G156" s="206"/>
      <c r="H156" s="206"/>
      <c r="I156" s="206"/>
      <c r="J156" s="206"/>
      <c r="K156" s="206"/>
      <c r="L156" s="206"/>
      <c r="M156" s="206"/>
      <c r="N156" s="206"/>
      <c r="O156" s="206"/>
      <c r="P156" s="206"/>
      <c r="Q156" s="206"/>
      <c r="R156" s="206"/>
      <c r="S156" s="206"/>
      <c r="T156" s="206"/>
      <c r="U156" s="206"/>
      <c r="V156" s="206"/>
      <c r="W156" s="206"/>
      <c r="X156" s="206"/>
      <c r="Y156" s="206"/>
      <c r="Z156" s="206"/>
    </row>
    <row r="157" ht="12.75" customHeight="1" spans="1:26">
      <c r="A157" s="205"/>
      <c r="B157" s="206"/>
      <c r="C157" s="206"/>
      <c r="D157" s="206"/>
      <c r="E157" s="206"/>
      <c r="F157" s="206"/>
      <c r="G157" s="206"/>
      <c r="H157" s="206"/>
      <c r="I157" s="206"/>
      <c r="J157" s="206"/>
      <c r="K157" s="206"/>
      <c r="L157" s="206"/>
      <c r="M157" s="206"/>
      <c r="N157" s="206"/>
      <c r="O157" s="206"/>
      <c r="P157" s="206"/>
      <c r="Q157" s="206"/>
      <c r="R157" s="206"/>
      <c r="S157" s="206"/>
      <c r="T157" s="206"/>
      <c r="U157" s="206"/>
      <c r="V157" s="206"/>
      <c r="W157" s="206"/>
      <c r="X157" s="206"/>
      <c r="Y157" s="206"/>
      <c r="Z157" s="206"/>
    </row>
    <row r="158" ht="12.75" customHeight="1" spans="1:26">
      <c r="A158" s="205"/>
      <c r="B158" s="206"/>
      <c r="C158" s="206"/>
      <c r="D158" s="206"/>
      <c r="E158" s="206"/>
      <c r="F158" s="206"/>
      <c r="G158" s="206"/>
      <c r="H158" s="206"/>
      <c r="I158" s="206"/>
      <c r="J158" s="206"/>
      <c r="K158" s="206"/>
      <c r="L158" s="206"/>
      <c r="M158" s="206"/>
      <c r="N158" s="206"/>
      <c r="O158" s="206"/>
      <c r="P158" s="206"/>
      <c r="Q158" s="206"/>
      <c r="R158" s="206"/>
      <c r="S158" s="206"/>
      <c r="T158" s="206"/>
      <c r="U158" s="206"/>
      <c r="V158" s="206"/>
      <c r="W158" s="206"/>
      <c r="X158" s="206"/>
      <c r="Y158" s="206"/>
      <c r="Z158" s="206"/>
    </row>
    <row r="159" ht="12.75" customHeight="1" spans="1:26">
      <c r="A159" s="205"/>
      <c r="B159" s="206"/>
      <c r="C159" s="206"/>
      <c r="D159" s="206"/>
      <c r="E159" s="206"/>
      <c r="F159" s="206"/>
      <c r="G159" s="206"/>
      <c r="H159" s="206"/>
      <c r="I159" s="206"/>
      <c r="J159" s="206"/>
      <c r="K159" s="206"/>
      <c r="L159" s="206"/>
      <c r="M159" s="206"/>
      <c r="N159" s="206"/>
      <c r="O159" s="206"/>
      <c r="P159" s="206"/>
      <c r="Q159" s="206"/>
      <c r="R159" s="206"/>
      <c r="S159" s="206"/>
      <c r="T159" s="206"/>
      <c r="U159" s="206"/>
      <c r="V159" s="206"/>
      <c r="W159" s="206"/>
      <c r="X159" s="206"/>
      <c r="Y159" s="206"/>
      <c r="Z159" s="206"/>
    </row>
    <row r="160" ht="12.75" customHeight="1" spans="1:26">
      <c r="A160" s="205"/>
      <c r="B160" s="206"/>
      <c r="C160" s="206"/>
      <c r="D160" s="206"/>
      <c r="E160" s="206"/>
      <c r="F160" s="206"/>
      <c r="G160" s="206"/>
      <c r="H160" s="206"/>
      <c r="I160" s="206"/>
      <c r="J160" s="206"/>
      <c r="K160" s="206"/>
      <c r="L160" s="206"/>
      <c r="M160" s="206"/>
      <c r="N160" s="206"/>
      <c r="O160" s="206"/>
      <c r="P160" s="206"/>
      <c r="Q160" s="206"/>
      <c r="R160" s="206"/>
      <c r="S160" s="206"/>
      <c r="T160" s="206"/>
      <c r="U160" s="206"/>
      <c r="V160" s="206"/>
      <c r="W160" s="206"/>
      <c r="X160" s="206"/>
      <c r="Y160" s="206"/>
      <c r="Z160" s="206"/>
    </row>
    <row r="161" ht="12.75" customHeight="1" spans="1:26">
      <c r="A161" s="205"/>
      <c r="B161" s="206"/>
      <c r="C161" s="206"/>
      <c r="D161" s="206"/>
      <c r="E161" s="206"/>
      <c r="F161" s="206"/>
      <c r="G161" s="206"/>
      <c r="H161" s="206"/>
      <c r="I161" s="206"/>
      <c r="J161" s="206"/>
      <c r="K161" s="206"/>
      <c r="L161" s="206"/>
      <c r="M161" s="206"/>
      <c r="N161" s="206"/>
      <c r="O161" s="206"/>
      <c r="P161" s="206"/>
      <c r="Q161" s="206"/>
      <c r="R161" s="206"/>
      <c r="S161" s="206"/>
      <c r="T161" s="206"/>
      <c r="U161" s="206"/>
      <c r="V161" s="206"/>
      <c r="W161" s="206"/>
      <c r="X161" s="206"/>
      <c r="Y161" s="206"/>
      <c r="Z161" s="206"/>
    </row>
    <row r="162" ht="12.75" customHeight="1" spans="1:26">
      <c r="A162" s="205"/>
      <c r="B162" s="206"/>
      <c r="C162" s="206"/>
      <c r="D162" s="206"/>
      <c r="E162" s="206"/>
      <c r="F162" s="206"/>
      <c r="G162" s="206"/>
      <c r="H162" s="206"/>
      <c r="I162" s="206"/>
      <c r="J162" s="206"/>
      <c r="K162" s="206"/>
      <c r="L162" s="206"/>
      <c r="M162" s="206"/>
      <c r="N162" s="206"/>
      <c r="O162" s="206"/>
      <c r="P162" s="206"/>
      <c r="Q162" s="206"/>
      <c r="R162" s="206"/>
      <c r="S162" s="206"/>
      <c r="T162" s="206"/>
      <c r="U162" s="206"/>
      <c r="V162" s="206"/>
      <c r="W162" s="206"/>
      <c r="X162" s="206"/>
      <c r="Y162" s="206"/>
      <c r="Z162" s="206"/>
    </row>
    <row r="163" ht="12.75" customHeight="1" spans="1:26">
      <c r="A163" s="205"/>
      <c r="B163" s="206"/>
      <c r="C163" s="206"/>
      <c r="D163" s="206"/>
      <c r="E163" s="206"/>
      <c r="F163" s="206"/>
      <c r="G163" s="206"/>
      <c r="H163" s="206"/>
      <c r="I163" s="206"/>
      <c r="J163" s="206"/>
      <c r="K163" s="206"/>
      <c r="L163" s="206"/>
      <c r="M163" s="206"/>
      <c r="N163" s="206"/>
      <c r="O163" s="206"/>
      <c r="P163" s="206"/>
      <c r="Q163" s="206"/>
      <c r="R163" s="206"/>
      <c r="S163" s="206"/>
      <c r="T163" s="206"/>
      <c r="U163" s="206"/>
      <c r="V163" s="206"/>
      <c r="W163" s="206"/>
      <c r="X163" s="206"/>
      <c r="Y163" s="206"/>
      <c r="Z163" s="206"/>
    </row>
    <row r="164" ht="12.75" customHeight="1" spans="1:26">
      <c r="A164" s="205"/>
      <c r="B164" s="206"/>
      <c r="C164" s="206"/>
      <c r="D164" s="206"/>
      <c r="E164" s="206"/>
      <c r="F164" s="206"/>
      <c r="G164" s="206"/>
      <c r="H164" s="206"/>
      <c r="I164" s="206"/>
      <c r="J164" s="206"/>
      <c r="K164" s="206"/>
      <c r="L164" s="206"/>
      <c r="M164" s="206"/>
      <c r="N164" s="206"/>
      <c r="O164" s="206"/>
      <c r="P164" s="206"/>
      <c r="Q164" s="206"/>
      <c r="R164" s="206"/>
      <c r="S164" s="206"/>
      <c r="T164" s="206"/>
      <c r="U164" s="206"/>
      <c r="V164" s="206"/>
      <c r="W164" s="206"/>
      <c r="X164" s="206"/>
      <c r="Y164" s="206"/>
      <c r="Z164" s="206"/>
    </row>
    <row r="165" ht="12.75" customHeight="1" spans="1:26">
      <c r="A165" s="205"/>
      <c r="B165" s="206"/>
      <c r="C165" s="206"/>
      <c r="D165" s="206"/>
      <c r="E165" s="206"/>
      <c r="F165" s="206"/>
      <c r="G165" s="206"/>
      <c r="H165" s="206"/>
      <c r="I165" s="206"/>
      <c r="J165" s="206"/>
      <c r="K165" s="206"/>
      <c r="L165" s="206"/>
      <c r="M165" s="206"/>
      <c r="N165" s="206"/>
      <c r="O165" s="206"/>
      <c r="P165" s="206"/>
      <c r="Q165" s="206"/>
      <c r="R165" s="206"/>
      <c r="S165" s="206"/>
      <c r="T165" s="206"/>
      <c r="U165" s="206"/>
      <c r="V165" s="206"/>
      <c r="W165" s="206"/>
      <c r="X165" s="206"/>
      <c r="Y165" s="206"/>
      <c r="Z165" s="206"/>
    </row>
    <row r="166" ht="12.75" customHeight="1" spans="1:26">
      <c r="A166" s="205"/>
      <c r="B166" s="206"/>
      <c r="C166" s="206"/>
      <c r="D166" s="206"/>
      <c r="E166" s="206"/>
      <c r="F166" s="206"/>
      <c r="G166" s="206"/>
      <c r="H166" s="206"/>
      <c r="I166" s="206"/>
      <c r="J166" s="206"/>
      <c r="K166" s="206"/>
      <c r="L166" s="206"/>
      <c r="M166" s="206"/>
      <c r="N166" s="206"/>
      <c r="O166" s="206"/>
      <c r="P166" s="206"/>
      <c r="Q166" s="206"/>
      <c r="R166" s="206"/>
      <c r="S166" s="206"/>
      <c r="T166" s="206"/>
      <c r="U166" s="206"/>
      <c r="V166" s="206"/>
      <c r="W166" s="206"/>
      <c r="X166" s="206"/>
      <c r="Y166" s="206"/>
      <c r="Z166" s="206"/>
    </row>
    <row r="167" ht="12.75" customHeight="1" spans="1:26">
      <c r="A167" s="205"/>
      <c r="B167" s="206"/>
      <c r="C167" s="206"/>
      <c r="D167" s="206"/>
      <c r="E167" s="206"/>
      <c r="F167" s="206"/>
      <c r="G167" s="206"/>
      <c r="H167" s="206"/>
      <c r="I167" s="206"/>
      <c r="J167" s="206"/>
      <c r="K167" s="206"/>
      <c r="L167" s="206"/>
      <c r="M167" s="206"/>
      <c r="N167" s="206"/>
      <c r="O167" s="206"/>
      <c r="P167" s="206"/>
      <c r="Q167" s="206"/>
      <c r="R167" s="206"/>
      <c r="S167" s="206"/>
      <c r="T167" s="206"/>
      <c r="U167" s="206"/>
      <c r="V167" s="206"/>
      <c r="W167" s="206"/>
      <c r="X167" s="206"/>
      <c r="Y167" s="206"/>
      <c r="Z167" s="206"/>
    </row>
    <row r="168" ht="12.75" customHeight="1" spans="1:26">
      <c r="A168" s="205"/>
      <c r="B168" s="206"/>
      <c r="C168" s="206"/>
      <c r="D168" s="206"/>
      <c r="E168" s="206"/>
      <c r="F168" s="206"/>
      <c r="G168" s="206"/>
      <c r="H168" s="206"/>
      <c r="I168" s="206"/>
      <c r="J168" s="206"/>
      <c r="K168" s="206"/>
      <c r="L168" s="206"/>
      <c r="M168" s="206"/>
      <c r="N168" s="206"/>
      <c r="O168" s="206"/>
      <c r="P168" s="206"/>
      <c r="Q168" s="206"/>
      <c r="R168" s="206"/>
      <c r="S168" s="206"/>
      <c r="T168" s="206"/>
      <c r="U168" s="206"/>
      <c r="V168" s="206"/>
      <c r="W168" s="206"/>
      <c r="X168" s="206"/>
      <c r="Y168" s="206"/>
      <c r="Z168" s="206"/>
    </row>
    <row r="169" ht="12.75" customHeight="1" spans="1:26">
      <c r="A169" s="205"/>
      <c r="B169" s="206"/>
      <c r="C169" s="206"/>
      <c r="D169" s="206"/>
      <c r="E169" s="206"/>
      <c r="F169" s="206"/>
      <c r="G169" s="206"/>
      <c r="H169" s="206"/>
      <c r="I169" s="206"/>
      <c r="J169" s="206"/>
      <c r="K169" s="206"/>
      <c r="L169" s="206"/>
      <c r="M169" s="206"/>
      <c r="N169" s="206"/>
      <c r="O169" s="206"/>
      <c r="P169" s="206"/>
      <c r="Q169" s="206"/>
      <c r="R169" s="206"/>
      <c r="S169" s="206"/>
      <c r="T169" s="206"/>
      <c r="U169" s="206"/>
      <c r="V169" s="206"/>
      <c r="W169" s="206"/>
      <c r="X169" s="206"/>
      <c r="Y169" s="206"/>
      <c r="Z169" s="206"/>
    </row>
    <row r="170" ht="12.75" customHeight="1" spans="1:26">
      <c r="A170" s="205"/>
      <c r="B170" s="206"/>
      <c r="C170" s="206"/>
      <c r="D170" s="206"/>
      <c r="E170" s="206"/>
      <c r="F170" s="206"/>
      <c r="G170" s="206"/>
      <c r="H170" s="206"/>
      <c r="I170" s="206"/>
      <c r="J170" s="206"/>
      <c r="K170" s="206"/>
      <c r="L170" s="206"/>
      <c r="M170" s="206"/>
      <c r="N170" s="206"/>
      <c r="O170" s="206"/>
      <c r="P170" s="206"/>
      <c r="Q170" s="206"/>
      <c r="R170" s="206"/>
      <c r="S170" s="206"/>
      <c r="T170" s="206"/>
      <c r="U170" s="206"/>
      <c r="V170" s="206"/>
      <c r="W170" s="206"/>
      <c r="X170" s="206"/>
      <c r="Y170" s="206"/>
      <c r="Z170" s="206"/>
    </row>
    <row r="171" ht="12.75" customHeight="1" spans="1:26">
      <c r="A171" s="205"/>
      <c r="B171" s="206"/>
      <c r="C171" s="206"/>
      <c r="D171" s="206"/>
      <c r="E171" s="206"/>
      <c r="F171" s="206"/>
      <c r="G171" s="206"/>
      <c r="H171" s="206"/>
      <c r="I171" s="206"/>
      <c r="J171" s="206"/>
      <c r="K171" s="206"/>
      <c r="L171" s="206"/>
      <c r="M171" s="206"/>
      <c r="N171" s="206"/>
      <c r="O171" s="206"/>
      <c r="P171" s="206"/>
      <c r="Q171" s="206"/>
      <c r="R171" s="206"/>
      <c r="S171" s="206"/>
      <c r="T171" s="206"/>
      <c r="U171" s="206"/>
      <c r="V171" s="206"/>
      <c r="W171" s="206"/>
      <c r="X171" s="206"/>
      <c r="Y171" s="206"/>
      <c r="Z171" s="206"/>
    </row>
    <row r="172" ht="12.75" customHeight="1" spans="1:26">
      <c r="A172" s="205"/>
      <c r="B172" s="206"/>
      <c r="C172" s="206"/>
      <c r="D172" s="206"/>
      <c r="E172" s="206"/>
      <c r="F172" s="206"/>
      <c r="G172" s="206"/>
      <c r="H172" s="206"/>
      <c r="I172" s="206"/>
      <c r="J172" s="206"/>
      <c r="K172" s="206"/>
      <c r="L172" s="206"/>
      <c r="M172" s="206"/>
      <c r="N172" s="206"/>
      <c r="O172" s="206"/>
      <c r="P172" s="206"/>
      <c r="Q172" s="206"/>
      <c r="R172" s="206"/>
      <c r="S172" s="206"/>
      <c r="T172" s="206"/>
      <c r="U172" s="206"/>
      <c r="V172" s="206"/>
      <c r="W172" s="206"/>
      <c r="X172" s="206"/>
      <c r="Y172" s="206"/>
      <c r="Z172" s="206"/>
    </row>
    <row r="173" ht="12.75" customHeight="1" spans="1:26">
      <c r="A173" s="205"/>
      <c r="B173" s="206"/>
      <c r="C173" s="206"/>
      <c r="D173" s="206"/>
      <c r="E173" s="206"/>
      <c r="F173" s="206"/>
      <c r="G173" s="206"/>
      <c r="H173" s="206"/>
      <c r="I173" s="206"/>
      <c r="J173" s="206"/>
      <c r="K173" s="206"/>
      <c r="L173" s="206"/>
      <c r="M173" s="206"/>
      <c r="N173" s="206"/>
      <c r="O173" s="206"/>
      <c r="P173" s="206"/>
      <c r="Q173" s="206"/>
      <c r="R173" s="206"/>
      <c r="S173" s="206"/>
      <c r="T173" s="206"/>
      <c r="U173" s="206"/>
      <c r="V173" s="206"/>
      <c r="W173" s="206"/>
      <c r="X173" s="206"/>
      <c r="Y173" s="206"/>
      <c r="Z173" s="206"/>
    </row>
    <row r="174" ht="12.75" customHeight="1" spans="1:26">
      <c r="A174" s="205"/>
      <c r="B174" s="206"/>
      <c r="C174" s="206"/>
      <c r="D174" s="206"/>
      <c r="E174" s="206"/>
      <c r="F174" s="206"/>
      <c r="G174" s="206"/>
      <c r="H174" s="206"/>
      <c r="I174" s="206"/>
      <c r="J174" s="206"/>
      <c r="K174" s="206"/>
      <c r="L174" s="206"/>
      <c r="M174" s="206"/>
      <c r="N174" s="206"/>
      <c r="O174" s="206"/>
      <c r="P174" s="206"/>
      <c r="Q174" s="206"/>
      <c r="R174" s="206"/>
      <c r="S174" s="206"/>
      <c r="T174" s="206"/>
      <c r="U174" s="206"/>
      <c r="V174" s="206"/>
      <c r="W174" s="206"/>
      <c r="X174" s="206"/>
      <c r="Y174" s="206"/>
      <c r="Z174" s="206"/>
    </row>
    <row r="175" ht="12.75" customHeight="1" spans="1:26">
      <c r="A175" s="205"/>
      <c r="B175" s="206"/>
      <c r="C175" s="206"/>
      <c r="D175" s="206"/>
      <c r="E175" s="206"/>
      <c r="F175" s="206"/>
      <c r="G175" s="206"/>
      <c r="H175" s="206"/>
      <c r="I175" s="206"/>
      <c r="J175" s="206"/>
      <c r="K175" s="206"/>
      <c r="L175" s="206"/>
      <c r="M175" s="206"/>
      <c r="N175" s="206"/>
      <c r="O175" s="206"/>
      <c r="P175" s="206"/>
      <c r="Q175" s="206"/>
      <c r="R175" s="206"/>
      <c r="S175" s="206"/>
      <c r="T175" s="206"/>
      <c r="U175" s="206"/>
      <c r="V175" s="206"/>
      <c r="W175" s="206"/>
      <c r="X175" s="206"/>
      <c r="Y175" s="206"/>
      <c r="Z175" s="206"/>
    </row>
    <row r="176" ht="12.75" customHeight="1" spans="1:26">
      <c r="A176" s="205"/>
      <c r="B176" s="206"/>
      <c r="C176" s="206"/>
      <c r="D176" s="206"/>
      <c r="E176" s="206"/>
      <c r="F176" s="206"/>
      <c r="G176" s="206"/>
      <c r="H176" s="206"/>
      <c r="I176" s="206"/>
      <c r="J176" s="206"/>
      <c r="K176" s="206"/>
      <c r="L176" s="206"/>
      <c r="M176" s="206"/>
      <c r="N176" s="206"/>
      <c r="O176" s="206"/>
      <c r="P176" s="206"/>
      <c r="Q176" s="206"/>
      <c r="R176" s="206"/>
      <c r="S176" s="206"/>
      <c r="T176" s="206"/>
      <c r="U176" s="206"/>
      <c r="V176" s="206"/>
      <c r="W176" s="206"/>
      <c r="X176" s="206"/>
      <c r="Y176" s="206"/>
      <c r="Z176" s="206"/>
    </row>
    <row r="177" ht="12.75" customHeight="1" spans="1:26">
      <c r="A177" s="205"/>
      <c r="B177" s="206"/>
      <c r="C177" s="206"/>
      <c r="D177" s="206"/>
      <c r="E177" s="206"/>
      <c r="F177" s="206"/>
      <c r="G177" s="206"/>
      <c r="H177" s="206"/>
      <c r="I177" s="206"/>
      <c r="J177" s="206"/>
      <c r="K177" s="206"/>
      <c r="L177" s="206"/>
      <c r="M177" s="206"/>
      <c r="N177" s="206"/>
      <c r="O177" s="206"/>
      <c r="P177" s="206"/>
      <c r="Q177" s="206"/>
      <c r="R177" s="206"/>
      <c r="S177" s="206"/>
      <c r="T177" s="206"/>
      <c r="U177" s="206"/>
      <c r="V177" s="206"/>
      <c r="W177" s="206"/>
      <c r="X177" s="206"/>
      <c r="Y177" s="206"/>
      <c r="Z177" s="206"/>
    </row>
    <row r="178" ht="12.75" customHeight="1" spans="1:26">
      <c r="A178" s="205"/>
      <c r="B178" s="206"/>
      <c r="C178" s="206"/>
      <c r="D178" s="206"/>
      <c r="E178" s="206"/>
      <c r="F178" s="206"/>
      <c r="G178" s="206"/>
      <c r="H178" s="206"/>
      <c r="I178" s="206"/>
      <c r="J178" s="206"/>
      <c r="K178" s="206"/>
      <c r="L178" s="206"/>
      <c r="M178" s="206"/>
      <c r="N178" s="206"/>
      <c r="O178" s="206"/>
      <c r="P178" s="206"/>
      <c r="Q178" s="206"/>
      <c r="R178" s="206"/>
      <c r="S178" s="206"/>
      <c r="T178" s="206"/>
      <c r="U178" s="206"/>
      <c r="V178" s="206"/>
      <c r="W178" s="206"/>
      <c r="X178" s="206"/>
      <c r="Y178" s="206"/>
      <c r="Z178" s="206"/>
    </row>
    <row r="179" ht="12.75" customHeight="1" spans="1:26">
      <c r="A179" s="205"/>
      <c r="B179" s="206"/>
      <c r="C179" s="206"/>
      <c r="D179" s="206"/>
      <c r="E179" s="206"/>
      <c r="F179" s="206"/>
      <c r="G179" s="206"/>
      <c r="H179" s="206"/>
      <c r="I179" s="206"/>
      <c r="J179" s="206"/>
      <c r="K179" s="206"/>
      <c r="L179" s="206"/>
      <c r="M179" s="206"/>
      <c r="N179" s="206"/>
      <c r="O179" s="206"/>
      <c r="P179" s="206"/>
      <c r="Q179" s="206"/>
      <c r="R179" s="206"/>
      <c r="S179" s="206"/>
      <c r="T179" s="206"/>
      <c r="U179" s="206"/>
      <c r="V179" s="206"/>
      <c r="W179" s="206"/>
      <c r="X179" s="206"/>
      <c r="Y179" s="206"/>
      <c r="Z179" s="206"/>
    </row>
    <row r="180" ht="12.75" customHeight="1" spans="1:26">
      <c r="A180" s="205"/>
      <c r="B180" s="206"/>
      <c r="C180" s="206"/>
      <c r="D180" s="206"/>
      <c r="E180" s="206"/>
      <c r="F180" s="206"/>
      <c r="G180" s="206"/>
      <c r="H180" s="206"/>
      <c r="I180" s="206"/>
      <c r="J180" s="206"/>
      <c r="K180" s="206"/>
      <c r="L180" s="206"/>
      <c r="M180" s="206"/>
      <c r="N180" s="206"/>
      <c r="O180" s="206"/>
      <c r="P180" s="206"/>
      <c r="Q180" s="206"/>
      <c r="R180" s="206"/>
      <c r="S180" s="206"/>
      <c r="T180" s="206"/>
      <c r="U180" s="206"/>
      <c r="V180" s="206"/>
      <c r="W180" s="206"/>
      <c r="X180" s="206"/>
      <c r="Y180" s="206"/>
      <c r="Z180" s="206"/>
    </row>
    <row r="181" ht="12.75" customHeight="1" spans="1:26">
      <c r="A181" s="205"/>
      <c r="B181" s="206"/>
      <c r="C181" s="206"/>
      <c r="D181" s="206"/>
      <c r="E181" s="206"/>
      <c r="F181" s="206"/>
      <c r="G181" s="206"/>
      <c r="H181" s="206"/>
      <c r="I181" s="206"/>
      <c r="J181" s="206"/>
      <c r="K181" s="206"/>
      <c r="L181" s="206"/>
      <c r="M181" s="206"/>
      <c r="N181" s="206"/>
      <c r="O181" s="206"/>
      <c r="P181" s="206"/>
      <c r="Q181" s="206"/>
      <c r="R181" s="206"/>
      <c r="S181" s="206"/>
      <c r="T181" s="206"/>
      <c r="U181" s="206"/>
      <c r="V181" s="206"/>
      <c r="W181" s="206"/>
      <c r="X181" s="206"/>
      <c r="Y181" s="206"/>
      <c r="Z181" s="206"/>
    </row>
    <row r="182" ht="12.75" customHeight="1" spans="1:26">
      <c r="A182" s="205"/>
      <c r="B182" s="206"/>
      <c r="C182" s="206"/>
      <c r="D182" s="206"/>
      <c r="E182" s="206"/>
      <c r="F182" s="206"/>
      <c r="G182" s="206"/>
      <c r="H182" s="206"/>
      <c r="I182" s="206"/>
      <c r="J182" s="206"/>
      <c r="K182" s="206"/>
      <c r="L182" s="206"/>
      <c r="M182" s="206"/>
      <c r="N182" s="206"/>
      <c r="O182" s="206"/>
      <c r="P182" s="206"/>
      <c r="Q182" s="206"/>
      <c r="R182" s="206"/>
      <c r="S182" s="206"/>
      <c r="T182" s="206"/>
      <c r="U182" s="206"/>
      <c r="V182" s="206"/>
      <c r="W182" s="206"/>
      <c r="X182" s="206"/>
      <c r="Y182" s="206"/>
      <c r="Z182" s="206"/>
    </row>
    <row r="183" ht="12.75" customHeight="1" spans="1:26">
      <c r="A183" s="205"/>
      <c r="B183" s="206"/>
      <c r="C183" s="206"/>
      <c r="D183" s="206"/>
      <c r="E183" s="206"/>
      <c r="F183" s="206"/>
      <c r="G183" s="206"/>
      <c r="H183" s="206"/>
      <c r="I183" s="206"/>
      <c r="J183" s="206"/>
      <c r="K183" s="206"/>
      <c r="L183" s="206"/>
      <c r="M183" s="206"/>
      <c r="N183" s="206"/>
      <c r="O183" s="206"/>
      <c r="P183" s="206"/>
      <c r="Q183" s="206"/>
      <c r="R183" s="206"/>
      <c r="S183" s="206"/>
      <c r="T183" s="206"/>
      <c r="U183" s="206"/>
      <c r="V183" s="206"/>
      <c r="W183" s="206"/>
      <c r="X183" s="206"/>
      <c r="Y183" s="206"/>
      <c r="Z183" s="206"/>
    </row>
    <row r="184" ht="12.75" customHeight="1" spans="1:26">
      <c r="A184" s="205"/>
      <c r="B184" s="206"/>
      <c r="C184" s="206"/>
      <c r="D184" s="206"/>
      <c r="E184" s="206"/>
      <c r="F184" s="206"/>
      <c r="G184" s="206"/>
      <c r="H184" s="206"/>
      <c r="I184" s="206"/>
      <c r="J184" s="206"/>
      <c r="K184" s="206"/>
      <c r="L184" s="206"/>
      <c r="M184" s="206"/>
      <c r="N184" s="206"/>
      <c r="O184" s="206"/>
      <c r="P184" s="206"/>
      <c r="Q184" s="206"/>
      <c r="R184" s="206"/>
      <c r="S184" s="206"/>
      <c r="T184" s="206"/>
      <c r="U184" s="206"/>
      <c r="V184" s="206"/>
      <c r="W184" s="206"/>
      <c r="X184" s="206"/>
      <c r="Y184" s="206"/>
      <c r="Z184" s="206"/>
    </row>
    <row r="185" ht="12.75" customHeight="1" spans="1:26">
      <c r="A185" s="205"/>
      <c r="B185" s="206"/>
      <c r="C185" s="206"/>
      <c r="D185" s="206"/>
      <c r="E185" s="206"/>
      <c r="F185" s="206"/>
      <c r="G185" s="206"/>
      <c r="H185" s="206"/>
      <c r="I185" s="206"/>
      <c r="J185" s="206"/>
      <c r="K185" s="206"/>
      <c r="L185" s="206"/>
      <c r="M185" s="206"/>
      <c r="N185" s="206"/>
      <c r="O185" s="206"/>
      <c r="P185" s="206"/>
      <c r="Q185" s="206"/>
      <c r="R185" s="206"/>
      <c r="S185" s="206"/>
      <c r="T185" s="206"/>
      <c r="U185" s="206"/>
      <c r="V185" s="206"/>
      <c r="W185" s="206"/>
      <c r="X185" s="206"/>
      <c r="Y185" s="206"/>
      <c r="Z185" s="206"/>
    </row>
    <row r="186" ht="12.75" customHeight="1" spans="1:26">
      <c r="A186" s="205"/>
      <c r="B186" s="206"/>
      <c r="C186" s="206"/>
      <c r="D186" s="206"/>
      <c r="E186" s="206"/>
      <c r="F186" s="206"/>
      <c r="G186" s="206"/>
      <c r="H186" s="206"/>
      <c r="I186" s="206"/>
      <c r="J186" s="206"/>
      <c r="K186" s="206"/>
      <c r="L186" s="206"/>
      <c r="M186" s="206"/>
      <c r="N186" s="206"/>
      <c r="O186" s="206"/>
      <c r="P186" s="206"/>
      <c r="Q186" s="206"/>
      <c r="R186" s="206"/>
      <c r="S186" s="206"/>
      <c r="T186" s="206"/>
      <c r="U186" s="206"/>
      <c r="V186" s="206"/>
      <c r="W186" s="206"/>
      <c r="X186" s="206"/>
      <c r="Y186" s="206"/>
      <c r="Z186" s="206"/>
    </row>
    <row r="187" ht="12.75" customHeight="1" spans="1:26">
      <c r="A187" s="205"/>
      <c r="B187" s="206"/>
      <c r="C187" s="206"/>
      <c r="D187" s="206"/>
      <c r="E187" s="206"/>
      <c r="F187" s="206"/>
      <c r="G187" s="206"/>
      <c r="H187" s="206"/>
      <c r="I187" s="206"/>
      <c r="J187" s="206"/>
      <c r="K187" s="206"/>
      <c r="L187" s="206"/>
      <c r="M187" s="206"/>
      <c r="N187" s="206"/>
      <c r="O187" s="206"/>
      <c r="P187" s="206"/>
      <c r="Q187" s="206"/>
      <c r="R187" s="206"/>
      <c r="S187" s="206"/>
      <c r="T187" s="206"/>
      <c r="U187" s="206"/>
      <c r="V187" s="206"/>
      <c r="W187" s="206"/>
      <c r="X187" s="206"/>
      <c r="Y187" s="206"/>
      <c r="Z187" s="206"/>
    </row>
    <row r="188" ht="12.75" customHeight="1" spans="1:26">
      <c r="A188" s="205"/>
      <c r="B188" s="206"/>
      <c r="C188" s="206"/>
      <c r="D188" s="206"/>
      <c r="E188" s="206"/>
      <c r="F188" s="206"/>
      <c r="G188" s="206"/>
      <c r="H188" s="206"/>
      <c r="I188" s="206"/>
      <c r="J188" s="206"/>
      <c r="K188" s="206"/>
      <c r="L188" s="206"/>
      <c r="M188" s="206"/>
      <c r="N188" s="206"/>
      <c r="O188" s="206"/>
      <c r="P188" s="206"/>
      <c r="Q188" s="206"/>
      <c r="R188" s="206"/>
      <c r="S188" s="206"/>
      <c r="T188" s="206"/>
      <c r="U188" s="206"/>
      <c r="V188" s="206"/>
      <c r="W188" s="206"/>
      <c r="X188" s="206"/>
      <c r="Y188" s="206"/>
      <c r="Z188" s="206"/>
    </row>
    <row r="189" ht="12.75" customHeight="1" spans="1:26">
      <c r="A189" s="205"/>
      <c r="B189" s="206"/>
      <c r="C189" s="206"/>
      <c r="D189" s="206"/>
      <c r="E189" s="206"/>
      <c r="F189" s="206"/>
      <c r="G189" s="206"/>
      <c r="H189" s="206"/>
      <c r="I189" s="206"/>
      <c r="J189" s="206"/>
      <c r="K189" s="206"/>
      <c r="L189" s="206"/>
      <c r="M189" s="206"/>
      <c r="N189" s="206"/>
      <c r="O189" s="206"/>
      <c r="P189" s="206"/>
      <c r="Q189" s="206"/>
      <c r="R189" s="206"/>
      <c r="S189" s="206"/>
      <c r="T189" s="206"/>
      <c r="U189" s="206"/>
      <c r="V189" s="206"/>
      <c r="W189" s="206"/>
      <c r="X189" s="206"/>
      <c r="Y189" s="206"/>
      <c r="Z189" s="206"/>
    </row>
    <row r="190" ht="12.75" customHeight="1" spans="1:26">
      <c r="A190" s="205"/>
      <c r="B190" s="206"/>
      <c r="C190" s="206"/>
      <c r="D190" s="206"/>
      <c r="E190" s="206"/>
      <c r="F190" s="206"/>
      <c r="G190" s="206"/>
      <c r="H190" s="206"/>
      <c r="I190" s="206"/>
      <c r="J190" s="206"/>
      <c r="K190" s="206"/>
      <c r="L190" s="206"/>
      <c r="M190" s="206"/>
      <c r="N190" s="206"/>
      <c r="O190" s="206"/>
      <c r="P190" s="206"/>
      <c r="Q190" s="206"/>
      <c r="R190" s="206"/>
      <c r="S190" s="206"/>
      <c r="T190" s="206"/>
      <c r="U190" s="206"/>
      <c r="V190" s="206"/>
      <c r="W190" s="206"/>
      <c r="X190" s="206"/>
      <c r="Y190" s="206"/>
      <c r="Z190" s="206"/>
    </row>
    <row r="191" ht="12.75" customHeight="1" spans="1:26">
      <c r="A191" s="205"/>
      <c r="B191" s="206"/>
      <c r="C191" s="206"/>
      <c r="D191" s="206"/>
      <c r="E191" s="206"/>
      <c r="F191" s="206"/>
      <c r="G191" s="206"/>
      <c r="H191" s="206"/>
      <c r="I191" s="206"/>
      <c r="J191" s="206"/>
      <c r="K191" s="206"/>
      <c r="L191" s="206"/>
      <c r="M191" s="206"/>
      <c r="N191" s="206"/>
      <c r="O191" s="206"/>
      <c r="P191" s="206"/>
      <c r="Q191" s="206"/>
      <c r="R191" s="206"/>
      <c r="S191" s="206"/>
      <c r="T191" s="206"/>
      <c r="U191" s="206"/>
      <c r="V191" s="206"/>
      <c r="W191" s="206"/>
      <c r="X191" s="206"/>
      <c r="Y191" s="206"/>
      <c r="Z191" s="206"/>
    </row>
    <row r="192" ht="12.75" customHeight="1" spans="1:26">
      <c r="A192" s="205"/>
      <c r="B192" s="206"/>
      <c r="C192" s="206"/>
      <c r="D192" s="206"/>
      <c r="E192" s="206"/>
      <c r="F192" s="206"/>
      <c r="G192" s="206"/>
      <c r="H192" s="206"/>
      <c r="I192" s="206"/>
      <c r="J192" s="206"/>
      <c r="K192" s="206"/>
      <c r="L192" s="206"/>
      <c r="M192" s="206"/>
      <c r="N192" s="206"/>
      <c r="O192" s="206"/>
      <c r="P192" s="206"/>
      <c r="Q192" s="206"/>
      <c r="R192" s="206"/>
      <c r="S192" s="206"/>
      <c r="T192" s="206"/>
      <c r="U192" s="206"/>
      <c r="V192" s="206"/>
      <c r="W192" s="206"/>
      <c r="X192" s="206"/>
      <c r="Y192" s="206"/>
      <c r="Z192" s="206"/>
    </row>
    <row r="193" ht="12.75" customHeight="1" spans="1:26">
      <c r="A193" s="205"/>
      <c r="B193" s="206"/>
      <c r="C193" s="206"/>
      <c r="D193" s="206"/>
      <c r="E193" s="206"/>
      <c r="F193" s="206"/>
      <c r="G193" s="206"/>
      <c r="H193" s="206"/>
      <c r="I193" s="206"/>
      <c r="J193" s="206"/>
      <c r="K193" s="206"/>
      <c r="L193" s="206"/>
      <c r="M193" s="206"/>
      <c r="N193" s="206"/>
      <c r="O193" s="206"/>
      <c r="P193" s="206"/>
      <c r="Q193" s="206"/>
      <c r="R193" s="206"/>
      <c r="S193" s="206"/>
      <c r="T193" s="206"/>
      <c r="U193" s="206"/>
      <c r="V193" s="206"/>
      <c r="W193" s="206"/>
      <c r="X193" s="206"/>
      <c r="Y193" s="206"/>
      <c r="Z193" s="206"/>
    </row>
    <row r="194" ht="12.75" customHeight="1" spans="1:26">
      <c r="A194" s="205"/>
      <c r="B194" s="206"/>
      <c r="C194" s="206"/>
      <c r="D194" s="206"/>
      <c r="E194" s="206"/>
      <c r="F194" s="206"/>
      <c r="G194" s="206"/>
      <c r="H194" s="206"/>
      <c r="I194" s="206"/>
      <c r="J194" s="206"/>
      <c r="K194" s="206"/>
      <c r="L194" s="206"/>
      <c r="M194" s="206"/>
      <c r="N194" s="206"/>
      <c r="O194" s="206"/>
      <c r="P194" s="206"/>
      <c r="Q194" s="206"/>
      <c r="R194" s="206"/>
      <c r="S194" s="206"/>
      <c r="T194" s="206"/>
      <c r="U194" s="206"/>
      <c r="V194" s="206"/>
      <c r="W194" s="206"/>
      <c r="X194" s="206"/>
      <c r="Y194" s="206"/>
      <c r="Z194" s="206"/>
    </row>
    <row r="195" ht="12.75" customHeight="1" spans="1:26">
      <c r="A195" s="205"/>
      <c r="B195" s="206"/>
      <c r="C195" s="206"/>
      <c r="D195" s="206"/>
      <c r="E195" s="206"/>
      <c r="F195" s="206"/>
      <c r="G195" s="206"/>
      <c r="H195" s="206"/>
      <c r="I195" s="206"/>
      <c r="J195" s="206"/>
      <c r="K195" s="206"/>
      <c r="L195" s="206"/>
      <c r="M195" s="206"/>
      <c r="N195" s="206"/>
      <c r="O195" s="206"/>
      <c r="P195" s="206"/>
      <c r="Q195" s="206"/>
      <c r="R195" s="206"/>
      <c r="S195" s="206"/>
      <c r="T195" s="206"/>
      <c r="U195" s="206"/>
      <c r="V195" s="206"/>
      <c r="W195" s="206"/>
      <c r="X195" s="206"/>
      <c r="Y195" s="206"/>
      <c r="Z195" s="206"/>
    </row>
    <row r="196" ht="12.75" customHeight="1" spans="1:26">
      <c r="A196" s="205"/>
      <c r="B196" s="206"/>
      <c r="C196" s="206"/>
      <c r="D196" s="206"/>
      <c r="E196" s="206"/>
      <c r="F196" s="206"/>
      <c r="G196" s="206"/>
      <c r="H196" s="206"/>
      <c r="I196" s="206"/>
      <c r="J196" s="206"/>
      <c r="K196" s="206"/>
      <c r="L196" s="206"/>
      <c r="M196" s="206"/>
      <c r="N196" s="206"/>
      <c r="O196" s="206"/>
      <c r="P196" s="206"/>
      <c r="Q196" s="206"/>
      <c r="R196" s="206"/>
      <c r="S196" s="206"/>
      <c r="T196" s="206"/>
      <c r="U196" s="206"/>
      <c r="V196" s="206"/>
      <c r="W196" s="206"/>
      <c r="X196" s="206"/>
      <c r="Y196" s="206"/>
      <c r="Z196" s="206"/>
    </row>
    <row r="197" ht="12.75" customHeight="1" spans="1:26">
      <c r="A197" s="205"/>
      <c r="B197" s="206"/>
      <c r="C197" s="206"/>
      <c r="D197" s="206"/>
      <c r="E197" s="206"/>
      <c r="F197" s="206"/>
      <c r="G197" s="206"/>
      <c r="H197" s="206"/>
      <c r="I197" s="206"/>
      <c r="J197" s="206"/>
      <c r="K197" s="206"/>
      <c r="L197" s="206"/>
      <c r="M197" s="206"/>
      <c r="N197" s="206"/>
      <c r="O197" s="206"/>
      <c r="P197" s="206"/>
      <c r="Q197" s="206"/>
      <c r="R197" s="206"/>
      <c r="S197" s="206"/>
      <c r="T197" s="206"/>
      <c r="U197" s="206"/>
      <c r="V197" s="206"/>
      <c r="W197" s="206"/>
      <c r="X197" s="206"/>
      <c r="Y197" s="206"/>
      <c r="Z197" s="206"/>
    </row>
    <row r="198" ht="12.75" customHeight="1" spans="1:26">
      <c r="A198" s="205"/>
      <c r="B198" s="206"/>
      <c r="C198" s="206"/>
      <c r="D198" s="206"/>
      <c r="E198" s="206"/>
      <c r="F198" s="206"/>
      <c r="G198" s="206"/>
      <c r="H198" s="206"/>
      <c r="I198" s="206"/>
      <c r="J198" s="206"/>
      <c r="K198" s="206"/>
      <c r="L198" s="206"/>
      <c r="M198" s="206"/>
      <c r="N198" s="206"/>
      <c r="O198" s="206"/>
      <c r="P198" s="206"/>
      <c r="Q198" s="206"/>
      <c r="R198" s="206"/>
      <c r="S198" s="206"/>
      <c r="T198" s="206"/>
      <c r="U198" s="206"/>
      <c r="V198" s="206"/>
      <c r="W198" s="206"/>
      <c r="X198" s="206"/>
      <c r="Y198" s="206"/>
      <c r="Z198" s="206"/>
    </row>
    <row r="199" ht="12.75" customHeight="1" spans="1:26">
      <c r="A199" s="205"/>
      <c r="B199" s="206"/>
      <c r="C199" s="206"/>
      <c r="D199" s="206"/>
      <c r="E199" s="206"/>
      <c r="F199" s="206"/>
      <c r="G199" s="206"/>
      <c r="H199" s="206"/>
      <c r="I199" s="206"/>
      <c r="J199" s="206"/>
      <c r="K199" s="206"/>
      <c r="L199" s="206"/>
      <c r="M199" s="206"/>
      <c r="N199" s="206"/>
      <c r="O199" s="206"/>
      <c r="P199" s="206"/>
      <c r="Q199" s="206"/>
      <c r="R199" s="206"/>
      <c r="S199" s="206"/>
      <c r="T199" s="206"/>
      <c r="U199" s="206"/>
      <c r="V199" s="206"/>
      <c r="W199" s="206"/>
      <c r="X199" s="206"/>
      <c r="Y199" s="206"/>
      <c r="Z199" s="206"/>
    </row>
    <row r="200" ht="12.75" customHeight="1" spans="1:26">
      <c r="A200" s="205"/>
      <c r="B200" s="206"/>
      <c r="C200" s="206"/>
      <c r="D200" s="206"/>
      <c r="E200" s="206"/>
      <c r="F200" s="206"/>
      <c r="G200" s="206"/>
      <c r="H200" s="206"/>
      <c r="I200" s="206"/>
      <c r="J200" s="206"/>
      <c r="K200" s="206"/>
      <c r="L200" s="206"/>
      <c r="M200" s="206"/>
      <c r="N200" s="206"/>
      <c r="O200" s="206"/>
      <c r="P200" s="206"/>
      <c r="Q200" s="206"/>
      <c r="R200" s="206"/>
      <c r="S200" s="206"/>
      <c r="T200" s="206"/>
      <c r="U200" s="206"/>
      <c r="V200" s="206"/>
      <c r="W200" s="206"/>
      <c r="X200" s="206"/>
      <c r="Y200" s="206"/>
      <c r="Z200" s="206"/>
    </row>
    <row r="201" ht="12.75" customHeight="1" spans="1:26">
      <c r="A201" s="205"/>
      <c r="B201" s="206"/>
      <c r="C201" s="206"/>
      <c r="D201" s="206"/>
      <c r="E201" s="206"/>
      <c r="F201" s="206"/>
      <c r="G201" s="206"/>
      <c r="H201" s="206"/>
      <c r="I201" s="206"/>
      <c r="J201" s="206"/>
      <c r="K201" s="206"/>
      <c r="L201" s="206"/>
      <c r="M201" s="206"/>
      <c r="N201" s="206"/>
      <c r="O201" s="206"/>
      <c r="P201" s="206"/>
      <c r="Q201" s="206"/>
      <c r="R201" s="206"/>
      <c r="S201" s="206"/>
      <c r="T201" s="206"/>
      <c r="U201" s="206"/>
      <c r="V201" s="206"/>
      <c r="W201" s="206"/>
      <c r="X201" s="206"/>
      <c r="Y201" s="206"/>
      <c r="Z201" s="206"/>
    </row>
    <row r="202" ht="12.75" customHeight="1" spans="1:26">
      <c r="A202" s="205"/>
      <c r="B202" s="206"/>
      <c r="C202" s="206"/>
      <c r="D202" s="206"/>
      <c r="E202" s="206"/>
      <c r="F202" s="206"/>
      <c r="G202" s="206"/>
      <c r="H202" s="206"/>
      <c r="I202" s="206"/>
      <c r="J202" s="206"/>
      <c r="K202" s="206"/>
      <c r="L202" s="206"/>
      <c r="M202" s="206"/>
      <c r="N202" s="206"/>
      <c r="O202" s="206"/>
      <c r="P202" s="206"/>
      <c r="Q202" s="206"/>
      <c r="R202" s="206"/>
      <c r="S202" s="206"/>
      <c r="T202" s="206"/>
      <c r="U202" s="206"/>
      <c r="V202" s="206"/>
      <c r="W202" s="206"/>
      <c r="X202" s="206"/>
      <c r="Y202" s="206"/>
      <c r="Z202" s="206"/>
    </row>
    <row r="203" ht="12.75" customHeight="1" spans="1:26">
      <c r="A203" s="205"/>
      <c r="B203" s="206"/>
      <c r="C203" s="206"/>
      <c r="D203" s="206"/>
      <c r="E203" s="206"/>
      <c r="F203" s="206"/>
      <c r="G203" s="206"/>
      <c r="H203" s="206"/>
      <c r="I203" s="206"/>
      <c r="J203" s="206"/>
      <c r="K203" s="206"/>
      <c r="L203" s="206"/>
      <c r="M203" s="206"/>
      <c r="N203" s="206"/>
      <c r="O203" s="206"/>
      <c r="P203" s="206"/>
      <c r="Q203" s="206"/>
      <c r="R203" s="206"/>
      <c r="S203" s="206"/>
      <c r="T203" s="206"/>
      <c r="U203" s="206"/>
      <c r="V203" s="206"/>
      <c r="W203" s="206"/>
      <c r="X203" s="206"/>
      <c r="Y203" s="206"/>
      <c r="Z203" s="206"/>
    </row>
    <row r="204" ht="12.75" customHeight="1" spans="1:26">
      <c r="A204" s="205"/>
      <c r="B204" s="206"/>
      <c r="C204" s="206"/>
      <c r="D204" s="206"/>
      <c r="E204" s="206"/>
      <c r="F204" s="206"/>
      <c r="G204" s="206"/>
      <c r="H204" s="206"/>
      <c r="I204" s="206"/>
      <c r="J204" s="206"/>
      <c r="K204" s="206"/>
      <c r="L204" s="206"/>
      <c r="M204" s="206"/>
      <c r="N204" s="206"/>
      <c r="O204" s="206"/>
      <c r="P204" s="206"/>
      <c r="Q204" s="206"/>
      <c r="R204" s="206"/>
      <c r="S204" s="206"/>
      <c r="T204" s="206"/>
      <c r="U204" s="206"/>
      <c r="V204" s="206"/>
      <c r="W204" s="206"/>
      <c r="X204" s="206"/>
      <c r="Y204" s="206"/>
      <c r="Z204" s="206"/>
    </row>
    <row r="205" ht="12.75" customHeight="1" spans="1:26">
      <c r="A205" s="205"/>
      <c r="B205" s="206"/>
      <c r="C205" s="206"/>
      <c r="D205" s="206"/>
      <c r="E205" s="206"/>
      <c r="F205" s="206"/>
      <c r="G205" s="206"/>
      <c r="H205" s="206"/>
      <c r="I205" s="206"/>
      <c r="J205" s="206"/>
      <c r="K205" s="206"/>
      <c r="L205" s="206"/>
      <c r="M205" s="206"/>
      <c r="N205" s="206"/>
      <c r="O205" s="206"/>
      <c r="P205" s="206"/>
      <c r="Q205" s="206"/>
      <c r="R205" s="206"/>
      <c r="S205" s="206"/>
      <c r="T205" s="206"/>
      <c r="U205" s="206"/>
      <c r="V205" s="206"/>
      <c r="W205" s="206"/>
      <c r="X205" s="206"/>
      <c r="Y205" s="206"/>
      <c r="Z205" s="206"/>
    </row>
    <row r="206" ht="12.75" customHeight="1" spans="1:26">
      <c r="A206" s="205"/>
      <c r="B206" s="206"/>
      <c r="C206" s="206"/>
      <c r="D206" s="206"/>
      <c r="E206" s="206"/>
      <c r="F206" s="206"/>
      <c r="G206" s="206"/>
      <c r="H206" s="206"/>
      <c r="I206" s="206"/>
      <c r="J206" s="206"/>
      <c r="K206" s="206"/>
      <c r="L206" s="206"/>
      <c r="M206" s="206"/>
      <c r="N206" s="206"/>
      <c r="O206" s="206"/>
      <c r="P206" s="206"/>
      <c r="Q206" s="206"/>
      <c r="R206" s="206"/>
      <c r="S206" s="206"/>
      <c r="T206" s="206"/>
      <c r="U206" s="206"/>
      <c r="V206" s="206"/>
      <c r="W206" s="206"/>
      <c r="X206" s="206"/>
      <c r="Y206" s="206"/>
      <c r="Z206" s="206"/>
    </row>
    <row r="207" ht="12.75" customHeight="1" spans="1:26">
      <c r="A207" s="205"/>
      <c r="B207" s="206"/>
      <c r="C207" s="206"/>
      <c r="D207" s="206"/>
      <c r="E207" s="206"/>
      <c r="F207" s="206"/>
      <c r="G207" s="206"/>
      <c r="H207" s="206"/>
      <c r="I207" s="206"/>
      <c r="J207" s="206"/>
      <c r="K207" s="206"/>
      <c r="L207" s="206"/>
      <c r="M207" s="206"/>
      <c r="N207" s="206"/>
      <c r="O207" s="206"/>
      <c r="P207" s="206"/>
      <c r="Q207" s="206"/>
      <c r="R207" s="206"/>
      <c r="S207" s="206"/>
      <c r="T207" s="206"/>
      <c r="U207" s="206"/>
      <c r="V207" s="206"/>
      <c r="W207" s="206"/>
      <c r="X207" s="206"/>
      <c r="Y207" s="206"/>
      <c r="Z207" s="206"/>
    </row>
    <row r="208" ht="12.75" customHeight="1" spans="1:26">
      <c r="A208" s="205"/>
      <c r="B208" s="206"/>
      <c r="C208" s="206"/>
      <c r="D208" s="206"/>
      <c r="E208" s="206"/>
      <c r="F208" s="206"/>
      <c r="G208" s="206"/>
      <c r="H208" s="206"/>
      <c r="I208" s="206"/>
      <c r="J208" s="206"/>
      <c r="K208" s="206"/>
      <c r="L208" s="206"/>
      <c r="M208" s="206"/>
      <c r="N208" s="206"/>
      <c r="O208" s="206"/>
      <c r="P208" s="206"/>
      <c r="Q208" s="206"/>
      <c r="R208" s="206"/>
      <c r="S208" s="206"/>
      <c r="T208" s="206"/>
      <c r="U208" s="206"/>
      <c r="V208" s="206"/>
      <c r="W208" s="206"/>
      <c r="X208" s="206"/>
      <c r="Y208" s="206"/>
      <c r="Z208" s="206"/>
    </row>
    <row r="209" ht="12.75" customHeight="1" spans="1:26">
      <c r="A209" s="205"/>
      <c r="B209" s="206"/>
      <c r="C209" s="206"/>
      <c r="D209" s="206"/>
      <c r="E209" s="206"/>
      <c r="F209" s="206"/>
      <c r="G209" s="206"/>
      <c r="H209" s="206"/>
      <c r="I209" s="206"/>
      <c r="J209" s="206"/>
      <c r="K209" s="206"/>
      <c r="L209" s="206"/>
      <c r="M209" s="206"/>
      <c r="N209" s="206"/>
      <c r="O209" s="206"/>
      <c r="P209" s="206"/>
      <c r="Q209" s="206"/>
      <c r="R209" s="206"/>
      <c r="S209" s="206"/>
      <c r="T209" s="206"/>
      <c r="U209" s="206"/>
      <c r="V209" s="206"/>
      <c r="W209" s="206"/>
      <c r="X209" s="206"/>
      <c r="Y209" s="206"/>
      <c r="Z209" s="206"/>
    </row>
    <row r="210" ht="12.75" customHeight="1" spans="1:26">
      <c r="A210" s="205"/>
      <c r="B210" s="206"/>
      <c r="C210" s="206"/>
      <c r="D210" s="206"/>
      <c r="E210" s="206"/>
      <c r="F210" s="206"/>
      <c r="G210" s="206"/>
      <c r="H210" s="206"/>
      <c r="I210" s="206"/>
      <c r="J210" s="206"/>
      <c r="K210" s="206"/>
      <c r="L210" s="206"/>
      <c r="M210" s="206"/>
      <c r="N210" s="206"/>
      <c r="O210" s="206"/>
      <c r="P210" s="206"/>
      <c r="Q210" s="206"/>
      <c r="R210" s="206"/>
      <c r="S210" s="206"/>
      <c r="T210" s="206"/>
      <c r="U210" s="206"/>
      <c r="V210" s="206"/>
      <c r="W210" s="206"/>
      <c r="X210" s="206"/>
      <c r="Y210" s="206"/>
      <c r="Z210" s="206"/>
    </row>
    <row r="211" ht="12.75" customHeight="1" spans="1:26">
      <c r="A211" s="205"/>
      <c r="B211" s="206"/>
      <c r="C211" s="206"/>
      <c r="D211" s="206"/>
      <c r="E211" s="206"/>
      <c r="F211" s="206"/>
      <c r="G211" s="206"/>
      <c r="H211" s="206"/>
      <c r="I211" s="206"/>
      <c r="J211" s="206"/>
      <c r="K211" s="206"/>
      <c r="L211" s="206"/>
      <c r="M211" s="206"/>
      <c r="N211" s="206"/>
      <c r="O211" s="206"/>
      <c r="P211" s="206"/>
      <c r="Q211" s="206"/>
      <c r="R211" s="206"/>
      <c r="S211" s="206"/>
      <c r="T211" s="206"/>
      <c r="U211" s="206"/>
      <c r="V211" s="206"/>
      <c r="W211" s="206"/>
      <c r="X211" s="206"/>
      <c r="Y211" s="206"/>
      <c r="Z211" s="206"/>
    </row>
    <row r="212" ht="12.75" customHeight="1" spans="1:26">
      <c r="A212" s="205"/>
      <c r="B212" s="206"/>
      <c r="C212" s="206"/>
      <c r="D212" s="206"/>
      <c r="E212" s="206"/>
      <c r="F212" s="206"/>
      <c r="G212" s="206"/>
      <c r="H212" s="206"/>
      <c r="I212" s="206"/>
      <c r="J212" s="206"/>
      <c r="K212" s="206"/>
      <c r="L212" s="206"/>
      <c r="M212" s="206"/>
      <c r="N212" s="206"/>
      <c r="O212" s="206"/>
      <c r="P212" s="206"/>
      <c r="Q212" s="206"/>
      <c r="R212" s="206"/>
      <c r="S212" s="206"/>
      <c r="T212" s="206"/>
      <c r="U212" s="206"/>
      <c r="V212" s="206"/>
      <c r="W212" s="206"/>
      <c r="X212" s="206"/>
      <c r="Y212" s="206"/>
      <c r="Z212" s="206"/>
    </row>
    <row r="213" ht="12.75" customHeight="1" spans="1:26">
      <c r="A213" s="205"/>
      <c r="B213" s="206"/>
      <c r="C213" s="206"/>
      <c r="D213" s="206"/>
      <c r="E213" s="206"/>
      <c r="F213" s="206"/>
      <c r="G213" s="206"/>
      <c r="H213" s="206"/>
      <c r="I213" s="206"/>
      <c r="J213" s="206"/>
      <c r="K213" s="206"/>
      <c r="L213" s="206"/>
      <c r="M213" s="206"/>
      <c r="N213" s="206"/>
      <c r="O213" s="206"/>
      <c r="P213" s="206"/>
      <c r="Q213" s="206"/>
      <c r="R213" s="206"/>
      <c r="S213" s="206"/>
      <c r="T213" s="206"/>
      <c r="U213" s="206"/>
      <c r="V213" s="206"/>
      <c r="W213" s="206"/>
      <c r="X213" s="206"/>
      <c r="Y213" s="206"/>
      <c r="Z213" s="206"/>
    </row>
    <row r="214" ht="12.75" customHeight="1" spans="1:26">
      <c r="A214" s="205"/>
      <c r="B214" s="206"/>
      <c r="C214" s="206"/>
      <c r="D214" s="206"/>
      <c r="E214" s="206"/>
      <c r="F214" s="206"/>
      <c r="G214" s="206"/>
      <c r="H214" s="206"/>
      <c r="I214" s="206"/>
      <c r="J214" s="206"/>
      <c r="K214" s="206"/>
      <c r="L214" s="206"/>
      <c r="M214" s="206"/>
      <c r="N214" s="206"/>
      <c r="O214" s="206"/>
      <c r="P214" s="206"/>
      <c r="Q214" s="206"/>
      <c r="R214" s="206"/>
      <c r="S214" s="206"/>
      <c r="T214" s="206"/>
      <c r="U214" s="206"/>
      <c r="V214" s="206"/>
      <c r="W214" s="206"/>
      <c r="X214" s="206"/>
      <c r="Y214" s="206"/>
      <c r="Z214" s="206"/>
    </row>
    <row r="215" ht="12.75" customHeight="1" spans="1:26">
      <c r="A215" s="205"/>
      <c r="B215" s="206"/>
      <c r="C215" s="206"/>
      <c r="D215" s="206"/>
      <c r="E215" s="206"/>
      <c r="F215" s="206"/>
      <c r="G215" s="206"/>
      <c r="H215" s="206"/>
      <c r="I215" s="206"/>
      <c r="J215" s="206"/>
      <c r="K215" s="206"/>
      <c r="L215" s="206"/>
      <c r="M215" s="206"/>
      <c r="N215" s="206"/>
      <c r="O215" s="206"/>
      <c r="P215" s="206"/>
      <c r="Q215" s="206"/>
      <c r="R215" s="206"/>
      <c r="S215" s="206"/>
      <c r="T215" s="206"/>
      <c r="U215" s="206"/>
      <c r="V215" s="206"/>
      <c r="W215" s="206"/>
      <c r="X215" s="206"/>
      <c r="Y215" s="206"/>
      <c r="Z215" s="206"/>
    </row>
    <row r="216" ht="12.75" customHeight="1" spans="1:26">
      <c r="A216" s="205"/>
      <c r="B216" s="206"/>
      <c r="C216" s="206"/>
      <c r="D216" s="206"/>
      <c r="E216" s="206"/>
      <c r="F216" s="206"/>
      <c r="G216" s="206"/>
      <c r="H216" s="206"/>
      <c r="I216" s="206"/>
      <c r="J216" s="206"/>
      <c r="K216" s="206"/>
      <c r="L216" s="206"/>
      <c r="M216" s="206"/>
      <c r="N216" s="206"/>
      <c r="O216" s="206"/>
      <c r="P216" s="206"/>
      <c r="Q216" s="206"/>
      <c r="R216" s="206"/>
      <c r="S216" s="206"/>
      <c r="T216" s="206"/>
      <c r="U216" s="206"/>
      <c r="V216" s="206"/>
      <c r="W216" s="206"/>
      <c r="X216" s="206"/>
      <c r="Y216" s="206"/>
      <c r="Z216" s="206"/>
    </row>
    <row r="217" ht="12.75" customHeight="1" spans="1:26">
      <c r="A217" s="205"/>
      <c r="B217" s="206"/>
      <c r="C217" s="206"/>
      <c r="D217" s="206"/>
      <c r="E217" s="206"/>
      <c r="F217" s="206"/>
      <c r="G217" s="206"/>
      <c r="H217" s="206"/>
      <c r="I217" s="206"/>
      <c r="J217" s="206"/>
      <c r="K217" s="206"/>
      <c r="L217" s="206"/>
      <c r="M217" s="206"/>
      <c r="N217" s="206"/>
      <c r="O217" s="206"/>
      <c r="P217" s="206"/>
      <c r="Q217" s="206"/>
      <c r="R217" s="206"/>
      <c r="S217" s="206"/>
      <c r="T217" s="206"/>
      <c r="U217" s="206"/>
      <c r="V217" s="206"/>
      <c r="W217" s="206"/>
      <c r="X217" s="206"/>
      <c r="Y217" s="206"/>
      <c r="Z217" s="206"/>
    </row>
    <row r="218" ht="12.75" customHeight="1" spans="1:26">
      <c r="A218" s="205"/>
      <c r="B218" s="206"/>
      <c r="C218" s="206"/>
      <c r="D218" s="206"/>
      <c r="E218" s="206"/>
      <c r="F218" s="206"/>
      <c r="G218" s="206"/>
      <c r="H218" s="206"/>
      <c r="I218" s="206"/>
      <c r="J218" s="206"/>
      <c r="K218" s="206"/>
      <c r="L218" s="206"/>
      <c r="M218" s="206"/>
      <c r="N218" s="206"/>
      <c r="O218" s="206"/>
      <c r="P218" s="206"/>
      <c r="Q218" s="206"/>
      <c r="R218" s="206"/>
      <c r="S218" s="206"/>
      <c r="T218" s="206"/>
      <c r="U218" s="206"/>
      <c r="V218" s="206"/>
      <c r="W218" s="206"/>
      <c r="X218" s="206"/>
      <c r="Y218" s="206"/>
      <c r="Z218" s="206"/>
    </row>
    <row r="219" ht="12.75" customHeight="1" spans="1:26">
      <c r="A219" s="205"/>
      <c r="B219" s="206"/>
      <c r="C219" s="206"/>
      <c r="D219" s="206"/>
      <c r="E219" s="206"/>
      <c r="F219" s="206"/>
      <c r="G219" s="206"/>
      <c r="H219" s="206"/>
      <c r="I219" s="206"/>
      <c r="J219" s="206"/>
      <c r="K219" s="206"/>
      <c r="L219" s="206"/>
      <c r="M219" s="206"/>
      <c r="N219" s="206"/>
      <c r="O219" s="206"/>
      <c r="P219" s="206"/>
      <c r="Q219" s="206"/>
      <c r="R219" s="206"/>
      <c r="S219" s="206"/>
      <c r="T219" s="206"/>
      <c r="U219" s="206"/>
      <c r="V219" s="206"/>
      <c r="W219" s="206"/>
      <c r="X219" s="206"/>
      <c r="Y219" s="206"/>
      <c r="Z219" s="206"/>
    </row>
    <row r="220" ht="12.75" customHeight="1" spans="1:26">
      <c r="A220" s="205"/>
      <c r="B220" s="206"/>
      <c r="C220" s="206"/>
      <c r="D220" s="206"/>
      <c r="E220" s="206"/>
      <c r="F220" s="206"/>
      <c r="G220" s="206"/>
      <c r="H220" s="206"/>
      <c r="I220" s="206"/>
      <c r="J220" s="206"/>
      <c r="K220" s="206"/>
      <c r="L220" s="206"/>
      <c r="M220" s="206"/>
      <c r="N220" s="206"/>
      <c r="O220" s="206"/>
      <c r="P220" s="206"/>
      <c r="Q220" s="206"/>
      <c r="R220" s="206"/>
      <c r="S220" s="206"/>
      <c r="T220" s="206"/>
      <c r="U220" s="206"/>
      <c r="V220" s="206"/>
      <c r="W220" s="206"/>
      <c r="X220" s="206"/>
      <c r="Y220" s="206"/>
      <c r="Z220" s="20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F2"/>
    <mergeCell ref="B4:D4"/>
    <mergeCell ref="B5:D5"/>
    <mergeCell ref="B6:D6"/>
  </mergeCells>
  <pageMargins left="0.7" right="0.7" top="0.75" bottom="0.75" header="0" footer="0"/>
  <pageSetup paperSize="1" orientation="landscape"/>
  <headerFooter>
    <oddFooter>&amp;L 02ae-BM/PM/HDCV/FSOFT v2/1&amp;CInternal use&amp;R&amp;P/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7.1271186440678" customWidth="1"/>
    <col min="2" max="2" width="35.5" customWidth="1"/>
    <col min="3" max="3" width="15" customWidth="1"/>
    <col min="4" max="4" width="35.7542372881356" customWidth="1"/>
    <col min="5" max="5" width="21" customWidth="1"/>
    <col min="6" max="6" width="28.2542372881356" customWidth="1"/>
    <col min="7" max="7" width="61.7542372881356" customWidth="1"/>
    <col min="8" max="8" width="77.1271186440678" customWidth="1"/>
    <col min="9" max="26" width="10" customWidth="1"/>
  </cols>
  <sheetData>
    <row r="1" ht="12.75" customHeight="1" spans="1:26">
      <c r="A1" s="162"/>
      <c r="B1" s="162"/>
      <c r="C1" s="162"/>
      <c r="D1" s="163"/>
      <c r="E1" s="164"/>
      <c r="F1" s="163"/>
      <c r="G1" s="163"/>
      <c r="H1" s="163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ht="24.75" customHeight="1" spans="1:26">
      <c r="A2" s="162"/>
      <c r="B2" s="162"/>
      <c r="C2" s="162"/>
      <c r="D2" s="163"/>
      <c r="E2" s="165" t="s">
        <v>65</v>
      </c>
      <c r="F2" s="165"/>
      <c r="G2" s="166"/>
      <c r="H2" s="163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ht="13.5" customHeight="1" spans="1:26">
      <c r="A3" s="162"/>
      <c r="B3" s="162"/>
      <c r="C3" s="162"/>
      <c r="D3" s="163"/>
      <c r="E3" s="164"/>
      <c r="F3" s="167"/>
      <c r="G3" s="167"/>
      <c r="H3" s="163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ht="14.25" customHeight="1" spans="1:26">
      <c r="A4" s="168" t="s">
        <v>46</v>
      </c>
      <c r="B4" s="20"/>
      <c r="C4" s="20"/>
      <c r="D4" s="20"/>
      <c r="E4" s="138" t="str">
        <f>Cover!B4</f>
        <v> AI-powered Shared Business Space Platform with Time-based Subleasing</v>
      </c>
      <c r="F4" s="20"/>
      <c r="G4" s="20"/>
      <c r="H4" s="15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ht="14.25" customHeight="1" spans="1:26">
      <c r="A5" s="168" t="s">
        <v>50</v>
      </c>
      <c r="B5" s="20"/>
      <c r="C5" s="20"/>
      <c r="D5" s="20"/>
      <c r="E5" s="138" t="str">
        <f>Cover!B5</f>
        <v>SU26SE038</v>
      </c>
      <c r="F5" s="20"/>
      <c r="G5" s="20"/>
      <c r="H5" s="15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ht="14.25" customHeight="1" spans="1:26">
      <c r="A6" s="169" t="s">
        <v>66</v>
      </c>
      <c r="B6" s="20"/>
      <c r="C6" s="20"/>
      <c r="D6" s="15"/>
      <c r="E6" s="138">
        <v>40</v>
      </c>
      <c r="F6" s="170"/>
      <c r="G6" s="170"/>
      <c r="H6" s="171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ht="12.75" customHeight="1" spans="1:26">
      <c r="A7" s="172" t="s">
        <v>67</v>
      </c>
      <c r="B7" s="20"/>
      <c r="C7" s="20"/>
      <c r="D7" s="15"/>
      <c r="E7" s="173" t="s">
        <v>68</v>
      </c>
      <c r="F7" s="20"/>
      <c r="G7" s="20"/>
      <c r="H7" s="15"/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ht="12.75" customHeight="1" spans="1:26">
      <c r="A8" s="175"/>
      <c r="B8" s="175"/>
      <c r="C8" s="175"/>
      <c r="D8" s="132"/>
      <c r="E8" s="174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ht="12.75" customHeight="1" spans="1:26">
      <c r="A9" s="176"/>
      <c r="B9" s="176"/>
      <c r="C9" s="176"/>
      <c r="D9" s="177"/>
      <c r="E9" s="178"/>
      <c r="F9" s="177"/>
      <c r="G9" s="177"/>
      <c r="H9" s="177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</row>
    <row r="10" ht="24" customHeight="1" spans="1:26">
      <c r="A10" s="180" t="s">
        <v>69</v>
      </c>
      <c r="B10" s="181" t="s">
        <v>70</v>
      </c>
      <c r="C10" s="182" t="s">
        <v>71</v>
      </c>
      <c r="D10" s="183" t="s">
        <v>72</v>
      </c>
      <c r="E10" s="184" t="s">
        <v>73</v>
      </c>
      <c r="F10" s="183" t="s">
        <v>74</v>
      </c>
      <c r="G10" s="185" t="s">
        <v>75</v>
      </c>
      <c r="H10" s="186" t="s">
        <v>76</v>
      </c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3.5" customHeight="1" spans="1:26">
      <c r="A11" s="188">
        <v>1</v>
      </c>
      <c r="B11" s="189" t="s">
        <v>77</v>
      </c>
      <c r="C11" s="189" t="s">
        <v>78</v>
      </c>
      <c r="D11" s="190" t="s">
        <v>79</v>
      </c>
      <c r="E11" s="191" t="s">
        <v>80</v>
      </c>
      <c r="F11" s="192" t="s">
        <v>81</v>
      </c>
      <c r="G11" s="193" t="s">
        <v>82</v>
      </c>
      <c r="H11" s="194" t="s">
        <v>83</v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ht="13.5" customHeight="1" spans="1:26">
      <c r="A12" s="188">
        <v>2</v>
      </c>
      <c r="B12" s="189" t="s">
        <v>84</v>
      </c>
      <c r="C12" s="189" t="s">
        <v>85</v>
      </c>
      <c r="D12" s="190" t="s">
        <v>86</v>
      </c>
      <c r="E12" s="191" t="s">
        <v>87</v>
      </c>
      <c r="F12" s="192" t="s">
        <v>88</v>
      </c>
      <c r="G12" s="193" t="s">
        <v>89</v>
      </c>
      <c r="H12" s="194" t="s">
        <v>90</v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ht="13.5" customHeight="1" spans="1:26">
      <c r="A13" s="188">
        <v>3</v>
      </c>
      <c r="B13" s="189" t="s">
        <v>91</v>
      </c>
      <c r="C13" s="189" t="s">
        <v>92</v>
      </c>
      <c r="D13" s="190" t="s">
        <v>93</v>
      </c>
      <c r="E13" s="191" t="s">
        <v>94</v>
      </c>
      <c r="F13" s="192" t="s">
        <v>95</v>
      </c>
      <c r="G13" s="193" t="s">
        <v>96</v>
      </c>
      <c r="H13" s="194" t="s">
        <v>97</v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ht="12.75" customHeight="1" spans="1:26">
      <c r="A14" s="188">
        <v>4</v>
      </c>
      <c r="B14" s="189" t="s">
        <v>98</v>
      </c>
      <c r="C14" s="189" t="s">
        <v>92</v>
      </c>
      <c r="D14" s="190" t="s">
        <v>99</v>
      </c>
      <c r="E14" s="191" t="s">
        <v>100</v>
      </c>
      <c r="F14" s="192" t="s">
        <v>95</v>
      </c>
      <c r="G14" s="193" t="s">
        <v>101</v>
      </c>
      <c r="H14" s="194" t="s">
        <v>102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ht="12.75" customHeight="1" spans="1:26">
      <c r="A15" s="188">
        <v>5</v>
      </c>
      <c r="B15" s="189" t="s">
        <v>103</v>
      </c>
      <c r="C15" s="189" t="s">
        <v>92</v>
      </c>
      <c r="D15" s="190" t="s">
        <v>104</v>
      </c>
      <c r="E15" s="191" t="s">
        <v>105</v>
      </c>
      <c r="F15" s="192" t="s">
        <v>95</v>
      </c>
      <c r="G15" s="193" t="s">
        <v>106</v>
      </c>
      <c r="H15" s="194" t="s">
        <v>107</v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ht="12.75" customHeight="1" spans="1:26">
      <c r="A16" s="188">
        <v>6</v>
      </c>
      <c r="B16" s="189" t="s">
        <v>108</v>
      </c>
      <c r="C16" s="189" t="s">
        <v>92</v>
      </c>
      <c r="D16" s="190" t="s">
        <v>109</v>
      </c>
      <c r="E16" s="191" t="s">
        <v>110</v>
      </c>
      <c r="F16" s="192" t="s">
        <v>95</v>
      </c>
      <c r="G16" s="195" t="s">
        <v>111</v>
      </c>
      <c r="H16" s="194" t="s">
        <v>112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ht="12.75" customHeight="1" spans="1:26">
      <c r="A17" s="188">
        <v>7</v>
      </c>
      <c r="B17" s="189" t="s">
        <v>113</v>
      </c>
      <c r="C17" s="189" t="s">
        <v>92</v>
      </c>
      <c r="D17" s="190" t="s">
        <v>114</v>
      </c>
      <c r="E17" s="191" t="s">
        <v>115</v>
      </c>
      <c r="F17" s="192" t="s">
        <v>95</v>
      </c>
      <c r="G17" s="195" t="s">
        <v>116</v>
      </c>
      <c r="H17" s="194" t="s">
        <v>117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ht="12.75" customHeight="1" spans="1:26">
      <c r="A18" s="188">
        <v>8</v>
      </c>
      <c r="B18" s="189" t="s">
        <v>118</v>
      </c>
      <c r="C18" s="189" t="s">
        <v>119</v>
      </c>
      <c r="D18" s="190" t="s">
        <v>120</v>
      </c>
      <c r="E18" s="191" t="s">
        <v>121</v>
      </c>
      <c r="F18" s="192" t="s">
        <v>122</v>
      </c>
      <c r="G18" s="195" t="s">
        <v>123</v>
      </c>
      <c r="H18" s="194" t="s">
        <v>124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ht="12.75" customHeight="1" spans="1:26">
      <c r="A19" s="188">
        <v>9</v>
      </c>
      <c r="B19" s="189" t="s">
        <v>125</v>
      </c>
      <c r="C19" s="189" t="s">
        <v>126</v>
      </c>
      <c r="D19" s="196" t="s">
        <v>120</v>
      </c>
      <c r="E19" s="191" t="s">
        <v>127</v>
      </c>
      <c r="F19" s="192" t="s">
        <v>122</v>
      </c>
      <c r="G19" s="195" t="s">
        <v>128</v>
      </c>
      <c r="H19" s="194" t="s">
        <v>129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ht="12.75" customHeight="1" spans="1:26">
      <c r="A20" s="188">
        <v>10</v>
      </c>
      <c r="B20" s="189" t="s">
        <v>130</v>
      </c>
      <c r="C20" s="189" t="s">
        <v>131</v>
      </c>
      <c r="D20" s="190" t="s">
        <v>132</v>
      </c>
      <c r="E20" s="191" t="s">
        <v>133</v>
      </c>
      <c r="F20" s="192" t="s">
        <v>134</v>
      </c>
      <c r="G20" s="195" t="s">
        <v>135</v>
      </c>
      <c r="H20" s="194" t="s">
        <v>136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ht="12.75" customHeight="1" spans="1:26">
      <c r="A21" s="188">
        <v>11</v>
      </c>
      <c r="B21" s="189" t="s">
        <v>137</v>
      </c>
      <c r="C21" s="189" t="s">
        <v>131</v>
      </c>
      <c r="D21" s="190" t="s">
        <v>138</v>
      </c>
      <c r="E21" s="191" t="s">
        <v>139</v>
      </c>
      <c r="F21" s="192" t="s">
        <v>134</v>
      </c>
      <c r="G21" s="195" t="s">
        <v>140</v>
      </c>
      <c r="H21" s="194" t="s">
        <v>141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ht="12.75" customHeight="1" spans="1:26">
      <c r="A22" s="188">
        <v>12</v>
      </c>
      <c r="B22" s="189" t="s">
        <v>142</v>
      </c>
      <c r="C22" s="189" t="s">
        <v>143</v>
      </c>
      <c r="D22" s="190" t="s">
        <v>144</v>
      </c>
      <c r="E22" s="191" t="s">
        <v>145</v>
      </c>
      <c r="F22" s="192" t="s">
        <v>146</v>
      </c>
      <c r="G22" s="195" t="s">
        <v>147</v>
      </c>
      <c r="H22" s="194" t="s">
        <v>148</v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ht="12.75" customHeight="1" spans="1:26">
      <c r="A23" s="188">
        <v>13</v>
      </c>
      <c r="B23" s="189" t="s">
        <v>149</v>
      </c>
      <c r="C23" s="189" t="s">
        <v>143</v>
      </c>
      <c r="D23" s="190" t="s">
        <v>150</v>
      </c>
      <c r="E23" s="191" t="s">
        <v>151</v>
      </c>
      <c r="F23" s="192" t="s">
        <v>146</v>
      </c>
      <c r="G23" s="195" t="s">
        <v>152</v>
      </c>
      <c r="H23" s="194" t="s">
        <v>153</v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ht="12.75" customHeight="1" spans="1:26">
      <c r="A24" s="188">
        <v>14</v>
      </c>
      <c r="B24" s="189" t="s">
        <v>154</v>
      </c>
      <c r="C24" s="189" t="s">
        <v>155</v>
      </c>
      <c r="D24" s="190" t="s">
        <v>156</v>
      </c>
      <c r="E24" s="191" t="s">
        <v>157</v>
      </c>
      <c r="F24" s="192" t="s">
        <v>158</v>
      </c>
      <c r="G24" s="195" t="s">
        <v>159</v>
      </c>
      <c r="H24" s="194" t="s">
        <v>160</v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ht="12.75" customHeight="1" spans="1:26">
      <c r="A25" s="188">
        <v>15</v>
      </c>
      <c r="B25" s="189" t="s">
        <v>161</v>
      </c>
      <c r="C25" s="189" t="s">
        <v>162</v>
      </c>
      <c r="D25" s="190" t="s">
        <v>163</v>
      </c>
      <c r="E25" s="191" t="s">
        <v>164</v>
      </c>
      <c r="F25" s="192" t="s">
        <v>165</v>
      </c>
      <c r="G25" s="195" t="s">
        <v>166</v>
      </c>
      <c r="H25" s="194" t="s">
        <v>167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ht="12.75" customHeight="1" spans="1:26">
      <c r="A26" s="188">
        <v>16</v>
      </c>
      <c r="B26" s="189" t="s">
        <v>168</v>
      </c>
      <c r="C26" s="189" t="s">
        <v>162</v>
      </c>
      <c r="D26" s="190" t="s">
        <v>169</v>
      </c>
      <c r="E26" s="191" t="s">
        <v>170</v>
      </c>
      <c r="F26" s="192" t="s">
        <v>165</v>
      </c>
      <c r="G26" s="195" t="s">
        <v>171</v>
      </c>
      <c r="H26" s="194" t="s">
        <v>172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ht="12.75" customHeight="1" spans="1:26">
      <c r="A27" s="188">
        <v>17</v>
      </c>
      <c r="B27" s="189" t="s">
        <v>173</v>
      </c>
      <c r="C27" s="189" t="s">
        <v>162</v>
      </c>
      <c r="D27" s="190" t="s">
        <v>174</v>
      </c>
      <c r="E27" s="191" t="s">
        <v>175</v>
      </c>
      <c r="F27" s="192" t="s">
        <v>165</v>
      </c>
      <c r="G27" s="195" t="s">
        <v>176</v>
      </c>
      <c r="H27" s="197" t="s">
        <v>177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ht="12.75" customHeight="1" spans="1:26">
      <c r="A28" s="188">
        <v>18</v>
      </c>
      <c r="B28" s="189" t="s">
        <v>178</v>
      </c>
      <c r="C28" s="189" t="s">
        <v>162</v>
      </c>
      <c r="D28" s="190" t="s">
        <v>179</v>
      </c>
      <c r="E28" s="191" t="s">
        <v>180</v>
      </c>
      <c r="F28" s="192" t="s">
        <v>165</v>
      </c>
      <c r="G28" s="195" t="s">
        <v>181</v>
      </c>
      <c r="H28" s="194" t="s">
        <v>182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ht="12.75" customHeight="1" spans="1:26">
      <c r="A29" s="188">
        <v>19</v>
      </c>
      <c r="B29" s="189" t="s">
        <v>183</v>
      </c>
      <c r="C29" s="189" t="s">
        <v>184</v>
      </c>
      <c r="D29" s="190" t="s">
        <v>185</v>
      </c>
      <c r="E29" s="191" t="s">
        <v>186</v>
      </c>
      <c r="F29" s="192" t="s">
        <v>187</v>
      </c>
      <c r="G29" s="195" t="s">
        <v>188</v>
      </c>
      <c r="H29" s="194" t="s">
        <v>189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ht="12.75" customHeight="1" spans="1:26">
      <c r="A30" s="188">
        <v>20</v>
      </c>
      <c r="B30" s="189" t="s">
        <v>190</v>
      </c>
      <c r="C30" s="189" t="s">
        <v>184</v>
      </c>
      <c r="D30" s="190" t="s">
        <v>191</v>
      </c>
      <c r="E30" s="191" t="s">
        <v>192</v>
      </c>
      <c r="F30" s="192" t="s">
        <v>187</v>
      </c>
      <c r="G30" s="195" t="s">
        <v>193</v>
      </c>
      <c r="H30" s="194" t="s">
        <v>194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ht="12.75" customHeight="1" spans="1:26">
      <c r="A31" s="188">
        <v>21</v>
      </c>
      <c r="B31" s="189" t="s">
        <v>195</v>
      </c>
      <c r="C31" s="189" t="s">
        <v>184</v>
      </c>
      <c r="D31" s="190" t="s">
        <v>196</v>
      </c>
      <c r="E31" s="191" t="s">
        <v>197</v>
      </c>
      <c r="F31" s="192" t="s">
        <v>187</v>
      </c>
      <c r="G31" s="195" t="s">
        <v>198</v>
      </c>
      <c r="H31" s="194" t="s">
        <v>199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ht="12.75" customHeight="1" spans="1:26">
      <c r="A32" s="188">
        <v>22</v>
      </c>
      <c r="B32" s="189" t="s">
        <v>200</v>
      </c>
      <c r="C32" s="189" t="s">
        <v>184</v>
      </c>
      <c r="D32" s="190" t="s">
        <v>201</v>
      </c>
      <c r="E32" s="191" t="s">
        <v>202</v>
      </c>
      <c r="F32" s="192" t="s">
        <v>187</v>
      </c>
      <c r="G32" s="195" t="s">
        <v>203</v>
      </c>
      <c r="H32" s="194" t="s">
        <v>204</v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ht="12.75" customHeight="1" spans="1:26">
      <c r="A33" s="188">
        <v>23</v>
      </c>
      <c r="B33" s="189" t="s">
        <v>205</v>
      </c>
      <c r="C33" s="189" t="s">
        <v>206</v>
      </c>
      <c r="D33" s="190" t="s">
        <v>207</v>
      </c>
      <c r="E33" s="191" t="s">
        <v>208</v>
      </c>
      <c r="F33" s="192" t="s">
        <v>209</v>
      </c>
      <c r="G33" s="195" t="s">
        <v>210</v>
      </c>
      <c r="H33" s="194" t="s">
        <v>211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ht="12.75" customHeight="1" spans="1:26">
      <c r="A34" s="188">
        <v>24</v>
      </c>
      <c r="B34" s="189" t="s">
        <v>212</v>
      </c>
      <c r="C34" s="189" t="s">
        <v>213</v>
      </c>
      <c r="D34" s="190" t="s">
        <v>214</v>
      </c>
      <c r="E34" s="191" t="s">
        <v>215</v>
      </c>
      <c r="F34" s="192" t="s">
        <v>216</v>
      </c>
      <c r="G34" s="195" t="s">
        <v>217</v>
      </c>
      <c r="H34" s="194" t="s">
        <v>218</v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ht="12.75" customHeight="1" spans="1:26">
      <c r="A35" s="188">
        <v>25</v>
      </c>
      <c r="B35" s="189" t="s">
        <v>219</v>
      </c>
      <c r="C35" s="189" t="s">
        <v>220</v>
      </c>
      <c r="D35" s="190" t="s">
        <v>221</v>
      </c>
      <c r="E35" s="191" t="s">
        <v>222</v>
      </c>
      <c r="F35" s="192" t="s">
        <v>223</v>
      </c>
      <c r="G35" s="195" t="s">
        <v>224</v>
      </c>
      <c r="H35" s="194" t="s">
        <v>225</v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ht="12.75" customHeight="1" spans="1:26">
      <c r="A36" s="188">
        <v>26</v>
      </c>
      <c r="B36" s="189" t="s">
        <v>226</v>
      </c>
      <c r="C36" s="189" t="s">
        <v>227</v>
      </c>
      <c r="D36" s="190" t="s">
        <v>228</v>
      </c>
      <c r="E36" s="191" t="s">
        <v>229</v>
      </c>
      <c r="F36" s="192" t="s">
        <v>230</v>
      </c>
      <c r="G36" s="195" t="s">
        <v>231</v>
      </c>
      <c r="H36" s="194" t="s">
        <v>232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ht="12.75" customHeight="1" spans="1:26">
      <c r="A37" s="188">
        <v>27</v>
      </c>
      <c r="B37" s="189" t="s">
        <v>233</v>
      </c>
      <c r="C37" s="189" t="s">
        <v>234</v>
      </c>
      <c r="D37" s="190" t="s">
        <v>235</v>
      </c>
      <c r="E37" s="191" t="s">
        <v>236</v>
      </c>
      <c r="F37" s="192" t="s">
        <v>237</v>
      </c>
      <c r="G37" s="195" t="s">
        <v>238</v>
      </c>
      <c r="H37" s="194" t="s">
        <v>239</v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ht="12.75" customHeight="1" spans="1:26">
      <c r="A38" s="198">
        <v>28</v>
      </c>
      <c r="B38" s="199" t="s">
        <v>240</v>
      </c>
      <c r="C38" s="199" t="s">
        <v>241</v>
      </c>
      <c r="D38" s="200" t="s">
        <v>242</v>
      </c>
      <c r="E38" s="201" t="s">
        <v>243</v>
      </c>
      <c r="F38" s="202" t="s">
        <v>244</v>
      </c>
      <c r="G38" s="203" t="s">
        <v>245</v>
      </c>
      <c r="H38" s="204" t="s">
        <v>246</v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ht="12.75" customHeight="1" spans="1:26">
      <c r="A39" s="162"/>
      <c r="B39" s="162"/>
      <c r="C39" s="162"/>
      <c r="D39" s="163"/>
      <c r="E39" s="164"/>
      <c r="F39" s="163"/>
      <c r="G39" s="163"/>
      <c r="H39" s="163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ht="12.75" customHeight="1" spans="1:26">
      <c r="A40" s="162"/>
      <c r="B40" s="162"/>
      <c r="C40" s="162"/>
      <c r="D40" s="163"/>
      <c r="E40" s="164"/>
      <c r="F40" s="163"/>
      <c r="G40" s="163"/>
      <c r="H40" s="163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ht="12.75" customHeight="1" spans="1:26">
      <c r="A41" s="162"/>
      <c r="B41" s="162"/>
      <c r="C41" s="162"/>
      <c r="D41" s="163"/>
      <c r="E41" s="164"/>
      <c r="F41" s="163"/>
      <c r="G41" s="163"/>
      <c r="H41" s="163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ht="12.75" customHeight="1" spans="1:26">
      <c r="A42" s="162"/>
      <c r="B42" s="162"/>
      <c r="C42" s="162"/>
      <c r="D42" s="163"/>
      <c r="E42" s="164"/>
      <c r="F42" s="163"/>
      <c r="G42" s="163"/>
      <c r="H42" s="163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ht="12.75" customHeight="1" spans="1:26">
      <c r="A43" s="162"/>
      <c r="B43" s="162"/>
      <c r="C43" s="162"/>
      <c r="D43" s="163"/>
      <c r="E43" s="164"/>
      <c r="F43" s="163"/>
      <c r="G43" s="163"/>
      <c r="H43" s="163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ht="12.75" customHeight="1" spans="1:26">
      <c r="A44" s="162"/>
      <c r="B44" s="162"/>
      <c r="C44" s="162"/>
      <c r="D44" s="163"/>
      <c r="E44" s="164"/>
      <c r="F44" s="163"/>
      <c r="G44" s="163"/>
      <c r="H44" s="163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ht="12.75" customHeight="1" spans="1:26">
      <c r="A45" s="162"/>
      <c r="B45" s="162"/>
      <c r="C45" s="162"/>
      <c r="D45" s="163"/>
      <c r="E45" s="164"/>
      <c r="F45" s="163"/>
      <c r="G45" s="163"/>
      <c r="H45" s="163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ht="12.75" customHeight="1" spans="1:26">
      <c r="A46" s="162"/>
      <c r="B46" s="162"/>
      <c r="C46" s="162"/>
      <c r="D46" s="163"/>
      <c r="E46" s="164"/>
      <c r="F46" s="163"/>
      <c r="G46" s="163"/>
      <c r="H46" s="163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ht="12.75" customHeight="1" spans="1:26">
      <c r="A47" s="162"/>
      <c r="B47" s="162"/>
      <c r="C47" s="162"/>
      <c r="D47" s="163"/>
      <c r="E47" s="164"/>
      <c r="F47" s="163"/>
      <c r="G47" s="163"/>
      <c r="H47" s="163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ht="12.75" customHeight="1" spans="1:26">
      <c r="A48" s="162"/>
      <c r="B48" s="162"/>
      <c r="C48" s="162"/>
      <c r="D48" s="163"/>
      <c r="E48" s="164"/>
      <c r="F48" s="163"/>
      <c r="G48" s="163"/>
      <c r="H48" s="163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ht="12.75" customHeight="1" spans="1:26">
      <c r="A49" s="162"/>
      <c r="B49" s="162"/>
      <c r="C49" s="162"/>
      <c r="D49" s="163"/>
      <c r="E49" s="164"/>
      <c r="F49" s="163"/>
      <c r="G49" s="163"/>
      <c r="H49" s="163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ht="12.75" customHeight="1" spans="1:26">
      <c r="A50" s="162"/>
      <c r="B50" s="162"/>
      <c r="C50" s="162"/>
      <c r="D50" s="163"/>
      <c r="E50" s="164"/>
      <c r="F50" s="163"/>
      <c r="G50" s="163"/>
      <c r="H50" s="163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ht="12.75" customHeight="1" spans="1:26">
      <c r="A51" s="162"/>
      <c r="B51" s="162"/>
      <c r="C51" s="162"/>
      <c r="D51" s="163"/>
      <c r="E51" s="164"/>
      <c r="F51" s="163"/>
      <c r="G51" s="163"/>
      <c r="H51" s="163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ht="12.75" customHeight="1" spans="1:26">
      <c r="A52" s="162"/>
      <c r="B52" s="162"/>
      <c r="C52" s="162"/>
      <c r="D52" s="163"/>
      <c r="E52" s="164"/>
      <c r="F52" s="163"/>
      <c r="G52" s="163"/>
      <c r="H52" s="163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ht="12.75" customHeight="1" spans="1:26">
      <c r="A53" s="162"/>
      <c r="B53" s="162"/>
      <c r="C53" s="162"/>
      <c r="D53" s="163"/>
      <c r="E53" s="164"/>
      <c r="F53" s="163"/>
      <c r="G53" s="163"/>
      <c r="H53" s="163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ht="12.75" customHeight="1" spans="1:26">
      <c r="A54" s="162"/>
      <c r="B54" s="162"/>
      <c r="C54" s="162"/>
      <c r="D54" s="163"/>
      <c r="E54" s="164"/>
      <c r="F54" s="163"/>
      <c r="G54" s="163"/>
      <c r="H54" s="163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ht="12.75" customHeight="1" spans="1:26">
      <c r="A55" s="162"/>
      <c r="B55" s="162"/>
      <c r="C55" s="162"/>
      <c r="D55" s="163"/>
      <c r="E55" s="164"/>
      <c r="F55" s="163"/>
      <c r="G55" s="163"/>
      <c r="H55" s="163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ht="12.75" customHeight="1" spans="1:26">
      <c r="A56" s="162"/>
      <c r="B56" s="162"/>
      <c r="C56" s="162"/>
      <c r="D56" s="163"/>
      <c r="E56" s="164"/>
      <c r="F56" s="163"/>
      <c r="G56" s="163"/>
      <c r="H56" s="163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ht="12.75" customHeight="1" spans="1:26">
      <c r="A57" s="162"/>
      <c r="B57" s="162"/>
      <c r="C57" s="162"/>
      <c r="D57" s="163"/>
      <c r="E57" s="164"/>
      <c r="F57" s="163"/>
      <c r="G57" s="163"/>
      <c r="H57" s="163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ht="12.75" customHeight="1" spans="1:26">
      <c r="A58" s="162"/>
      <c r="B58" s="162"/>
      <c r="C58" s="162"/>
      <c r="D58" s="163"/>
      <c r="E58" s="164"/>
      <c r="F58" s="163"/>
      <c r="G58" s="163"/>
      <c r="H58" s="163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ht="12.75" customHeight="1" spans="1:26">
      <c r="A59" s="162"/>
      <c r="B59" s="162"/>
      <c r="C59" s="162"/>
      <c r="D59" s="163"/>
      <c r="E59" s="164"/>
      <c r="F59" s="163"/>
      <c r="G59" s="163"/>
      <c r="H59" s="163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ht="12.75" customHeight="1" spans="1:26">
      <c r="A60" s="162"/>
      <c r="B60" s="162"/>
      <c r="C60" s="162"/>
      <c r="D60" s="163"/>
      <c r="E60" s="164"/>
      <c r="F60" s="163"/>
      <c r="G60" s="163"/>
      <c r="H60" s="163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ht="12.75" customHeight="1" spans="1:26">
      <c r="A61" s="162"/>
      <c r="B61" s="162"/>
      <c r="C61" s="162"/>
      <c r="D61" s="163"/>
      <c r="E61" s="164"/>
      <c r="F61" s="163"/>
      <c r="G61" s="163"/>
      <c r="H61" s="163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ht="12.75" customHeight="1" spans="1:26">
      <c r="A62" s="162"/>
      <c r="B62" s="162"/>
      <c r="C62" s="162"/>
      <c r="D62" s="163"/>
      <c r="E62" s="164"/>
      <c r="F62" s="163"/>
      <c r="G62" s="163"/>
      <c r="H62" s="163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ht="12.75" customHeight="1" spans="1:26">
      <c r="A63" s="162"/>
      <c r="B63" s="162"/>
      <c r="C63" s="162"/>
      <c r="D63" s="163"/>
      <c r="E63" s="164"/>
      <c r="F63" s="163"/>
      <c r="G63" s="163"/>
      <c r="H63" s="163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ht="12.75" customHeight="1" spans="1:26">
      <c r="A64" s="162"/>
      <c r="B64" s="162"/>
      <c r="C64" s="162"/>
      <c r="D64" s="163"/>
      <c r="E64" s="164"/>
      <c r="F64" s="163"/>
      <c r="G64" s="163"/>
      <c r="H64" s="163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ht="12.75" customHeight="1" spans="1:26">
      <c r="A65" s="162"/>
      <c r="B65" s="162"/>
      <c r="C65" s="162"/>
      <c r="D65" s="163"/>
      <c r="E65" s="164"/>
      <c r="F65" s="163"/>
      <c r="G65" s="163"/>
      <c r="H65" s="163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ht="12.75" customHeight="1" spans="1:26">
      <c r="A66" s="162"/>
      <c r="B66" s="162"/>
      <c r="C66" s="162"/>
      <c r="D66" s="163"/>
      <c r="E66" s="164"/>
      <c r="F66" s="163"/>
      <c r="G66" s="163"/>
      <c r="H66" s="163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ht="12.75" customHeight="1" spans="1:26">
      <c r="A67" s="162"/>
      <c r="B67" s="162"/>
      <c r="C67" s="162"/>
      <c r="D67" s="163"/>
      <c r="E67" s="164"/>
      <c r="F67" s="163"/>
      <c r="G67" s="163"/>
      <c r="H67" s="163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ht="12.75" customHeight="1" spans="1:26">
      <c r="A68" s="162"/>
      <c r="B68" s="162"/>
      <c r="C68" s="162"/>
      <c r="D68" s="163"/>
      <c r="E68" s="164"/>
      <c r="F68" s="163"/>
      <c r="G68" s="163"/>
      <c r="H68" s="163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ht="12.75" customHeight="1" spans="1:26">
      <c r="A69" s="162"/>
      <c r="B69" s="162"/>
      <c r="C69" s="162"/>
      <c r="D69" s="163"/>
      <c r="E69" s="164"/>
      <c r="F69" s="163"/>
      <c r="G69" s="163"/>
      <c r="H69" s="163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ht="12.75" customHeight="1" spans="1:26">
      <c r="A70" s="162"/>
      <c r="B70" s="162"/>
      <c r="C70" s="162"/>
      <c r="D70" s="163"/>
      <c r="E70" s="164"/>
      <c r="F70" s="163"/>
      <c r="G70" s="163"/>
      <c r="H70" s="163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ht="12.75" customHeight="1" spans="1:26">
      <c r="A71" s="162"/>
      <c r="B71" s="162"/>
      <c r="C71" s="162"/>
      <c r="D71" s="163"/>
      <c r="E71" s="164"/>
      <c r="F71" s="163"/>
      <c r="G71" s="163"/>
      <c r="H71" s="163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ht="12.75" customHeight="1" spans="1:26">
      <c r="A72" s="162"/>
      <c r="B72" s="162"/>
      <c r="C72" s="162"/>
      <c r="D72" s="163"/>
      <c r="E72" s="164"/>
      <c r="F72" s="163"/>
      <c r="G72" s="163"/>
      <c r="H72" s="163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ht="12.75" customHeight="1" spans="1:26">
      <c r="A73" s="162"/>
      <c r="B73" s="162"/>
      <c r="C73" s="162"/>
      <c r="D73" s="163"/>
      <c r="E73" s="164"/>
      <c r="F73" s="163"/>
      <c r="G73" s="163"/>
      <c r="H73" s="163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ht="12.75" customHeight="1" spans="1:26">
      <c r="A74" s="162"/>
      <c r="B74" s="162"/>
      <c r="C74" s="162"/>
      <c r="D74" s="163"/>
      <c r="E74" s="164"/>
      <c r="F74" s="163"/>
      <c r="G74" s="163"/>
      <c r="H74" s="163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ht="12.75" customHeight="1" spans="1:26">
      <c r="A75" s="162"/>
      <c r="B75" s="162"/>
      <c r="C75" s="162"/>
      <c r="D75" s="163"/>
      <c r="E75" s="164"/>
      <c r="F75" s="163"/>
      <c r="G75" s="163"/>
      <c r="H75" s="163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ht="12.75" customHeight="1" spans="1:26">
      <c r="A76" s="162"/>
      <c r="B76" s="162"/>
      <c r="C76" s="162"/>
      <c r="D76" s="163"/>
      <c r="E76" s="164"/>
      <c r="F76" s="163"/>
      <c r="G76" s="163"/>
      <c r="H76" s="163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ht="12.75" customHeight="1" spans="1:26">
      <c r="A77" s="162"/>
      <c r="B77" s="162"/>
      <c r="C77" s="162"/>
      <c r="D77" s="163"/>
      <c r="E77" s="164"/>
      <c r="F77" s="163"/>
      <c r="G77" s="163"/>
      <c r="H77" s="163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ht="12.75" customHeight="1" spans="1:26">
      <c r="A78" s="162"/>
      <c r="B78" s="162"/>
      <c r="C78" s="162"/>
      <c r="D78" s="163"/>
      <c r="E78" s="164"/>
      <c r="F78" s="163"/>
      <c r="G78" s="163"/>
      <c r="H78" s="163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ht="12.75" customHeight="1" spans="1:26">
      <c r="A79" s="162"/>
      <c r="B79" s="162"/>
      <c r="C79" s="162"/>
      <c r="D79" s="163"/>
      <c r="E79" s="164"/>
      <c r="F79" s="163"/>
      <c r="G79" s="163"/>
      <c r="H79" s="163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ht="12.75" customHeight="1" spans="1:26">
      <c r="A80" s="162"/>
      <c r="B80" s="162"/>
      <c r="C80" s="162"/>
      <c r="D80" s="163"/>
      <c r="E80" s="164"/>
      <c r="F80" s="163"/>
      <c r="G80" s="163"/>
      <c r="H80" s="163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ht="12.75" customHeight="1" spans="1:26">
      <c r="A81" s="162"/>
      <c r="B81" s="162"/>
      <c r="C81" s="162"/>
      <c r="D81" s="163"/>
      <c r="E81" s="164"/>
      <c r="F81" s="163"/>
      <c r="G81" s="163"/>
      <c r="H81" s="163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ht="12.75" customHeight="1" spans="1:26">
      <c r="A82" s="162"/>
      <c r="B82" s="162"/>
      <c r="C82" s="162"/>
      <c r="D82" s="163"/>
      <c r="E82" s="164"/>
      <c r="F82" s="163"/>
      <c r="G82" s="163"/>
      <c r="H82" s="163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ht="12.75" customHeight="1" spans="1:26">
      <c r="A83" s="162"/>
      <c r="B83" s="162"/>
      <c r="C83" s="162"/>
      <c r="D83" s="163"/>
      <c r="E83" s="164"/>
      <c r="F83" s="163"/>
      <c r="G83" s="163"/>
      <c r="H83" s="163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ht="12.75" customHeight="1" spans="1:26">
      <c r="A84" s="162"/>
      <c r="B84" s="162"/>
      <c r="C84" s="162"/>
      <c r="D84" s="163"/>
      <c r="E84" s="164"/>
      <c r="F84" s="163"/>
      <c r="G84" s="163"/>
      <c r="H84" s="163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ht="12.75" customHeight="1" spans="1:26">
      <c r="A85" s="162"/>
      <c r="B85" s="162"/>
      <c r="C85" s="162"/>
      <c r="D85" s="163"/>
      <c r="E85" s="164"/>
      <c r="F85" s="163"/>
      <c r="G85" s="163"/>
      <c r="H85" s="163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ht="12.75" customHeight="1" spans="1:26">
      <c r="A86" s="162"/>
      <c r="B86" s="162"/>
      <c r="C86" s="162"/>
      <c r="D86" s="163"/>
      <c r="E86" s="164"/>
      <c r="F86" s="163"/>
      <c r="G86" s="163"/>
      <c r="H86" s="163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ht="12.75" customHeight="1" spans="1:26">
      <c r="A87" s="162"/>
      <c r="B87" s="162"/>
      <c r="C87" s="162"/>
      <c r="D87" s="163"/>
      <c r="E87" s="164"/>
      <c r="F87" s="163"/>
      <c r="G87" s="163"/>
      <c r="H87" s="163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ht="12.75" customHeight="1" spans="1:26">
      <c r="A88" s="162"/>
      <c r="B88" s="162"/>
      <c r="C88" s="162"/>
      <c r="D88" s="163"/>
      <c r="E88" s="164"/>
      <c r="F88" s="163"/>
      <c r="G88" s="163"/>
      <c r="H88" s="163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ht="12.75" customHeight="1" spans="1:26">
      <c r="A89" s="162"/>
      <c r="B89" s="162"/>
      <c r="C89" s="162"/>
      <c r="D89" s="163"/>
      <c r="E89" s="164"/>
      <c r="F89" s="163"/>
      <c r="G89" s="163"/>
      <c r="H89" s="163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ht="12.75" customHeight="1" spans="1:26">
      <c r="A90" s="162"/>
      <c r="B90" s="162"/>
      <c r="C90" s="162"/>
      <c r="D90" s="163"/>
      <c r="E90" s="164"/>
      <c r="F90" s="163"/>
      <c r="G90" s="163"/>
      <c r="H90" s="163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ht="12.75" customHeight="1" spans="1:26">
      <c r="A91" s="162"/>
      <c r="B91" s="162"/>
      <c r="C91" s="162"/>
      <c r="D91" s="163"/>
      <c r="E91" s="164"/>
      <c r="F91" s="163"/>
      <c r="G91" s="163"/>
      <c r="H91" s="163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ht="12.75" customHeight="1" spans="1:26">
      <c r="A92" s="162"/>
      <c r="B92" s="162"/>
      <c r="C92" s="162"/>
      <c r="D92" s="163"/>
      <c r="E92" s="164"/>
      <c r="F92" s="163"/>
      <c r="G92" s="163"/>
      <c r="H92" s="163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ht="12.75" customHeight="1" spans="1:26">
      <c r="A93" s="162"/>
      <c r="B93" s="162"/>
      <c r="C93" s="162"/>
      <c r="D93" s="163"/>
      <c r="E93" s="164"/>
      <c r="F93" s="163"/>
      <c r="G93" s="163"/>
      <c r="H93" s="163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ht="12.75" customHeight="1" spans="1:26">
      <c r="A94" s="162"/>
      <c r="B94" s="162"/>
      <c r="C94" s="162"/>
      <c r="D94" s="163"/>
      <c r="E94" s="164"/>
      <c r="F94" s="163"/>
      <c r="G94" s="163"/>
      <c r="H94" s="163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ht="12.75" customHeight="1" spans="1:26">
      <c r="A95" s="162"/>
      <c r="B95" s="162"/>
      <c r="C95" s="162"/>
      <c r="D95" s="163"/>
      <c r="E95" s="164"/>
      <c r="F95" s="163"/>
      <c r="G95" s="163"/>
      <c r="H95" s="163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ht="12.75" customHeight="1" spans="1:26">
      <c r="A96" s="162"/>
      <c r="B96" s="162"/>
      <c r="C96" s="162"/>
      <c r="D96" s="163"/>
      <c r="E96" s="164"/>
      <c r="F96" s="163"/>
      <c r="G96" s="163"/>
      <c r="H96" s="163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ht="12.75" customHeight="1" spans="1:26">
      <c r="A97" s="162"/>
      <c r="B97" s="162"/>
      <c r="C97" s="162"/>
      <c r="D97" s="163"/>
      <c r="E97" s="164"/>
      <c r="F97" s="163"/>
      <c r="G97" s="163"/>
      <c r="H97" s="163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ht="12.75" customHeight="1" spans="1:26">
      <c r="A98" s="162"/>
      <c r="B98" s="162"/>
      <c r="C98" s="162"/>
      <c r="D98" s="163"/>
      <c r="E98" s="164"/>
      <c r="F98" s="163"/>
      <c r="G98" s="163"/>
      <c r="H98" s="163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ht="12.75" customHeight="1" spans="1:26">
      <c r="A99" s="162"/>
      <c r="B99" s="162"/>
      <c r="C99" s="162"/>
      <c r="D99" s="163"/>
      <c r="E99" s="164"/>
      <c r="F99" s="163"/>
      <c r="G99" s="163"/>
      <c r="H99" s="163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ht="12.75" customHeight="1" spans="1:26">
      <c r="A100" s="162"/>
      <c r="B100" s="162"/>
      <c r="C100" s="162"/>
      <c r="D100" s="163"/>
      <c r="E100" s="164"/>
      <c r="F100" s="163"/>
      <c r="G100" s="163"/>
      <c r="H100" s="163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ht="12.75" customHeight="1" spans="1:26">
      <c r="A101" s="162"/>
      <c r="B101" s="162"/>
      <c r="C101" s="162"/>
      <c r="D101" s="163"/>
      <c r="E101" s="164"/>
      <c r="F101" s="163"/>
      <c r="G101" s="163"/>
      <c r="H101" s="163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ht="12.75" customHeight="1" spans="1:26">
      <c r="A102" s="162"/>
      <c r="B102" s="162"/>
      <c r="C102" s="162"/>
      <c r="D102" s="163"/>
      <c r="E102" s="164"/>
      <c r="F102" s="163"/>
      <c r="G102" s="163"/>
      <c r="H102" s="163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ht="12.75" customHeight="1" spans="1:26">
      <c r="A103" s="162"/>
      <c r="B103" s="162"/>
      <c r="C103" s="162"/>
      <c r="D103" s="163"/>
      <c r="E103" s="164"/>
      <c r="F103" s="163"/>
      <c r="G103" s="163"/>
      <c r="H103" s="163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ht="12.75" customHeight="1" spans="1:26">
      <c r="A104" s="162"/>
      <c r="B104" s="162"/>
      <c r="C104" s="162"/>
      <c r="D104" s="163"/>
      <c r="E104" s="164"/>
      <c r="F104" s="163"/>
      <c r="G104" s="163"/>
      <c r="H104" s="163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ht="12.75" customHeight="1" spans="1:26">
      <c r="A105" s="162"/>
      <c r="B105" s="162"/>
      <c r="C105" s="162"/>
      <c r="D105" s="163"/>
      <c r="E105" s="164"/>
      <c r="F105" s="163"/>
      <c r="G105" s="163"/>
      <c r="H105" s="163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ht="12.75" customHeight="1" spans="1:26">
      <c r="A106" s="162"/>
      <c r="B106" s="162"/>
      <c r="C106" s="162"/>
      <c r="D106" s="163"/>
      <c r="E106" s="164"/>
      <c r="F106" s="163"/>
      <c r="G106" s="163"/>
      <c r="H106" s="163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ht="12.75" customHeight="1" spans="1:26">
      <c r="A107" s="162"/>
      <c r="B107" s="162"/>
      <c r="C107" s="162"/>
      <c r="D107" s="163"/>
      <c r="E107" s="164"/>
      <c r="F107" s="163"/>
      <c r="G107" s="163"/>
      <c r="H107" s="163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ht="12.75" customHeight="1" spans="1:26">
      <c r="A108" s="162"/>
      <c r="B108" s="162"/>
      <c r="C108" s="162"/>
      <c r="D108" s="163"/>
      <c r="E108" s="164"/>
      <c r="F108" s="163"/>
      <c r="G108" s="163"/>
      <c r="H108" s="163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ht="12.75" customHeight="1" spans="1:26">
      <c r="A109" s="162"/>
      <c r="B109" s="162"/>
      <c r="C109" s="162"/>
      <c r="D109" s="163"/>
      <c r="E109" s="164"/>
      <c r="F109" s="163"/>
      <c r="G109" s="163"/>
      <c r="H109" s="163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ht="12.75" customHeight="1" spans="1:26">
      <c r="A110" s="162"/>
      <c r="B110" s="162"/>
      <c r="C110" s="162"/>
      <c r="D110" s="163"/>
      <c r="E110" s="164"/>
      <c r="F110" s="163"/>
      <c r="G110" s="163"/>
      <c r="H110" s="163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ht="12.75" customHeight="1" spans="1:26">
      <c r="A111" s="162"/>
      <c r="B111" s="162"/>
      <c r="C111" s="162"/>
      <c r="D111" s="163"/>
      <c r="E111" s="164"/>
      <c r="F111" s="163"/>
      <c r="G111" s="163"/>
      <c r="H111" s="163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ht="12.75" customHeight="1" spans="1:26">
      <c r="A112" s="162"/>
      <c r="B112" s="162"/>
      <c r="C112" s="162"/>
      <c r="D112" s="163"/>
      <c r="E112" s="164"/>
      <c r="F112" s="163"/>
      <c r="G112" s="163"/>
      <c r="H112" s="163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ht="12.75" customHeight="1" spans="1:26">
      <c r="A113" s="162"/>
      <c r="B113" s="162"/>
      <c r="C113" s="162"/>
      <c r="D113" s="163"/>
      <c r="E113" s="164"/>
      <c r="F113" s="163"/>
      <c r="G113" s="163"/>
      <c r="H113" s="163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ht="12.75" customHeight="1" spans="1:26">
      <c r="A114" s="162"/>
      <c r="B114" s="162"/>
      <c r="C114" s="162"/>
      <c r="D114" s="163"/>
      <c r="E114" s="164"/>
      <c r="F114" s="163"/>
      <c r="G114" s="163"/>
      <c r="H114" s="163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ht="12.75" customHeight="1" spans="1:26">
      <c r="A115" s="162"/>
      <c r="B115" s="162"/>
      <c r="C115" s="162"/>
      <c r="D115" s="163"/>
      <c r="E115" s="164"/>
      <c r="F115" s="163"/>
      <c r="G115" s="163"/>
      <c r="H115" s="163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ht="12.75" customHeight="1" spans="1:26">
      <c r="A116" s="162"/>
      <c r="B116" s="162"/>
      <c r="C116" s="162"/>
      <c r="D116" s="163"/>
      <c r="E116" s="164"/>
      <c r="F116" s="163"/>
      <c r="G116" s="163"/>
      <c r="H116" s="163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ht="12.75" customHeight="1" spans="1:26">
      <c r="A117" s="162"/>
      <c r="B117" s="162"/>
      <c r="C117" s="162"/>
      <c r="D117" s="163"/>
      <c r="E117" s="164"/>
      <c r="F117" s="163"/>
      <c r="G117" s="163"/>
      <c r="H117" s="163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ht="12.75" customHeight="1" spans="1:26">
      <c r="A118" s="162"/>
      <c r="B118" s="162"/>
      <c r="C118" s="162"/>
      <c r="D118" s="163"/>
      <c r="E118" s="164"/>
      <c r="F118" s="163"/>
      <c r="G118" s="163"/>
      <c r="H118" s="163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ht="12.75" customHeight="1" spans="1:26">
      <c r="A119" s="162"/>
      <c r="B119" s="162"/>
      <c r="C119" s="162"/>
      <c r="D119" s="163"/>
      <c r="E119" s="164"/>
      <c r="F119" s="163"/>
      <c r="G119" s="163"/>
      <c r="H119" s="163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ht="12.75" customHeight="1" spans="1:26">
      <c r="A120" s="162"/>
      <c r="B120" s="162"/>
      <c r="C120" s="162"/>
      <c r="D120" s="163"/>
      <c r="E120" s="164"/>
      <c r="F120" s="163"/>
      <c r="G120" s="163"/>
      <c r="H120" s="163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ht="12.75" customHeight="1" spans="1:26">
      <c r="A121" s="162"/>
      <c r="B121" s="162"/>
      <c r="C121" s="162"/>
      <c r="D121" s="163"/>
      <c r="E121" s="164"/>
      <c r="F121" s="163"/>
      <c r="G121" s="163"/>
      <c r="H121" s="163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ht="12.75" customHeight="1" spans="1:26">
      <c r="A122" s="162"/>
      <c r="B122" s="162"/>
      <c r="C122" s="162"/>
      <c r="D122" s="163"/>
      <c r="E122" s="164"/>
      <c r="F122" s="163"/>
      <c r="G122" s="163"/>
      <c r="H122" s="163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ht="12.75" customHeight="1" spans="1:26">
      <c r="A123" s="162"/>
      <c r="B123" s="162"/>
      <c r="C123" s="162"/>
      <c r="D123" s="163"/>
      <c r="E123" s="164"/>
      <c r="F123" s="163"/>
      <c r="G123" s="163"/>
      <c r="H123" s="163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ht="12.75" customHeight="1" spans="1:26">
      <c r="A124" s="162"/>
      <c r="B124" s="162"/>
      <c r="C124" s="162"/>
      <c r="D124" s="163"/>
      <c r="E124" s="164"/>
      <c r="F124" s="163"/>
      <c r="G124" s="163"/>
      <c r="H124" s="163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ht="12.75" customHeight="1" spans="1:26">
      <c r="A125" s="162"/>
      <c r="B125" s="162"/>
      <c r="C125" s="162"/>
      <c r="D125" s="163"/>
      <c r="E125" s="164"/>
      <c r="F125" s="163"/>
      <c r="G125" s="163"/>
      <c r="H125" s="163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ht="12.75" customHeight="1" spans="1:26">
      <c r="A126" s="162"/>
      <c r="B126" s="162"/>
      <c r="C126" s="162"/>
      <c r="D126" s="163"/>
      <c r="E126" s="164"/>
      <c r="F126" s="163"/>
      <c r="G126" s="163"/>
      <c r="H126" s="163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ht="12.75" customHeight="1" spans="1:26">
      <c r="A127" s="162"/>
      <c r="B127" s="162"/>
      <c r="C127" s="162"/>
      <c r="D127" s="163"/>
      <c r="E127" s="164"/>
      <c r="F127" s="163"/>
      <c r="G127" s="163"/>
      <c r="H127" s="163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ht="12.75" customHeight="1" spans="1:26">
      <c r="A128" s="162"/>
      <c r="B128" s="162"/>
      <c r="C128" s="162"/>
      <c r="D128" s="163"/>
      <c r="E128" s="164"/>
      <c r="F128" s="163"/>
      <c r="G128" s="163"/>
      <c r="H128" s="163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ht="12.75" customHeight="1" spans="1:26">
      <c r="A129" s="162"/>
      <c r="B129" s="162"/>
      <c r="C129" s="162"/>
      <c r="D129" s="163"/>
      <c r="E129" s="164"/>
      <c r="F129" s="163"/>
      <c r="G129" s="163"/>
      <c r="H129" s="163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ht="12.75" customHeight="1" spans="1:26">
      <c r="A130" s="162"/>
      <c r="B130" s="162"/>
      <c r="C130" s="162"/>
      <c r="D130" s="163"/>
      <c r="E130" s="164"/>
      <c r="F130" s="163"/>
      <c r="G130" s="163"/>
      <c r="H130" s="163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ht="12.75" customHeight="1" spans="1:26">
      <c r="A131" s="162"/>
      <c r="B131" s="162"/>
      <c r="C131" s="162"/>
      <c r="D131" s="163"/>
      <c r="E131" s="164"/>
      <c r="F131" s="163"/>
      <c r="G131" s="163"/>
      <c r="H131" s="163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ht="12.75" customHeight="1" spans="1:26">
      <c r="A132" s="162"/>
      <c r="B132" s="162"/>
      <c r="C132" s="162"/>
      <c r="D132" s="163"/>
      <c r="E132" s="164"/>
      <c r="F132" s="163"/>
      <c r="G132" s="163"/>
      <c r="H132" s="163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ht="12.75" customHeight="1" spans="1:26">
      <c r="A133" s="162"/>
      <c r="B133" s="162"/>
      <c r="C133" s="162"/>
      <c r="D133" s="163"/>
      <c r="E133" s="164"/>
      <c r="F133" s="163"/>
      <c r="G133" s="163"/>
      <c r="H133" s="163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ht="12.75" customHeight="1" spans="1:26">
      <c r="A134" s="162"/>
      <c r="B134" s="162"/>
      <c r="C134" s="162"/>
      <c r="D134" s="163"/>
      <c r="E134" s="164"/>
      <c r="F134" s="163"/>
      <c r="G134" s="163"/>
      <c r="H134" s="163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ht="12.75" customHeight="1" spans="1:26">
      <c r="A135" s="162"/>
      <c r="B135" s="162"/>
      <c r="C135" s="162"/>
      <c r="D135" s="163"/>
      <c r="E135" s="164"/>
      <c r="F135" s="163"/>
      <c r="G135" s="163"/>
      <c r="H135" s="163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ht="12.75" customHeight="1" spans="1:26">
      <c r="A136" s="162"/>
      <c r="B136" s="162"/>
      <c r="C136" s="162"/>
      <c r="D136" s="163"/>
      <c r="E136" s="164"/>
      <c r="F136" s="163"/>
      <c r="G136" s="163"/>
      <c r="H136" s="163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ht="12.75" customHeight="1" spans="1:26">
      <c r="A137" s="162"/>
      <c r="B137" s="162"/>
      <c r="C137" s="162"/>
      <c r="D137" s="163"/>
      <c r="E137" s="164"/>
      <c r="F137" s="163"/>
      <c r="G137" s="163"/>
      <c r="H137" s="163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ht="12.75" customHeight="1" spans="1:26">
      <c r="A138" s="162"/>
      <c r="B138" s="162"/>
      <c r="C138" s="162"/>
      <c r="D138" s="163"/>
      <c r="E138" s="164"/>
      <c r="F138" s="163"/>
      <c r="G138" s="163"/>
      <c r="H138" s="163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ht="12.75" customHeight="1" spans="1:26">
      <c r="A139" s="162"/>
      <c r="B139" s="162"/>
      <c r="C139" s="162"/>
      <c r="D139" s="163"/>
      <c r="E139" s="164"/>
      <c r="F139" s="163"/>
      <c r="G139" s="163"/>
      <c r="H139" s="163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ht="12.75" customHeight="1" spans="1:26">
      <c r="A140" s="162"/>
      <c r="B140" s="162"/>
      <c r="C140" s="162"/>
      <c r="D140" s="163"/>
      <c r="E140" s="164"/>
      <c r="F140" s="163"/>
      <c r="G140" s="163"/>
      <c r="H140" s="163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ht="12.75" customHeight="1" spans="1:26">
      <c r="A141" s="162"/>
      <c r="B141" s="162"/>
      <c r="C141" s="162"/>
      <c r="D141" s="163"/>
      <c r="E141" s="164"/>
      <c r="F141" s="163"/>
      <c r="G141" s="163"/>
      <c r="H141" s="163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ht="12.75" customHeight="1" spans="1:26">
      <c r="A142" s="162"/>
      <c r="B142" s="162"/>
      <c r="C142" s="162"/>
      <c r="D142" s="163"/>
      <c r="E142" s="164"/>
      <c r="F142" s="163"/>
      <c r="G142" s="163"/>
      <c r="H142" s="163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ht="12.75" customHeight="1" spans="1:26">
      <c r="A143" s="162"/>
      <c r="B143" s="162"/>
      <c r="C143" s="162"/>
      <c r="D143" s="163"/>
      <c r="E143" s="164"/>
      <c r="F143" s="163"/>
      <c r="G143" s="163"/>
      <c r="H143" s="163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ht="12.75" customHeight="1" spans="1:26">
      <c r="A144" s="162"/>
      <c r="B144" s="162"/>
      <c r="C144" s="162"/>
      <c r="D144" s="163"/>
      <c r="E144" s="164"/>
      <c r="F144" s="163"/>
      <c r="G144" s="163"/>
      <c r="H144" s="163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ht="12.75" customHeight="1" spans="1:26">
      <c r="A145" s="162"/>
      <c r="B145" s="162"/>
      <c r="C145" s="162"/>
      <c r="D145" s="163"/>
      <c r="E145" s="164"/>
      <c r="F145" s="163"/>
      <c r="G145" s="163"/>
      <c r="H145" s="163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ht="12.75" customHeight="1" spans="1:26">
      <c r="A146" s="162"/>
      <c r="B146" s="162"/>
      <c r="C146" s="162"/>
      <c r="D146" s="163"/>
      <c r="E146" s="164"/>
      <c r="F146" s="163"/>
      <c r="G146" s="163"/>
      <c r="H146" s="163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ht="12.75" customHeight="1" spans="1:26">
      <c r="A147" s="162"/>
      <c r="B147" s="162"/>
      <c r="C147" s="162"/>
      <c r="D147" s="163"/>
      <c r="E147" s="164"/>
      <c r="F147" s="163"/>
      <c r="G147" s="163"/>
      <c r="H147" s="163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ht="12.75" customHeight="1" spans="1:26">
      <c r="A148" s="162"/>
      <c r="B148" s="162"/>
      <c r="C148" s="162"/>
      <c r="D148" s="163"/>
      <c r="E148" s="164"/>
      <c r="F148" s="163"/>
      <c r="G148" s="163"/>
      <c r="H148" s="163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ht="12.75" customHeight="1" spans="1:26">
      <c r="A149" s="162"/>
      <c r="B149" s="162"/>
      <c r="C149" s="162"/>
      <c r="D149" s="163"/>
      <c r="E149" s="164"/>
      <c r="F149" s="163"/>
      <c r="G149" s="163"/>
      <c r="H149" s="163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ht="12.75" customHeight="1" spans="1:26">
      <c r="A150" s="162"/>
      <c r="B150" s="162"/>
      <c r="C150" s="162"/>
      <c r="D150" s="163"/>
      <c r="E150" s="164"/>
      <c r="F150" s="163"/>
      <c r="G150" s="163"/>
      <c r="H150" s="163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ht="12.75" customHeight="1" spans="1:26">
      <c r="A151" s="162"/>
      <c r="B151" s="162"/>
      <c r="C151" s="162"/>
      <c r="D151" s="163"/>
      <c r="E151" s="164"/>
      <c r="F151" s="163"/>
      <c r="G151" s="163"/>
      <c r="H151" s="163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ht="12.75" customHeight="1" spans="1:26">
      <c r="A152" s="162"/>
      <c r="B152" s="162"/>
      <c r="C152" s="162"/>
      <c r="D152" s="163"/>
      <c r="E152" s="164"/>
      <c r="F152" s="163"/>
      <c r="G152" s="163"/>
      <c r="H152" s="163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ht="12.75" customHeight="1" spans="1:26">
      <c r="A153" s="162"/>
      <c r="B153" s="162"/>
      <c r="C153" s="162"/>
      <c r="D153" s="163"/>
      <c r="E153" s="164"/>
      <c r="F153" s="163"/>
      <c r="G153" s="163"/>
      <c r="H153" s="163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ht="12.75" customHeight="1" spans="1:26">
      <c r="A154" s="162"/>
      <c r="B154" s="162"/>
      <c r="C154" s="162"/>
      <c r="D154" s="163"/>
      <c r="E154" s="164"/>
      <c r="F154" s="163"/>
      <c r="G154" s="163"/>
      <c r="H154" s="163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ht="12.75" customHeight="1" spans="1:26">
      <c r="A155" s="162"/>
      <c r="B155" s="162"/>
      <c r="C155" s="162"/>
      <c r="D155" s="163"/>
      <c r="E155" s="164"/>
      <c r="F155" s="163"/>
      <c r="G155" s="163"/>
      <c r="H155" s="163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ht="12.75" customHeight="1" spans="1:26">
      <c r="A156" s="162"/>
      <c r="B156" s="162"/>
      <c r="C156" s="162"/>
      <c r="D156" s="163"/>
      <c r="E156" s="164"/>
      <c r="F156" s="163"/>
      <c r="G156" s="163"/>
      <c r="H156" s="163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ht="12.75" customHeight="1" spans="1:26">
      <c r="A157" s="162"/>
      <c r="B157" s="162"/>
      <c r="C157" s="162"/>
      <c r="D157" s="163"/>
      <c r="E157" s="164"/>
      <c r="F157" s="163"/>
      <c r="G157" s="163"/>
      <c r="H157" s="163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ht="12.75" customHeight="1" spans="1:26">
      <c r="A158" s="162"/>
      <c r="B158" s="162"/>
      <c r="C158" s="162"/>
      <c r="D158" s="163"/>
      <c r="E158" s="164"/>
      <c r="F158" s="163"/>
      <c r="G158" s="163"/>
      <c r="H158" s="163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ht="12.75" customHeight="1" spans="1:26">
      <c r="A159" s="162"/>
      <c r="B159" s="162"/>
      <c r="C159" s="162"/>
      <c r="D159" s="163"/>
      <c r="E159" s="164"/>
      <c r="F159" s="163"/>
      <c r="G159" s="163"/>
      <c r="H159" s="163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ht="12.75" customHeight="1" spans="1:26">
      <c r="A160" s="162"/>
      <c r="B160" s="162"/>
      <c r="C160" s="162"/>
      <c r="D160" s="163"/>
      <c r="E160" s="164"/>
      <c r="F160" s="163"/>
      <c r="G160" s="163"/>
      <c r="H160" s="163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ht="12.75" customHeight="1" spans="1:26">
      <c r="A161" s="162"/>
      <c r="B161" s="162"/>
      <c r="C161" s="162"/>
      <c r="D161" s="163"/>
      <c r="E161" s="164"/>
      <c r="F161" s="163"/>
      <c r="G161" s="163"/>
      <c r="H161" s="163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ht="12.75" customHeight="1" spans="1:26">
      <c r="A162" s="162"/>
      <c r="B162" s="162"/>
      <c r="C162" s="162"/>
      <c r="D162" s="163"/>
      <c r="E162" s="164"/>
      <c r="F162" s="163"/>
      <c r="G162" s="163"/>
      <c r="H162" s="163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ht="12.75" customHeight="1" spans="1:26">
      <c r="A163" s="162"/>
      <c r="B163" s="162"/>
      <c r="C163" s="162"/>
      <c r="D163" s="163"/>
      <c r="E163" s="164"/>
      <c r="F163" s="163"/>
      <c r="G163" s="163"/>
      <c r="H163" s="163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ht="12.75" customHeight="1" spans="1:26">
      <c r="A164" s="162"/>
      <c r="B164" s="162"/>
      <c r="C164" s="162"/>
      <c r="D164" s="163"/>
      <c r="E164" s="164"/>
      <c r="F164" s="163"/>
      <c r="G164" s="163"/>
      <c r="H164" s="163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ht="12.75" customHeight="1" spans="1:26">
      <c r="A165" s="162"/>
      <c r="B165" s="162"/>
      <c r="C165" s="162"/>
      <c r="D165" s="163"/>
      <c r="E165" s="164"/>
      <c r="F165" s="163"/>
      <c r="G165" s="163"/>
      <c r="H165" s="163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ht="12.75" customHeight="1" spans="1:26">
      <c r="A166" s="162"/>
      <c r="B166" s="162"/>
      <c r="C166" s="162"/>
      <c r="D166" s="163"/>
      <c r="E166" s="164"/>
      <c r="F166" s="163"/>
      <c r="G166" s="163"/>
      <c r="H166" s="163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ht="12.75" customHeight="1" spans="1:26">
      <c r="A167" s="162"/>
      <c r="B167" s="162"/>
      <c r="C167" s="162"/>
      <c r="D167" s="163"/>
      <c r="E167" s="164"/>
      <c r="F167" s="163"/>
      <c r="G167" s="163"/>
      <c r="H167" s="163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ht="12.75" customHeight="1" spans="1:26">
      <c r="A168" s="162"/>
      <c r="B168" s="162"/>
      <c r="C168" s="162"/>
      <c r="D168" s="163"/>
      <c r="E168" s="164"/>
      <c r="F168" s="163"/>
      <c r="G168" s="163"/>
      <c r="H168" s="163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ht="12.75" customHeight="1" spans="1:26">
      <c r="A169" s="162"/>
      <c r="B169" s="162"/>
      <c r="C169" s="162"/>
      <c r="D169" s="163"/>
      <c r="E169" s="164"/>
      <c r="F169" s="163"/>
      <c r="G169" s="163"/>
      <c r="H169" s="163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ht="12.75" customHeight="1" spans="1:26">
      <c r="A170" s="162"/>
      <c r="B170" s="162"/>
      <c r="C170" s="162"/>
      <c r="D170" s="163"/>
      <c r="E170" s="164"/>
      <c r="F170" s="163"/>
      <c r="G170" s="163"/>
      <c r="H170" s="163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ht="12.75" customHeight="1" spans="1:26">
      <c r="A171" s="162"/>
      <c r="B171" s="162"/>
      <c r="C171" s="162"/>
      <c r="D171" s="163"/>
      <c r="E171" s="164"/>
      <c r="F171" s="163"/>
      <c r="G171" s="163"/>
      <c r="H171" s="163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ht="12.75" customHeight="1" spans="1:26">
      <c r="A172" s="162"/>
      <c r="B172" s="162"/>
      <c r="C172" s="162"/>
      <c r="D172" s="163"/>
      <c r="E172" s="164"/>
      <c r="F172" s="163"/>
      <c r="G172" s="163"/>
      <c r="H172" s="163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ht="12.75" customHeight="1" spans="1:26">
      <c r="A173" s="162"/>
      <c r="B173" s="162"/>
      <c r="C173" s="162"/>
      <c r="D173" s="163"/>
      <c r="E173" s="164"/>
      <c r="F173" s="163"/>
      <c r="G173" s="163"/>
      <c r="H173" s="163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ht="12.75" customHeight="1" spans="1:26">
      <c r="A174" s="162"/>
      <c r="B174" s="162"/>
      <c r="C174" s="162"/>
      <c r="D174" s="163"/>
      <c r="E174" s="164"/>
      <c r="F174" s="163"/>
      <c r="G174" s="163"/>
      <c r="H174" s="163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ht="12.75" customHeight="1" spans="1:26">
      <c r="A175" s="162"/>
      <c r="B175" s="162"/>
      <c r="C175" s="162"/>
      <c r="D175" s="163"/>
      <c r="E175" s="164"/>
      <c r="F175" s="163"/>
      <c r="G175" s="163"/>
      <c r="H175" s="163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ht="12.75" customHeight="1" spans="1:26">
      <c r="A176" s="162"/>
      <c r="B176" s="162"/>
      <c r="C176" s="162"/>
      <c r="D176" s="163"/>
      <c r="E176" s="164"/>
      <c r="F176" s="163"/>
      <c r="G176" s="163"/>
      <c r="H176" s="163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ht="12.75" customHeight="1" spans="1:26">
      <c r="A177" s="162"/>
      <c r="B177" s="162"/>
      <c r="C177" s="162"/>
      <c r="D177" s="163"/>
      <c r="E177" s="164"/>
      <c r="F177" s="163"/>
      <c r="G177" s="163"/>
      <c r="H177" s="163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ht="12.75" customHeight="1" spans="1:26">
      <c r="A178" s="162"/>
      <c r="B178" s="162"/>
      <c r="C178" s="162"/>
      <c r="D178" s="163"/>
      <c r="E178" s="164"/>
      <c r="F178" s="163"/>
      <c r="G178" s="163"/>
      <c r="H178" s="163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ht="12.75" customHeight="1" spans="1:26">
      <c r="A179" s="162"/>
      <c r="B179" s="162"/>
      <c r="C179" s="162"/>
      <c r="D179" s="163"/>
      <c r="E179" s="164"/>
      <c r="F179" s="163"/>
      <c r="G179" s="163"/>
      <c r="H179" s="163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ht="12.75" customHeight="1" spans="1:26">
      <c r="A180" s="162"/>
      <c r="B180" s="162"/>
      <c r="C180" s="162"/>
      <c r="D180" s="163"/>
      <c r="E180" s="164"/>
      <c r="F180" s="163"/>
      <c r="G180" s="163"/>
      <c r="H180" s="163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ht="12.75" customHeight="1" spans="1:26">
      <c r="A181" s="162"/>
      <c r="B181" s="162"/>
      <c r="C181" s="162"/>
      <c r="D181" s="163"/>
      <c r="E181" s="164"/>
      <c r="F181" s="163"/>
      <c r="G181" s="163"/>
      <c r="H181" s="163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ht="12.75" customHeight="1" spans="1:26">
      <c r="A182" s="162"/>
      <c r="B182" s="162"/>
      <c r="C182" s="162"/>
      <c r="D182" s="163"/>
      <c r="E182" s="164"/>
      <c r="F182" s="163"/>
      <c r="G182" s="163"/>
      <c r="H182" s="163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ht="12.75" customHeight="1" spans="1:26">
      <c r="A183" s="162"/>
      <c r="B183" s="162"/>
      <c r="C183" s="162"/>
      <c r="D183" s="163"/>
      <c r="E183" s="164"/>
      <c r="F183" s="163"/>
      <c r="G183" s="163"/>
      <c r="H183" s="163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ht="12.75" customHeight="1" spans="1:26">
      <c r="A184" s="162"/>
      <c r="B184" s="162"/>
      <c r="C184" s="162"/>
      <c r="D184" s="163"/>
      <c r="E184" s="164"/>
      <c r="F184" s="163"/>
      <c r="G184" s="163"/>
      <c r="H184" s="163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ht="12.75" customHeight="1" spans="1:26">
      <c r="A185" s="162"/>
      <c r="B185" s="162"/>
      <c r="C185" s="162"/>
      <c r="D185" s="163"/>
      <c r="E185" s="164"/>
      <c r="F185" s="163"/>
      <c r="G185" s="163"/>
      <c r="H185" s="163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ht="12.75" customHeight="1" spans="1:26">
      <c r="A186" s="162"/>
      <c r="B186" s="162"/>
      <c r="C186" s="162"/>
      <c r="D186" s="163"/>
      <c r="E186" s="164"/>
      <c r="F186" s="163"/>
      <c r="G186" s="163"/>
      <c r="H186" s="163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ht="12.75" customHeight="1" spans="1:26">
      <c r="A187" s="162"/>
      <c r="B187" s="162"/>
      <c r="C187" s="162"/>
      <c r="D187" s="163"/>
      <c r="E187" s="164"/>
      <c r="F187" s="163"/>
      <c r="G187" s="163"/>
      <c r="H187" s="163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ht="12.75" customHeight="1" spans="1:26">
      <c r="A188" s="162"/>
      <c r="B188" s="162"/>
      <c r="C188" s="162"/>
      <c r="D188" s="163"/>
      <c r="E188" s="164"/>
      <c r="F188" s="163"/>
      <c r="G188" s="163"/>
      <c r="H188" s="163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ht="12.75" customHeight="1" spans="1:26">
      <c r="A189" s="162"/>
      <c r="B189" s="162"/>
      <c r="C189" s="162"/>
      <c r="D189" s="163"/>
      <c r="E189" s="164"/>
      <c r="F189" s="163"/>
      <c r="G189" s="163"/>
      <c r="H189" s="163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ht="12.75" customHeight="1" spans="1:26">
      <c r="A190" s="162"/>
      <c r="B190" s="162"/>
      <c r="C190" s="162"/>
      <c r="D190" s="163"/>
      <c r="E190" s="164"/>
      <c r="F190" s="163"/>
      <c r="G190" s="163"/>
      <c r="H190" s="163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ht="12.75" customHeight="1" spans="1:26">
      <c r="A191" s="162"/>
      <c r="B191" s="162"/>
      <c r="C191" s="162"/>
      <c r="D191" s="163"/>
      <c r="E191" s="164"/>
      <c r="F191" s="163"/>
      <c r="G191" s="163"/>
      <c r="H191" s="163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ht="12.75" customHeight="1" spans="1:26">
      <c r="A192" s="162"/>
      <c r="B192" s="162"/>
      <c r="C192" s="162"/>
      <c r="D192" s="163"/>
      <c r="E192" s="164"/>
      <c r="F192" s="163"/>
      <c r="G192" s="163"/>
      <c r="H192" s="163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ht="12.75" customHeight="1" spans="1:26">
      <c r="A193" s="162"/>
      <c r="B193" s="162"/>
      <c r="C193" s="162"/>
      <c r="D193" s="163"/>
      <c r="E193" s="164"/>
      <c r="F193" s="163"/>
      <c r="G193" s="163"/>
      <c r="H193" s="163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ht="12.75" customHeight="1" spans="1:26">
      <c r="A194" s="162"/>
      <c r="B194" s="162"/>
      <c r="C194" s="162"/>
      <c r="D194" s="163"/>
      <c r="E194" s="164"/>
      <c r="F194" s="163"/>
      <c r="G194" s="163"/>
      <c r="H194" s="163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ht="12.75" customHeight="1" spans="1:26">
      <c r="A195" s="162"/>
      <c r="B195" s="162"/>
      <c r="C195" s="162"/>
      <c r="D195" s="163"/>
      <c r="E195" s="164"/>
      <c r="F195" s="163"/>
      <c r="G195" s="163"/>
      <c r="H195" s="163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ht="12.75" customHeight="1" spans="1:26">
      <c r="A196" s="162"/>
      <c r="B196" s="162"/>
      <c r="C196" s="162"/>
      <c r="D196" s="163"/>
      <c r="E196" s="164"/>
      <c r="F196" s="163"/>
      <c r="G196" s="163"/>
      <c r="H196" s="163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ht="12.75" customHeight="1" spans="1:26">
      <c r="A197" s="162"/>
      <c r="B197" s="162"/>
      <c r="C197" s="162"/>
      <c r="D197" s="163"/>
      <c r="E197" s="164"/>
      <c r="F197" s="163"/>
      <c r="G197" s="163"/>
      <c r="H197" s="163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ht="12.75" customHeight="1" spans="1:26">
      <c r="A198" s="162"/>
      <c r="B198" s="162"/>
      <c r="C198" s="162"/>
      <c r="D198" s="163"/>
      <c r="E198" s="164"/>
      <c r="F198" s="163"/>
      <c r="G198" s="163"/>
      <c r="H198" s="163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ht="12.75" customHeight="1" spans="1:26">
      <c r="A199" s="162"/>
      <c r="B199" s="162"/>
      <c r="C199" s="162"/>
      <c r="D199" s="163"/>
      <c r="E199" s="164"/>
      <c r="F199" s="163"/>
      <c r="G199" s="163"/>
      <c r="H199" s="163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ht="12.75" customHeight="1" spans="1:26">
      <c r="A200" s="162"/>
      <c r="B200" s="162"/>
      <c r="C200" s="162"/>
      <c r="D200" s="163"/>
      <c r="E200" s="164"/>
      <c r="F200" s="163"/>
      <c r="G200" s="163"/>
      <c r="H200" s="163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ht="12.75" customHeight="1" spans="1:26">
      <c r="A201" s="162"/>
      <c r="B201" s="162"/>
      <c r="C201" s="162"/>
      <c r="D201" s="163"/>
      <c r="E201" s="164"/>
      <c r="F201" s="163"/>
      <c r="G201" s="163"/>
      <c r="H201" s="163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ht="12.75" customHeight="1" spans="1:26">
      <c r="A202" s="162"/>
      <c r="B202" s="162"/>
      <c r="C202" s="162"/>
      <c r="D202" s="163"/>
      <c r="E202" s="164"/>
      <c r="F202" s="163"/>
      <c r="G202" s="163"/>
      <c r="H202" s="163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ht="12.75" customHeight="1" spans="1:26">
      <c r="A203" s="162"/>
      <c r="B203" s="162"/>
      <c r="C203" s="162"/>
      <c r="D203" s="163"/>
      <c r="E203" s="164"/>
      <c r="F203" s="163"/>
      <c r="G203" s="163"/>
      <c r="H203" s="163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ht="12.75" customHeight="1" spans="1:26">
      <c r="A204" s="162"/>
      <c r="B204" s="162"/>
      <c r="C204" s="162"/>
      <c r="D204" s="163"/>
      <c r="E204" s="164"/>
      <c r="F204" s="163"/>
      <c r="G204" s="163"/>
      <c r="H204" s="163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ht="12.75" customHeight="1" spans="1:26">
      <c r="A205" s="162"/>
      <c r="B205" s="162"/>
      <c r="C205" s="162"/>
      <c r="D205" s="163"/>
      <c r="E205" s="164"/>
      <c r="F205" s="163"/>
      <c r="G205" s="163"/>
      <c r="H205" s="163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ht="12.75" customHeight="1" spans="1:26">
      <c r="A206" s="162"/>
      <c r="B206" s="162"/>
      <c r="C206" s="162"/>
      <c r="D206" s="163"/>
      <c r="E206" s="164"/>
      <c r="F206" s="163"/>
      <c r="G206" s="163"/>
      <c r="H206" s="163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ht="12.75" customHeight="1" spans="1:26">
      <c r="A207" s="162"/>
      <c r="B207" s="162"/>
      <c r="C207" s="162"/>
      <c r="D207" s="163"/>
      <c r="E207" s="164"/>
      <c r="F207" s="163"/>
      <c r="G207" s="163"/>
      <c r="H207" s="163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ht="12.75" customHeight="1" spans="1:26">
      <c r="A208" s="162"/>
      <c r="B208" s="162"/>
      <c r="C208" s="162"/>
      <c r="D208" s="163"/>
      <c r="E208" s="164"/>
      <c r="F208" s="163"/>
      <c r="G208" s="163"/>
      <c r="H208" s="163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ht="12.75" customHeight="1" spans="1:26">
      <c r="A209" s="162"/>
      <c r="B209" s="162"/>
      <c r="C209" s="162"/>
      <c r="D209" s="163"/>
      <c r="E209" s="164"/>
      <c r="F209" s="163"/>
      <c r="G209" s="163"/>
      <c r="H209" s="163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ht="12.75" customHeight="1" spans="1:26">
      <c r="A210" s="162"/>
      <c r="B210" s="162"/>
      <c r="C210" s="162"/>
      <c r="D210" s="163"/>
      <c r="E210" s="164"/>
      <c r="F210" s="163"/>
      <c r="G210" s="163"/>
      <c r="H210" s="163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ht="12.75" customHeight="1" spans="1:26">
      <c r="A211" s="162"/>
      <c r="B211" s="162"/>
      <c r="C211" s="162"/>
      <c r="D211" s="163"/>
      <c r="E211" s="164"/>
      <c r="F211" s="163"/>
      <c r="G211" s="163"/>
      <c r="H211" s="163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ht="12.75" customHeight="1" spans="1:26">
      <c r="A212" s="162"/>
      <c r="B212" s="162"/>
      <c r="C212" s="162"/>
      <c r="D212" s="163"/>
      <c r="E212" s="164"/>
      <c r="F212" s="163"/>
      <c r="G212" s="163"/>
      <c r="H212" s="163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ht="12.75" customHeight="1" spans="1:26">
      <c r="A213" s="162"/>
      <c r="B213" s="162"/>
      <c r="C213" s="162"/>
      <c r="D213" s="163"/>
      <c r="E213" s="164"/>
      <c r="F213" s="163"/>
      <c r="G213" s="163"/>
      <c r="H213" s="163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ht="12.75" customHeight="1" spans="1:26">
      <c r="A214" s="162"/>
      <c r="B214" s="162"/>
      <c r="C214" s="162"/>
      <c r="D214" s="163"/>
      <c r="E214" s="164"/>
      <c r="F214" s="163"/>
      <c r="G214" s="163"/>
      <c r="H214" s="163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ht="12.75" customHeight="1" spans="1:26">
      <c r="A215" s="162"/>
      <c r="B215" s="162"/>
      <c r="C215" s="162"/>
      <c r="D215" s="163"/>
      <c r="E215" s="164"/>
      <c r="F215" s="163"/>
      <c r="G215" s="163"/>
      <c r="H215" s="163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ht="12.75" customHeight="1" spans="1:26">
      <c r="A216" s="162"/>
      <c r="B216" s="162"/>
      <c r="C216" s="162"/>
      <c r="D216" s="163"/>
      <c r="E216" s="164"/>
      <c r="F216" s="163"/>
      <c r="G216" s="163"/>
      <c r="H216" s="163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ht="12.75" customHeight="1" spans="1:26">
      <c r="A217" s="162"/>
      <c r="B217" s="162"/>
      <c r="C217" s="162"/>
      <c r="D217" s="163"/>
      <c r="E217" s="164"/>
      <c r="F217" s="163"/>
      <c r="G217" s="163"/>
      <c r="H217" s="163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ht="12.75" customHeight="1" spans="1:26">
      <c r="A218" s="162"/>
      <c r="B218" s="162"/>
      <c r="C218" s="162"/>
      <c r="D218" s="163"/>
      <c r="E218" s="164"/>
      <c r="F218" s="163"/>
      <c r="G218" s="163"/>
      <c r="H218" s="163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ht="12.75" customHeight="1" spans="1:26">
      <c r="A219" s="162"/>
      <c r="B219" s="162"/>
      <c r="C219" s="162"/>
      <c r="D219" s="163"/>
      <c r="E219" s="164"/>
      <c r="F219" s="163"/>
      <c r="G219" s="163"/>
      <c r="H219" s="163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ht="12.75" customHeight="1" spans="1:26">
      <c r="A220" s="162"/>
      <c r="B220" s="162"/>
      <c r="C220" s="162"/>
      <c r="D220" s="163"/>
      <c r="E220" s="164"/>
      <c r="F220" s="163"/>
      <c r="G220" s="163"/>
      <c r="H220" s="163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ht="12.75" customHeight="1" spans="1:26">
      <c r="A221" s="162"/>
      <c r="B221" s="162"/>
      <c r="C221" s="162"/>
      <c r="D221" s="163"/>
      <c r="E221" s="164"/>
      <c r="F221" s="163"/>
      <c r="G221" s="163"/>
      <c r="H221" s="163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ht="12.75" customHeight="1" spans="1:26">
      <c r="A222" s="162"/>
      <c r="B222" s="162"/>
      <c r="C222" s="162"/>
      <c r="D222" s="163"/>
      <c r="E222" s="164"/>
      <c r="F222" s="163"/>
      <c r="G222" s="163"/>
      <c r="H222" s="163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ht="12.75" customHeight="1" spans="1:26">
      <c r="A223" s="162"/>
      <c r="B223" s="162"/>
      <c r="C223" s="162"/>
      <c r="D223" s="163"/>
      <c r="E223" s="164"/>
      <c r="F223" s="163"/>
      <c r="G223" s="163"/>
      <c r="H223" s="163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ht="12.75" customHeight="1" spans="1:26">
      <c r="A224" s="162"/>
      <c r="B224" s="162"/>
      <c r="C224" s="162"/>
      <c r="D224" s="163"/>
      <c r="E224" s="164"/>
      <c r="F224" s="163"/>
      <c r="G224" s="163"/>
      <c r="H224" s="163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ht="12.75" customHeight="1" spans="1:26">
      <c r="A225" s="162"/>
      <c r="B225" s="162"/>
      <c r="C225" s="162"/>
      <c r="D225" s="163"/>
      <c r="E225" s="164"/>
      <c r="F225" s="163"/>
      <c r="G225" s="163"/>
      <c r="H225" s="163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ht="12.75" customHeight="1" spans="1:26">
      <c r="A226" s="162"/>
      <c r="B226" s="162"/>
      <c r="C226" s="162"/>
      <c r="D226" s="163"/>
      <c r="E226" s="164"/>
      <c r="F226" s="163"/>
      <c r="G226" s="163"/>
      <c r="H226" s="163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ht="12.75" customHeight="1" spans="1:26">
      <c r="A227" s="162"/>
      <c r="B227" s="162"/>
      <c r="C227" s="162"/>
      <c r="D227" s="163"/>
      <c r="E227" s="164"/>
      <c r="F227" s="163"/>
      <c r="G227" s="163"/>
      <c r="H227" s="163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ht="12.75" customHeight="1" spans="1:26">
      <c r="A228" s="162"/>
      <c r="B228" s="162"/>
      <c r="C228" s="162"/>
      <c r="D228" s="163"/>
      <c r="E228" s="164"/>
      <c r="F228" s="163"/>
      <c r="G228" s="163"/>
      <c r="H228" s="163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ht="12.75" customHeight="1" spans="1:26">
      <c r="A229" s="162"/>
      <c r="B229" s="162"/>
      <c r="C229" s="162"/>
      <c r="D229" s="163"/>
      <c r="E229" s="164"/>
      <c r="F229" s="163"/>
      <c r="G229" s="163"/>
      <c r="H229" s="163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ht="12.75" customHeight="1" spans="1:26">
      <c r="A230" s="162"/>
      <c r="B230" s="162"/>
      <c r="C230" s="162"/>
      <c r="D230" s="163"/>
      <c r="E230" s="164"/>
      <c r="F230" s="163"/>
      <c r="G230" s="163"/>
      <c r="H230" s="163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ht="12.75" customHeight="1" spans="1:26">
      <c r="A231" s="162"/>
      <c r="B231" s="162"/>
      <c r="C231" s="162"/>
      <c r="D231" s="163"/>
      <c r="E231" s="164"/>
      <c r="F231" s="163"/>
      <c r="G231" s="163"/>
      <c r="H231" s="163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ht="12.75" customHeight="1" spans="1:26">
      <c r="A232" s="162"/>
      <c r="B232" s="162"/>
      <c r="C232" s="162"/>
      <c r="D232" s="163"/>
      <c r="E232" s="164"/>
      <c r="F232" s="163"/>
      <c r="G232" s="163"/>
      <c r="H232" s="163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ht="12.75" customHeight="1" spans="1:26">
      <c r="A233" s="162"/>
      <c r="B233" s="162"/>
      <c r="C233" s="162"/>
      <c r="D233" s="163"/>
      <c r="E233" s="164"/>
      <c r="F233" s="163"/>
      <c r="G233" s="163"/>
      <c r="H233" s="163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ht="12.75" customHeight="1" spans="1:26">
      <c r="A234" s="162"/>
      <c r="B234" s="162"/>
      <c r="C234" s="162"/>
      <c r="D234" s="163"/>
      <c r="E234" s="164"/>
      <c r="F234" s="163"/>
      <c r="G234" s="163"/>
      <c r="H234" s="163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ht="12.75" customHeight="1" spans="1:26">
      <c r="A235" s="162"/>
      <c r="B235" s="162"/>
      <c r="C235" s="162"/>
      <c r="D235" s="163"/>
      <c r="E235" s="164"/>
      <c r="F235" s="163"/>
      <c r="G235" s="163"/>
      <c r="H235" s="163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ht="12.75" customHeight="1" spans="1:26">
      <c r="A236" s="162"/>
      <c r="B236" s="162"/>
      <c r="C236" s="162"/>
      <c r="D236" s="163"/>
      <c r="E236" s="164"/>
      <c r="F236" s="163"/>
      <c r="G236" s="163"/>
      <c r="H236" s="163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ht="12.75" customHeight="1" spans="1:26">
      <c r="A237" s="162"/>
      <c r="B237" s="162"/>
      <c r="C237" s="162"/>
      <c r="D237" s="163"/>
      <c r="E237" s="164"/>
      <c r="F237" s="163"/>
      <c r="G237" s="163"/>
      <c r="H237" s="163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ht="12.75" customHeight="1" spans="1:26">
      <c r="A238" s="162"/>
      <c r="B238" s="162"/>
      <c r="C238" s="162"/>
      <c r="D238" s="163"/>
      <c r="E238" s="164"/>
      <c r="F238" s="163"/>
      <c r="G238" s="163"/>
      <c r="H238" s="163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4:D4"/>
    <mergeCell ref="E4:H4"/>
    <mergeCell ref="A5:D5"/>
    <mergeCell ref="E5:H5"/>
    <mergeCell ref="A6:D6"/>
    <mergeCell ref="A7:D7"/>
    <mergeCell ref="E7:H7"/>
  </mergeCells>
  <pageMargins left="0.7" right="0.7" top="0.75" bottom="0.75" header="0" footer="0"/>
  <pageSetup paperSize="1" orientation="landscape"/>
  <headerFooter>
    <oddFooter>&amp;L 02ae-BM/PM/HDCV/FSOFT v2/1&amp;CInternal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15.3813559322034" customWidth="1"/>
    <col min="2" max="2" width="26.6271186440678" customWidth="1"/>
    <col min="3" max="3" width="12.1271186440678" customWidth="1"/>
    <col min="4" max="4" width="9.6271186440678" customWidth="1"/>
    <col min="5" max="5" width="9.88135593220339" customWidth="1"/>
    <col min="6" max="8" width="5.1271186440678" customWidth="1"/>
    <col min="9" max="9" width="21" customWidth="1"/>
    <col min="10" max="26" width="10" customWidth="1"/>
  </cols>
  <sheetData>
    <row r="1" ht="12.75" customHeight="1" spans="1:26">
      <c r="A1" s="132"/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ht="25.5" customHeight="1" spans="1:26">
      <c r="A2" s="133" t="s">
        <v>247</v>
      </c>
      <c r="B2" s="134"/>
      <c r="C2" s="134"/>
      <c r="D2" s="134"/>
      <c r="E2" s="134"/>
      <c r="F2" s="134"/>
      <c r="G2" s="134"/>
      <c r="H2" s="134"/>
      <c r="I2" s="134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ht="14.25" customHeight="1" spans="1:26">
      <c r="A3" s="135"/>
      <c r="B3" s="132"/>
      <c r="C3" s="132"/>
      <c r="D3" s="132"/>
      <c r="E3" s="132"/>
      <c r="F3" s="132"/>
      <c r="G3" s="132"/>
      <c r="H3" s="132"/>
      <c r="I3" s="136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ht="13.5" customHeight="1" spans="1:26">
      <c r="A4" s="137" t="s">
        <v>46</v>
      </c>
      <c r="B4" s="138" t="str">
        <f>Cover!B4</f>
        <v> AI-powered Shared Business Space Platform with Time-based Subleasing</v>
      </c>
      <c r="C4" s="15"/>
      <c r="D4" s="139" t="s">
        <v>48</v>
      </c>
      <c r="E4" s="15"/>
      <c r="F4" s="140" t="s">
        <v>49</v>
      </c>
      <c r="G4" s="20"/>
      <c r="H4" s="20"/>
      <c r="I4" s="15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ht="13.5" customHeight="1" spans="1:26">
      <c r="A5" s="137" t="s">
        <v>50</v>
      </c>
      <c r="B5" s="138" t="str">
        <f>Cover!B5</f>
        <v>SU26SE038</v>
      </c>
      <c r="C5" s="15"/>
      <c r="D5" s="139" t="s">
        <v>248</v>
      </c>
      <c r="E5" s="15"/>
      <c r="F5" s="141"/>
      <c r="G5" s="20"/>
      <c r="H5" s="20"/>
      <c r="I5" s="15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ht="12.75" customHeight="1" spans="1:26">
      <c r="A6" s="142" t="s">
        <v>53</v>
      </c>
      <c r="B6" s="138" t="str">
        <f>B5&amp;"_"&amp;"Test Report"&amp;"_"&amp;"v1.0"</f>
        <v>SU26SE038_Test Report_v1.0</v>
      </c>
      <c r="C6" s="15"/>
      <c r="D6" s="139" t="s">
        <v>52</v>
      </c>
      <c r="E6" s="15"/>
      <c r="F6" s="143"/>
      <c r="G6" s="20"/>
      <c r="H6" s="20"/>
      <c r="I6" s="15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ht="15.75" customHeight="1" spans="1:26">
      <c r="A7" s="142" t="s">
        <v>249</v>
      </c>
      <c r="B7" s="144"/>
      <c r="C7" s="20"/>
      <c r="D7" s="20"/>
      <c r="E7" s="20"/>
      <c r="F7" s="20"/>
      <c r="G7" s="20"/>
      <c r="H7" s="20"/>
      <c r="I7" s="15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ht="14.25" customHeight="1" spans="1:26">
      <c r="A8" s="145"/>
      <c r="B8" s="146"/>
      <c r="C8" s="132"/>
      <c r="D8" s="132"/>
      <c r="E8" s="132"/>
      <c r="F8" s="132"/>
      <c r="G8" s="132"/>
      <c r="H8" s="132"/>
      <c r="I8" s="136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ht="12.75" customHeight="1" spans="1:26">
      <c r="A9" s="145"/>
      <c r="B9" s="146"/>
      <c r="C9" s="132"/>
      <c r="D9" s="132"/>
      <c r="E9" s="132"/>
      <c r="F9" s="132"/>
      <c r="G9" s="132"/>
      <c r="H9" s="132"/>
      <c r="I9" s="136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ht="12.75" customHeight="1" spans="1:26">
      <c r="A10" s="132"/>
      <c r="B10" s="132"/>
      <c r="C10" s="132"/>
      <c r="D10" s="132"/>
      <c r="E10" s="132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ht="14.25" customHeight="1" spans="1:26">
      <c r="A11" s="147" t="s">
        <v>69</v>
      </c>
      <c r="B11" s="148" t="s">
        <v>250</v>
      </c>
      <c r="C11" s="149" t="s">
        <v>251</v>
      </c>
      <c r="D11" s="148" t="s">
        <v>252</v>
      </c>
      <c r="E11" s="150" t="s">
        <v>253</v>
      </c>
      <c r="F11" s="150" t="s">
        <v>254</v>
      </c>
      <c r="G11" s="150" t="s">
        <v>62</v>
      </c>
      <c r="H11" s="150" t="s">
        <v>255</v>
      </c>
      <c r="I11" s="151" t="s">
        <v>256</v>
      </c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ht="12.75" customHeight="1" spans="1:26">
      <c r="A12" s="152">
        <v>1</v>
      </c>
      <c r="B12" s="153" t="s">
        <v>80</v>
      </c>
      <c r="C12" s="154">
        <f>AIToolService!A7</f>
        <v>6</v>
      </c>
      <c r="D12" s="154">
        <f>AIToolService!C7</f>
        <v>0</v>
      </c>
      <c r="E12" s="154">
        <f>AIToolService!F7</f>
        <v>0</v>
      </c>
      <c r="F12" s="154">
        <f>AIToolService!L7</f>
        <v>1</v>
      </c>
      <c r="G12" s="154">
        <f>AIToolService!M7</f>
        <v>4</v>
      </c>
      <c r="H12" s="154">
        <f>AIToolService!N7</f>
        <v>1</v>
      </c>
      <c r="I12" s="155">
        <f>AIToolService!O7</f>
        <v>6</v>
      </c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ht="12.75" customHeight="1" spans="1:26">
      <c r="A13" s="152">
        <v>2</v>
      </c>
      <c r="B13" s="153" t="s">
        <v>87</v>
      </c>
      <c r="C13" s="154">
        <f>AmenityService!A7</f>
        <v>6</v>
      </c>
      <c r="D13" s="154">
        <f>AmenityService!C7</f>
        <v>0</v>
      </c>
      <c r="E13" s="154">
        <f>AmenityService!F7</f>
        <v>0</v>
      </c>
      <c r="F13" s="154">
        <f>AmenityService!L7</f>
        <v>2</v>
      </c>
      <c r="G13" s="154">
        <f>AmenityService!M7</f>
        <v>2</v>
      </c>
      <c r="H13" s="154">
        <f>AmenityService!N7</f>
        <v>2</v>
      </c>
      <c r="I13" s="155">
        <f>AmenityService!O7</f>
        <v>6</v>
      </c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ht="12.75" customHeight="1" spans="1:26">
      <c r="A14" s="152">
        <v>3</v>
      </c>
      <c r="B14" s="153" t="s">
        <v>94</v>
      </c>
      <c r="C14" s="154">
        <f>'Auth-Login'!A7</f>
        <v>3</v>
      </c>
      <c r="D14" s="154">
        <f>'Auth-Login'!C7</f>
        <v>0</v>
      </c>
      <c r="E14" s="154">
        <f>'Auth-Login'!F7</f>
        <v>0</v>
      </c>
      <c r="F14" s="154">
        <f>'Auth-Login'!L7</f>
        <v>1</v>
      </c>
      <c r="G14" s="154">
        <f>'Auth-Login'!M7</f>
        <v>2</v>
      </c>
      <c r="H14" s="154">
        <f>'Auth-Login'!N7</f>
        <v>0</v>
      </c>
      <c r="I14" s="155">
        <f>'Auth-Login'!O7</f>
        <v>3</v>
      </c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ht="12.75" customHeight="1" spans="1:26">
      <c r="A15" s="152">
        <v>4</v>
      </c>
      <c r="B15" s="153" t="s">
        <v>100</v>
      </c>
      <c r="C15" s="154">
        <f>'Auth-Register'!A7</f>
        <v>3</v>
      </c>
      <c r="D15" s="154">
        <f>'Auth-Register'!C7</f>
        <v>0</v>
      </c>
      <c r="E15" s="154">
        <f>'Auth-Register'!F7</f>
        <v>0</v>
      </c>
      <c r="F15" s="154">
        <f>'Auth-Register'!L7</f>
        <v>1</v>
      </c>
      <c r="G15" s="154">
        <f>'Auth-Register'!M7</f>
        <v>1</v>
      </c>
      <c r="H15" s="154">
        <f>'Auth-Register'!N7</f>
        <v>1</v>
      </c>
      <c r="I15" s="155">
        <f>'Auth-Register'!O7</f>
        <v>3</v>
      </c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ht="12.75" customHeight="1" spans="1:26">
      <c r="A16" s="152">
        <v>5</v>
      </c>
      <c r="B16" s="153" t="s">
        <v>105</v>
      </c>
      <c r="C16" s="154">
        <f>'Auth-VerifyOtp'!A7</f>
        <v>2</v>
      </c>
      <c r="D16" s="154">
        <f>'Auth-VerifyOtp'!C7</f>
        <v>0</v>
      </c>
      <c r="E16" s="154">
        <f>'Auth-VerifyOtp'!F7</f>
        <v>0</v>
      </c>
      <c r="F16" s="154">
        <f>'Auth-VerifyOtp'!L7</f>
        <v>1</v>
      </c>
      <c r="G16" s="154">
        <f>'Auth-VerifyOtp'!M7</f>
        <v>1</v>
      </c>
      <c r="H16" s="154">
        <f>'Auth-VerifyOtp'!N7</f>
        <v>0</v>
      </c>
      <c r="I16" s="155">
        <f>'Auth-VerifyOtp'!O7</f>
        <v>2</v>
      </c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ht="12.75" customHeight="1" spans="1:26">
      <c r="A17" s="152">
        <v>6</v>
      </c>
      <c r="B17" s="153" t="s">
        <v>110</v>
      </c>
      <c r="C17" s="154">
        <f>'Auth-ResetPwd'!A7</f>
        <v>4</v>
      </c>
      <c r="D17" s="154">
        <f>'Auth-ResetPwd'!C7</f>
        <v>0</v>
      </c>
      <c r="E17" s="154">
        <f>'Auth-ResetPwd'!F7</f>
        <v>0</v>
      </c>
      <c r="F17" s="154">
        <f>'Auth-ResetPwd'!L7</f>
        <v>1</v>
      </c>
      <c r="G17" s="154">
        <f>'Auth-ResetPwd'!M7</f>
        <v>2</v>
      </c>
      <c r="H17" s="154">
        <f>'Auth-ResetPwd'!N7</f>
        <v>1</v>
      </c>
      <c r="I17" s="155">
        <f>'Auth-ResetPwd'!O7</f>
        <v>4</v>
      </c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ht="12.75" customHeight="1" spans="1:26">
      <c r="A18" s="152">
        <v>7</v>
      </c>
      <c r="B18" s="153" t="s">
        <v>115</v>
      </c>
      <c r="C18" s="154">
        <f>'Auth-ChangePwd'!A7</f>
        <v>2</v>
      </c>
      <c r="D18" s="154">
        <f>'Auth-ChangePwd'!C7</f>
        <v>0</v>
      </c>
      <c r="E18" s="154">
        <f>'Auth-ChangePwd'!F7</f>
        <v>0</v>
      </c>
      <c r="F18" s="154">
        <f>'Auth-ChangePwd'!L7</f>
        <v>1</v>
      </c>
      <c r="G18" s="154">
        <f>'Auth-ChangePwd'!M7</f>
        <v>1</v>
      </c>
      <c r="H18" s="154">
        <f>'Auth-ChangePwd'!N7</f>
        <v>0</v>
      </c>
      <c r="I18" s="155">
        <f>'Auth-ChangePwd'!O7</f>
        <v>2</v>
      </c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ht="12.75" customHeight="1" spans="1:26">
      <c r="A19" s="152">
        <v>8</v>
      </c>
      <c r="B19" s="153" t="s">
        <v>121</v>
      </c>
      <c r="C19" s="154">
        <f>'BookingNotif-Created'!A7</f>
        <v>3</v>
      </c>
      <c r="D19" s="154">
        <f>'BookingNotif-Created'!C7</f>
        <v>0</v>
      </c>
      <c r="E19" s="154">
        <f>'BookingNotif-Created'!F7</f>
        <v>0</v>
      </c>
      <c r="F19" s="154">
        <f>'BookingNotif-Created'!L7</f>
        <v>1</v>
      </c>
      <c r="G19" s="154">
        <f>'BookingNotif-Created'!M7</f>
        <v>2</v>
      </c>
      <c r="H19" s="154">
        <f>'BookingNotif-Created'!N7</f>
        <v>0</v>
      </c>
      <c r="I19" s="155">
        <f>'BookingNotif-Created'!O7</f>
        <v>3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ht="12.75" customHeight="1" spans="1:26">
      <c r="A20" s="152">
        <v>9</v>
      </c>
      <c r="B20" s="153" t="s">
        <v>127</v>
      </c>
      <c r="C20" s="154">
        <f>'BookingNotif-Approved'!A7</f>
        <v>2</v>
      </c>
      <c r="D20" s="154">
        <f>'BookingNotif-Approved'!C7</f>
        <v>0</v>
      </c>
      <c r="E20" s="154">
        <f>'BookingNotif-Approved'!F7</f>
        <v>0</v>
      </c>
      <c r="F20" s="154">
        <f>'BookingNotif-Approved'!L7</f>
        <v>1</v>
      </c>
      <c r="G20" s="154">
        <f>'BookingNotif-Approved'!M7</f>
        <v>1</v>
      </c>
      <c r="H20" s="154">
        <f>'BookingNotif-Approved'!N7</f>
        <v>0</v>
      </c>
      <c r="I20" s="155">
        <f>'BookingNotif-Approved'!O7</f>
        <v>2</v>
      </c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ht="12.75" customHeight="1" spans="1:26">
      <c r="A21" s="152">
        <v>10</v>
      </c>
      <c r="B21" s="153" t="s">
        <v>133</v>
      </c>
      <c r="C21" s="154">
        <f>'Conv-GetOrCreate'!A7</f>
        <v>3</v>
      </c>
      <c r="D21" s="154">
        <f>'Conv-GetOrCreate'!C7</f>
        <v>0</v>
      </c>
      <c r="E21" s="154">
        <f>'Conv-GetOrCreate'!F7</f>
        <v>0</v>
      </c>
      <c r="F21" s="154">
        <f>'Conv-GetOrCreate'!L7</f>
        <v>2</v>
      </c>
      <c r="G21" s="154">
        <f>'Conv-GetOrCreate'!M7</f>
        <v>1</v>
      </c>
      <c r="H21" s="154">
        <f>'Conv-GetOrCreate'!N7</f>
        <v>0</v>
      </c>
      <c r="I21" s="155">
        <f>'Conv-GetOrCreate'!O7</f>
        <v>3</v>
      </c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ht="12.75" customHeight="1" spans="1:26">
      <c r="A22" s="152">
        <v>11</v>
      </c>
      <c r="B22" s="153" t="s">
        <v>139</v>
      </c>
      <c r="C22" s="154">
        <f>'Conv-Query'!A7</f>
        <v>3</v>
      </c>
      <c r="D22" s="154">
        <f>'Conv-Query'!C7</f>
        <v>0</v>
      </c>
      <c r="E22" s="154">
        <f>'Conv-Query'!F7</f>
        <v>0</v>
      </c>
      <c r="F22" s="154">
        <f>'Conv-Query'!L7</f>
        <v>1</v>
      </c>
      <c r="G22" s="154">
        <f>'Conv-Query'!M7</f>
        <v>2</v>
      </c>
      <c r="H22" s="154">
        <f>'Conv-Query'!N7</f>
        <v>0</v>
      </c>
      <c r="I22" s="155">
        <f>'Conv-Query'!O7</f>
        <v>3</v>
      </c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ht="12.75" customHeight="1" spans="1:26">
      <c r="A23" s="152">
        <v>12</v>
      </c>
      <c r="B23" s="153" t="s">
        <v>145</v>
      </c>
      <c r="C23" s="154">
        <f>'Dashboard-Stats'!A7</f>
        <v>2</v>
      </c>
      <c r="D23" s="154">
        <f>'Dashboard-Stats'!C7</f>
        <v>0</v>
      </c>
      <c r="E23" s="154">
        <f>'Dashboard-Stats'!F7</f>
        <v>0</v>
      </c>
      <c r="F23" s="154">
        <f>'Dashboard-Stats'!L7</f>
        <v>1</v>
      </c>
      <c r="G23" s="154">
        <f>'Dashboard-Stats'!M7</f>
        <v>1</v>
      </c>
      <c r="H23" s="154">
        <f>'Dashboard-Stats'!N7</f>
        <v>0</v>
      </c>
      <c r="I23" s="155">
        <f>'Dashboard-Stats'!O7</f>
        <v>2</v>
      </c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ht="12.75" customHeight="1" spans="1:26">
      <c r="A24" s="152">
        <v>13</v>
      </c>
      <c r="B24" s="153" t="s">
        <v>151</v>
      </c>
      <c r="C24" s="154">
        <f>'Dashboard-Listing'!A7</f>
        <v>2</v>
      </c>
      <c r="D24" s="154">
        <f>'Dashboard-Listing'!C7</f>
        <v>1</v>
      </c>
      <c r="E24" s="154">
        <f>'Dashboard-Listing'!F7</f>
        <v>0</v>
      </c>
      <c r="F24" s="154">
        <f>'Dashboard-Listing'!L7</f>
        <v>1</v>
      </c>
      <c r="G24" s="154">
        <f>'Dashboard-Listing'!M7</f>
        <v>2</v>
      </c>
      <c r="H24" s="154">
        <f>'Dashboard-Listing'!N7</f>
        <v>0</v>
      </c>
      <c r="I24" s="155">
        <f>'Dashboard-Listing'!O7</f>
        <v>3</v>
      </c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ht="12.75" customHeight="1" spans="1:26">
      <c r="A25" s="152">
        <v>14</v>
      </c>
      <c r="B25" s="153" t="s">
        <v>157</v>
      </c>
      <c r="C25" s="154">
        <f>'DataSeeder-Admin'!A7</f>
        <v>3</v>
      </c>
      <c r="D25" s="154">
        <f>'DataSeeder-Admin'!C7</f>
        <v>0</v>
      </c>
      <c r="E25" s="154">
        <f>'DataSeeder-Admin'!F7</f>
        <v>0</v>
      </c>
      <c r="F25" s="154">
        <f>'DataSeeder-Admin'!L7</f>
        <v>2</v>
      </c>
      <c r="G25" s="154">
        <f>'DataSeeder-Admin'!M7</f>
        <v>0</v>
      </c>
      <c r="H25" s="154">
        <f>'DataSeeder-Admin'!N7</f>
        <v>1</v>
      </c>
      <c r="I25" s="155">
        <f>'DataSeeder-Admin'!O7</f>
        <v>3</v>
      </c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ht="12.75" customHeight="1" spans="1:26">
      <c r="A26" s="152">
        <v>15</v>
      </c>
      <c r="B26" s="153" t="s">
        <v>164</v>
      </c>
      <c r="C26" s="154">
        <f>SUM('Contract-CRUD-1'!A7,'Contract-CRUD-2'!A7)</f>
        <v>18</v>
      </c>
      <c r="D26" s="154">
        <f>SUM('Contract-CRUD-1'!C7,'Contract-CRUD-2'!C7)</f>
        <v>2</v>
      </c>
      <c r="E26" s="154">
        <f>SUM('Contract-CRUD-1'!F7,'Contract-CRUD-2'!F7)</f>
        <v>0</v>
      </c>
      <c r="F26" s="154">
        <f>SUM('Contract-CRUD-1'!L7,'Contract-CRUD-2'!L7)</f>
        <v>6</v>
      </c>
      <c r="G26" s="154">
        <f>SUM('Contract-CRUD-1'!M7,'Contract-CRUD-2'!M7)</f>
        <v>11</v>
      </c>
      <c r="H26" s="154">
        <f>SUM('Contract-CRUD-1'!N7,'Contract-CRUD-2'!N7)</f>
        <v>3</v>
      </c>
      <c r="I26" s="155">
        <f>SUM('Contract-CRUD-1'!O7,'Contract-CRUD-2'!O7)</f>
        <v>20</v>
      </c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ht="12.75" customHeight="1" spans="1:26">
      <c r="A27" s="152">
        <v>16</v>
      </c>
      <c r="B27" s="153" t="s">
        <v>170</v>
      </c>
      <c r="C27" s="154">
        <f>SUM('Contract-Signing-1'!A7,'Contract-Signing-2'!A7)</f>
        <v>19</v>
      </c>
      <c r="D27" s="154">
        <f>SUM('Contract-Signing-1'!C7,'Contract-Signing-2'!C7)</f>
        <v>1</v>
      </c>
      <c r="E27" s="154">
        <f>SUM('Contract-Signing-1'!F7,'Contract-Signing-2'!F7)</f>
        <v>0</v>
      </c>
      <c r="F27" s="154">
        <f>SUM('Contract-Signing-1'!L7,'Contract-Signing-2'!L7)</f>
        <v>6</v>
      </c>
      <c r="G27" s="154">
        <f>SUM('Contract-Signing-1'!M7,'Contract-Signing-2'!M7)</f>
        <v>12</v>
      </c>
      <c r="H27" s="154">
        <f>SUM('Contract-Signing-1'!N7,'Contract-Signing-2'!N7)</f>
        <v>2</v>
      </c>
      <c r="I27" s="155">
        <f>SUM('Contract-Signing-1'!O7,'Contract-Signing-2'!O7)</f>
        <v>20</v>
      </c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ht="12.75" customHeight="1" spans="1:26">
      <c r="A28" s="152">
        <v>17</v>
      </c>
      <c r="B28" s="153" t="s">
        <v>175</v>
      </c>
      <c r="C28" s="154">
        <f>'Contract-Share'!A7</f>
        <v>5</v>
      </c>
      <c r="D28" s="154">
        <f>'Contract-Share'!C7</f>
        <v>0</v>
      </c>
      <c r="E28" s="154">
        <f>'Contract-Share'!F7</f>
        <v>0</v>
      </c>
      <c r="F28" s="154">
        <f>'Contract-Share'!L7</f>
        <v>1</v>
      </c>
      <c r="G28" s="154">
        <f>'Contract-Share'!M7</f>
        <v>4</v>
      </c>
      <c r="H28" s="154">
        <f>'Contract-Share'!N7</f>
        <v>0</v>
      </c>
      <c r="I28" s="155">
        <f>'Contract-Share'!O7</f>
        <v>5</v>
      </c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ht="12.75" customHeight="1" spans="1:26">
      <c r="A29" s="152">
        <v>18</v>
      </c>
      <c r="B29" s="153" t="s">
        <v>180</v>
      </c>
      <c r="C29" s="154">
        <f>'Contract-Calendar'!A7</f>
        <v>2</v>
      </c>
      <c r="D29" s="154">
        <f>'Contract-Calendar'!C7</f>
        <v>0</v>
      </c>
      <c r="E29" s="154">
        <f>'Contract-Calendar'!F7</f>
        <v>0</v>
      </c>
      <c r="F29" s="154">
        <f>'Contract-Calendar'!L7</f>
        <v>1</v>
      </c>
      <c r="G29" s="154">
        <f>'Contract-Calendar'!M7</f>
        <v>0</v>
      </c>
      <c r="H29" s="154">
        <f>'Contract-Calendar'!N7</f>
        <v>1</v>
      </c>
      <c r="I29" s="155">
        <f>'Contract-Calendar'!O7</f>
        <v>2</v>
      </c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ht="12.75" customHeight="1" spans="1:26">
      <c r="A30" s="152">
        <v>19</v>
      </c>
      <c r="B30" s="153" t="s">
        <v>186</v>
      </c>
      <c r="C30" s="154">
        <f>SUM('Listing-CRUD-1'!A7,'Listing-CRUD-2'!A7)</f>
        <v>25</v>
      </c>
      <c r="D30" s="154">
        <f>SUM('Listing-CRUD-1'!C7,'Listing-CRUD-2'!C7)</f>
        <v>4</v>
      </c>
      <c r="E30" s="154">
        <f>SUM('Listing-CRUD-1'!F7,'Listing-CRUD-2'!F7)</f>
        <v>0</v>
      </c>
      <c r="F30" s="154">
        <f>SUM('Listing-CRUD-1'!L7,'Listing-CRUD-2'!L7)</f>
        <v>10</v>
      </c>
      <c r="G30" s="154">
        <f>SUM('Listing-CRUD-1'!M7,'Listing-CRUD-2'!M7)</f>
        <v>14</v>
      </c>
      <c r="H30" s="154">
        <f>SUM('Listing-CRUD-1'!N7,'Listing-CRUD-2'!N7)</f>
        <v>5</v>
      </c>
      <c r="I30" s="155">
        <f>SUM('Listing-CRUD-1'!O7,'Listing-CRUD-2'!O7)</f>
        <v>29</v>
      </c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ht="12.75" customHeight="1" spans="1:26">
      <c r="A31" s="152">
        <v>20</v>
      </c>
      <c r="B31" s="153" t="s">
        <v>192</v>
      </c>
      <c r="C31" s="154">
        <f>'Listing-Query'!A7</f>
        <v>9</v>
      </c>
      <c r="D31" s="154">
        <f>'Listing-Query'!C7</f>
        <v>0</v>
      </c>
      <c r="E31" s="154">
        <f>'Listing-Query'!F7</f>
        <v>0</v>
      </c>
      <c r="F31" s="154">
        <f>'Listing-Query'!L7</f>
        <v>3</v>
      </c>
      <c r="G31" s="154">
        <f>'Listing-Query'!M7</f>
        <v>4</v>
      </c>
      <c r="H31" s="154">
        <f>'Listing-Query'!N7</f>
        <v>2</v>
      </c>
      <c r="I31" s="155">
        <f>'Listing-Query'!O7</f>
        <v>9</v>
      </c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ht="12.75" customHeight="1" spans="1:26">
      <c r="A32" s="152">
        <v>21</v>
      </c>
      <c r="B32" s="153" t="s">
        <v>197</v>
      </c>
      <c r="C32" s="154">
        <f>'Listing-Report'!A7</f>
        <v>9</v>
      </c>
      <c r="D32" s="154">
        <f>'Listing-Report'!C7</f>
        <v>0</v>
      </c>
      <c r="E32" s="154">
        <f>'Listing-Report'!F7</f>
        <v>0</v>
      </c>
      <c r="F32" s="154">
        <f>'Listing-Report'!L7</f>
        <v>5</v>
      </c>
      <c r="G32" s="154">
        <f>'Listing-Report'!M7</f>
        <v>2</v>
      </c>
      <c r="H32" s="154">
        <f>'Listing-Report'!N7</f>
        <v>2</v>
      </c>
      <c r="I32" s="155">
        <f>'Listing-Report'!O7</f>
        <v>9</v>
      </c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ht="12.75" customHeight="1" spans="1:26">
      <c r="A33" s="152">
        <v>22</v>
      </c>
      <c r="B33" s="153" t="s">
        <v>202</v>
      </c>
      <c r="C33" s="154">
        <f>SUM('Listing-Share-1'!A7,'Listing-Share-2'!A7)</f>
        <v>17</v>
      </c>
      <c r="D33" s="154">
        <f>SUM('Listing-Share-1'!C7,'Listing-Share-2'!C7)</f>
        <v>1</v>
      </c>
      <c r="E33" s="154">
        <f>SUM('Listing-Share-1'!F7,'Listing-Share-2'!F7)</f>
        <v>0</v>
      </c>
      <c r="F33" s="154">
        <f>SUM('Listing-Share-1'!L7,'Listing-Share-2'!L7)</f>
        <v>5</v>
      </c>
      <c r="G33" s="154">
        <f>SUM('Listing-Share-1'!M7,'Listing-Share-2'!M7)</f>
        <v>9</v>
      </c>
      <c r="H33" s="154">
        <f>SUM('Listing-Share-1'!N7,'Listing-Share-2'!N7)</f>
        <v>4</v>
      </c>
      <c r="I33" s="155">
        <f>SUM('Listing-Share-1'!O7,'Listing-Share-2'!O7)</f>
        <v>18</v>
      </c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ht="12.75" customHeight="1" spans="1:26">
      <c r="A34" s="152">
        <v>23</v>
      </c>
      <c r="B34" s="153" t="s">
        <v>208</v>
      </c>
      <c r="C34" s="154">
        <f>WalletService!A7</f>
        <v>14</v>
      </c>
      <c r="D34" s="154">
        <f>WalletService!C7</f>
        <v>0</v>
      </c>
      <c r="E34" s="154">
        <f>WalletService!F7</f>
        <v>0</v>
      </c>
      <c r="F34" s="154">
        <f>WalletService!L7</f>
        <v>4</v>
      </c>
      <c r="G34" s="154">
        <f>WalletService!M7</f>
        <v>9</v>
      </c>
      <c r="H34" s="154">
        <f>WalletService!N7</f>
        <v>1</v>
      </c>
      <c r="I34" s="155">
        <f>WalletService!O7</f>
        <v>14</v>
      </c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ht="12.75" customHeight="1" spans="1:26">
      <c r="A35" s="152">
        <v>24</v>
      </c>
      <c r="B35" s="153" t="s">
        <v>215</v>
      </c>
      <c r="C35" s="154">
        <f>PrimaryBooking!A7</f>
        <v>14</v>
      </c>
      <c r="D35" s="154">
        <f>PrimaryBooking!C7</f>
        <v>0</v>
      </c>
      <c r="E35" s="154">
        <f>PrimaryBooking!F7</f>
        <v>0</v>
      </c>
      <c r="F35" s="154">
        <f>PrimaryBooking!L7</f>
        <v>3</v>
      </c>
      <c r="G35" s="154">
        <f>PrimaryBooking!M7</f>
        <v>9</v>
      </c>
      <c r="H35" s="154">
        <f>PrimaryBooking!N7</f>
        <v>2</v>
      </c>
      <c r="I35" s="155">
        <f>PrimaryBooking!O7</f>
        <v>14</v>
      </c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ht="12.75" customHeight="1" spans="1:26">
      <c r="A36" s="152">
        <v>25</v>
      </c>
      <c r="B36" s="153" t="s">
        <v>222</v>
      </c>
      <c r="C36" s="154">
        <f>ReviewService!A7</f>
        <v>13</v>
      </c>
      <c r="D36" s="154">
        <f>ReviewService!C7</f>
        <v>0</v>
      </c>
      <c r="E36" s="154">
        <f>ReviewService!F7</f>
        <v>0</v>
      </c>
      <c r="F36" s="154">
        <f>ReviewService!L7</f>
        <v>5</v>
      </c>
      <c r="G36" s="154">
        <f>ReviewService!M7</f>
        <v>7</v>
      </c>
      <c r="H36" s="154">
        <f>ReviewService!N7</f>
        <v>1</v>
      </c>
      <c r="I36" s="155">
        <f>ReviewService!O7</f>
        <v>13</v>
      </c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ht="12.75" customHeight="1" spans="1:26">
      <c r="A37" s="152">
        <v>26</v>
      </c>
      <c r="B37" s="153" t="s">
        <v>229</v>
      </c>
      <c r="C37" s="154">
        <f>MessageService!A7</f>
        <v>5</v>
      </c>
      <c r="D37" s="154">
        <f>MessageService!C7</f>
        <v>0</v>
      </c>
      <c r="E37" s="154">
        <f>MessageService!F7</f>
        <v>0</v>
      </c>
      <c r="F37" s="154">
        <f>MessageService!L7</f>
        <v>3</v>
      </c>
      <c r="G37" s="154">
        <f>MessageService!M7</f>
        <v>1</v>
      </c>
      <c r="H37" s="154">
        <f>MessageService!N7</f>
        <v>1</v>
      </c>
      <c r="I37" s="155">
        <f>MessageService!O7</f>
        <v>5</v>
      </c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ht="12.75" customHeight="1" spans="1:26">
      <c r="A38" s="152">
        <v>27</v>
      </c>
      <c r="B38" s="153" t="s">
        <v>236</v>
      </c>
      <c r="C38" s="154">
        <f>FavoriteListService!A7</f>
        <v>7</v>
      </c>
      <c r="D38" s="154">
        <f>FavoriteListService!C7</f>
        <v>0</v>
      </c>
      <c r="E38" s="154">
        <f>FavoriteListService!F7</f>
        <v>0</v>
      </c>
      <c r="F38" s="154">
        <f>FavoriteListService!L7</f>
        <v>3</v>
      </c>
      <c r="G38" s="154">
        <f>FavoriteListService!M7</f>
        <v>4</v>
      </c>
      <c r="H38" s="154">
        <f>FavoriteListService!N7</f>
        <v>0</v>
      </c>
      <c r="I38" s="155">
        <f>FavoriteListService!O7</f>
        <v>7</v>
      </c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ht="12.75" customHeight="1" spans="1:26">
      <c r="A39" s="152">
        <v>28</v>
      </c>
      <c r="B39" s="153" t="s">
        <v>243</v>
      </c>
      <c r="C39" s="154">
        <f>TransactionService!A7</f>
        <v>5</v>
      </c>
      <c r="D39" s="154">
        <f>TransactionService!C7</f>
        <v>0</v>
      </c>
      <c r="E39" s="154">
        <f>TransactionService!F7</f>
        <v>0</v>
      </c>
      <c r="F39" s="154">
        <f>TransactionService!L7</f>
        <v>1</v>
      </c>
      <c r="G39" s="154">
        <f>TransactionService!M7</f>
        <v>3</v>
      </c>
      <c r="H39" s="154">
        <f>TransactionService!N7</f>
        <v>1</v>
      </c>
      <c r="I39" s="155">
        <f>TransactionService!O7</f>
        <v>5</v>
      </c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ht="13.5" customHeight="1" spans="1:26">
      <c r="A40" s="156"/>
      <c r="B40" s="157" t="s">
        <v>257</v>
      </c>
      <c r="C40" s="158">
        <f t="shared" ref="C40:I40" si="0">SUM(C12:C39)</f>
        <v>206</v>
      </c>
      <c r="D40" s="158">
        <f t="shared" si="0"/>
        <v>9</v>
      </c>
      <c r="E40" s="158">
        <f t="shared" si="0"/>
        <v>0</v>
      </c>
      <c r="F40" s="158">
        <f t="shared" si="0"/>
        <v>73</v>
      </c>
      <c r="G40" s="158">
        <f t="shared" si="0"/>
        <v>111</v>
      </c>
      <c r="H40" s="158">
        <f t="shared" si="0"/>
        <v>31</v>
      </c>
      <c r="I40" s="158">
        <f t="shared" si="0"/>
        <v>215</v>
      </c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ht="12.75" customHeight="1" spans="1:26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ht="12.75" customHeight="1" spans="1:26">
      <c r="A42" s="132"/>
      <c r="B42" s="159" t="s">
        <v>258</v>
      </c>
      <c r="C42" s="132"/>
      <c r="D42" s="160">
        <f>(C40+D40)*100/(I40)</f>
        <v>100</v>
      </c>
      <c r="E42" s="132" t="s">
        <v>259</v>
      </c>
      <c r="F42" s="132"/>
      <c r="G42" s="132"/>
      <c r="H42" s="132"/>
      <c r="I42" s="161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ht="12.75" customHeight="1" spans="1:26">
      <c r="A43" s="132"/>
      <c r="B43" s="159" t="s">
        <v>260</v>
      </c>
      <c r="C43" s="132"/>
      <c r="D43" s="160">
        <f>C40*100/(I40)</f>
        <v>95.8139534883721</v>
      </c>
      <c r="E43" s="132" t="s">
        <v>259</v>
      </c>
      <c r="F43" s="132"/>
      <c r="G43" s="132"/>
      <c r="H43" s="132"/>
      <c r="I43" s="161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ht="12.75" customHeight="1" spans="1:26">
      <c r="A44" s="132"/>
      <c r="B44" s="159" t="s">
        <v>261</v>
      </c>
      <c r="C44" s="132"/>
      <c r="D44" s="160">
        <f>F40*100/I40</f>
        <v>33.953488372093</v>
      </c>
      <c r="E44" s="132" t="s">
        <v>259</v>
      </c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ht="12.75" customHeight="1" spans="1:26">
      <c r="A45" s="132"/>
      <c r="B45" s="159" t="s">
        <v>262</v>
      </c>
      <c r="C45" s="132"/>
      <c r="D45" s="160">
        <f>G40*100/I40</f>
        <v>51.6279069767442</v>
      </c>
      <c r="E45" s="132" t="s">
        <v>259</v>
      </c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ht="12.75" customHeight="1" spans="1:26">
      <c r="A46" s="132"/>
      <c r="B46" s="159" t="s">
        <v>263</v>
      </c>
      <c r="C46" s="132"/>
      <c r="D46" s="160">
        <f>H40*100/I40</f>
        <v>14.4186046511628</v>
      </c>
      <c r="E46" s="132" t="s">
        <v>259</v>
      </c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2:I2"/>
    <mergeCell ref="B4:C4"/>
    <mergeCell ref="D4:E4"/>
    <mergeCell ref="F4:I4"/>
    <mergeCell ref="B5:C5"/>
    <mergeCell ref="D5:E5"/>
    <mergeCell ref="F5:I5"/>
    <mergeCell ref="B6:C6"/>
    <mergeCell ref="D6:E6"/>
    <mergeCell ref="F6:I6"/>
    <mergeCell ref="B7:I7"/>
  </mergeCells>
  <printOptions horizontalCentered="1"/>
  <pageMargins left="0.7" right="0.7" top="0.75" bottom="0.75" header="0" footer="0"/>
  <pageSetup paperSize="3" orientation="portrait"/>
  <headerFooter>
    <oddFooter>&amp;L 02ae-BM/PM/HDCV/FSOFT v2/1&amp;CInternal use&amp;R&amp;P/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8.1271186440678" customWidth="1"/>
    <col min="2" max="2" width="13.3813559322034" customWidth="1"/>
    <col min="3" max="3" width="10.8813559322034" customWidth="1"/>
    <col min="4" max="4" width="11.3813559322034" customWidth="1"/>
    <col min="5" max="5" width="1.88135593220339" hidden="1" customWidth="1"/>
    <col min="6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Functions!E11</f>
        <v>FUNC-AI-001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Functions!D11</f>
        <v>GenerateImageAsync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100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-11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271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COUNTIF(F47:HQ47,"P")</f>
        <v>0</v>
      </c>
      <c r="B7" s="33"/>
      <c r="C7" s="34">
        <f>COUNTIF(F47:HQ47,"F")</f>
        <v>0</v>
      </c>
      <c r="D7" s="35"/>
      <c r="E7" s="33"/>
      <c r="F7" s="34">
        <f>SUM(O7,-A7,-C7)</f>
        <v>15</v>
      </c>
      <c r="G7" s="35"/>
      <c r="H7" s="35"/>
      <c r="I7" s="35"/>
      <c r="J7" s="35"/>
      <c r="K7" s="33"/>
      <c r="L7" s="34">
        <f>COUNTIF(E46:HQ46,"N")</f>
        <v>0</v>
      </c>
      <c r="M7" s="34">
        <f>COUNTIF(E46:HQ46,"A")</f>
        <v>0</v>
      </c>
      <c r="N7" s="34">
        <f>COUNTIF(E46:HQ46,"B")</f>
        <v>0</v>
      </c>
      <c r="O7" s="34">
        <f>COUNTA(E9:HT9)</f>
        <v>15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5" customHeight="1" spans="1:26">
      <c r="A9" s="108"/>
      <c r="B9" s="109"/>
      <c r="C9" s="110"/>
      <c r="D9" s="111"/>
      <c r="E9" s="110"/>
      <c r="F9" s="112" t="s">
        <v>273</v>
      </c>
      <c r="G9" s="112" t="s">
        <v>274</v>
      </c>
      <c r="H9" s="112" t="s">
        <v>274</v>
      </c>
      <c r="I9" s="112" t="s">
        <v>274</v>
      </c>
      <c r="J9" s="112" t="s">
        <v>274</v>
      </c>
      <c r="K9" s="112" t="s">
        <v>274</v>
      </c>
      <c r="L9" s="112" t="s">
        <v>275</v>
      </c>
      <c r="M9" s="112" t="s">
        <v>276</v>
      </c>
      <c r="N9" s="112" t="s">
        <v>277</v>
      </c>
      <c r="O9" s="112" t="s">
        <v>278</v>
      </c>
      <c r="P9" s="112" t="s">
        <v>279</v>
      </c>
      <c r="Q9" s="112" t="s">
        <v>280</v>
      </c>
      <c r="R9" s="112" t="s">
        <v>281</v>
      </c>
      <c r="S9" s="112" t="s">
        <v>282</v>
      </c>
      <c r="T9" s="113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54" t="s">
        <v>285</v>
      </c>
      <c r="C10" s="55"/>
      <c r="D10" s="56"/>
      <c r="E10" s="114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6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/>
      <c r="E11" s="50"/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6"/>
      <c r="U11" s="3"/>
      <c r="V11" s="13"/>
      <c r="W11" s="3"/>
      <c r="X11" s="3"/>
      <c r="Y11" s="3"/>
      <c r="Z11" s="3"/>
    </row>
    <row r="12" ht="13.5" customHeight="1" spans="1:26">
      <c r="A12" s="53"/>
      <c r="B12" s="54"/>
      <c r="C12" s="55"/>
      <c r="D12" s="56"/>
      <c r="E12" s="50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6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/>
      <c r="E13" s="59"/>
      <c r="F13" s="115"/>
      <c r="G13" s="115"/>
      <c r="H13" s="115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6"/>
      <c r="U13" s="3"/>
      <c r="V13" s="3"/>
      <c r="W13" s="3"/>
      <c r="X13" s="3"/>
      <c r="Y13" s="3"/>
      <c r="Z13" s="3"/>
    </row>
    <row r="14" ht="13.5" customHeight="1" spans="1:26">
      <c r="A14" s="53"/>
      <c r="B14" s="54" t="s">
        <v>286</v>
      </c>
      <c r="C14" s="55"/>
      <c r="D14" s="56"/>
      <c r="E14" s="60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6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>
        <v>-2</v>
      </c>
      <c r="E15" s="60"/>
      <c r="F15" s="115" t="s">
        <v>287</v>
      </c>
      <c r="G15" s="115"/>
      <c r="H15" s="115"/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6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>
        <v>-1</v>
      </c>
      <c r="E16" s="60"/>
      <c r="F16" s="115"/>
      <c r="G16" s="115"/>
      <c r="H16" s="115"/>
      <c r="I16" s="115"/>
      <c r="J16" s="115"/>
      <c r="K16" s="115"/>
      <c r="L16" s="115" t="s">
        <v>287</v>
      </c>
      <c r="M16" s="115"/>
      <c r="N16" s="115"/>
      <c r="O16" s="115"/>
      <c r="P16" s="115"/>
      <c r="Q16" s="115"/>
      <c r="R16" s="115"/>
      <c r="S16" s="115"/>
      <c r="T16" s="116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>
        <v>0</v>
      </c>
      <c r="E17" s="60"/>
      <c r="F17" s="115"/>
      <c r="G17" s="115" t="s">
        <v>287</v>
      </c>
      <c r="H17" s="115" t="s">
        <v>287</v>
      </c>
      <c r="I17" s="115" t="s">
        <v>287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6"/>
      <c r="U17" s="117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>
        <v>1</v>
      </c>
      <c r="E18" s="60"/>
      <c r="F18" s="115"/>
      <c r="G18" s="115"/>
      <c r="H18" s="115"/>
      <c r="I18" s="115"/>
      <c r="J18" s="115" t="s">
        <v>287</v>
      </c>
      <c r="K18" s="115" t="s">
        <v>287</v>
      </c>
      <c r="L18" s="115"/>
      <c r="M18" s="115"/>
      <c r="N18" s="115"/>
      <c r="O18" s="115"/>
      <c r="P18" s="115"/>
      <c r="Q18" s="115"/>
      <c r="R18" s="115"/>
      <c r="S18" s="115"/>
      <c r="T18" s="116"/>
      <c r="U18" s="117"/>
      <c r="V18" s="3"/>
      <c r="W18" s="3"/>
      <c r="X18" s="3"/>
      <c r="Y18" s="3"/>
      <c r="Z18" s="3"/>
    </row>
    <row r="19" ht="13.5" customHeight="1" spans="1:26">
      <c r="A19" s="53"/>
      <c r="B19" s="54" t="s">
        <v>288</v>
      </c>
      <c r="C19" s="55"/>
      <c r="D19" s="56"/>
      <c r="E19" s="60"/>
      <c r="F19" s="115"/>
      <c r="G19" s="115"/>
      <c r="H19" s="115"/>
      <c r="I19" s="115"/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6"/>
      <c r="U19" s="117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4">
        <v>0</v>
      </c>
      <c r="F20" s="115"/>
      <c r="G20" s="115" t="s">
        <v>287</v>
      </c>
      <c r="H20" s="115" t="s">
        <v>287</v>
      </c>
      <c r="I20" s="115"/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6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>
        <v>-2</v>
      </c>
      <c r="E21" s="60"/>
      <c r="F21" s="115"/>
      <c r="G21" s="115"/>
      <c r="H21" s="115"/>
      <c r="I21" s="115"/>
      <c r="J21" s="115" t="s">
        <v>287</v>
      </c>
      <c r="K21" s="115" t="s">
        <v>287</v>
      </c>
      <c r="L21" s="115" t="s">
        <v>287</v>
      </c>
      <c r="M21" s="115"/>
      <c r="N21" s="115"/>
      <c r="O21" s="115"/>
      <c r="P21" s="115"/>
      <c r="Q21" s="115"/>
      <c r="R21" s="115"/>
      <c r="S21" s="115"/>
      <c r="T21" s="116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>
        <v>2</v>
      </c>
      <c r="E22" s="60"/>
      <c r="F22" s="115"/>
      <c r="G22" s="115"/>
      <c r="H22" s="115"/>
      <c r="I22" s="115" t="s">
        <v>287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6"/>
      <c r="U22" s="3"/>
      <c r="V22" s="3"/>
      <c r="W22" s="3"/>
      <c r="X22" s="3"/>
      <c r="Y22" s="3"/>
      <c r="Z22" s="3"/>
    </row>
    <row r="23" ht="13.5" customHeight="1" spans="1:26">
      <c r="A23" s="53"/>
      <c r="B23" s="54" t="s">
        <v>289</v>
      </c>
      <c r="C23" s="55"/>
      <c r="D23" s="56"/>
      <c r="E23" s="60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6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>
        <v>0</v>
      </c>
      <c r="E24" s="60"/>
      <c r="F24" s="115"/>
      <c r="G24" s="115" t="s">
        <v>287</v>
      </c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6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>
        <v>1</v>
      </c>
      <c r="E25" s="60"/>
      <c r="F25" s="115"/>
      <c r="G25" s="115"/>
      <c r="H25" s="115" t="s">
        <v>287</v>
      </c>
      <c r="I25" s="115" t="s">
        <v>287</v>
      </c>
      <c r="J25" s="115" t="s">
        <v>287</v>
      </c>
      <c r="K25" s="115"/>
      <c r="L25" s="115"/>
      <c r="M25" s="115"/>
      <c r="N25" s="115"/>
      <c r="O25" s="115"/>
      <c r="P25" s="115"/>
      <c r="Q25" s="115"/>
      <c r="R25" s="115"/>
      <c r="S25" s="115"/>
      <c r="T25" s="116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>
        <v>3</v>
      </c>
      <c r="E26" s="60"/>
      <c r="F26" s="115"/>
      <c r="G26" s="115"/>
      <c r="H26" s="115"/>
      <c r="I26" s="115"/>
      <c r="J26" s="115"/>
      <c r="K26" s="115"/>
      <c r="L26" s="115" t="s">
        <v>287</v>
      </c>
      <c r="M26" s="115"/>
      <c r="N26" s="115"/>
      <c r="O26" s="115"/>
      <c r="P26" s="115"/>
      <c r="Q26" s="115"/>
      <c r="R26" s="115"/>
      <c r="S26" s="115"/>
      <c r="T26" s="116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>
        <v>5</v>
      </c>
      <c r="E27" s="60"/>
      <c r="F27" s="115"/>
      <c r="G27" s="115"/>
      <c r="H27" s="115"/>
      <c r="I27" s="115"/>
      <c r="J27" s="115"/>
      <c r="K27" s="115" t="s">
        <v>287</v>
      </c>
      <c r="L27" s="115"/>
      <c r="M27" s="115"/>
      <c r="N27" s="115"/>
      <c r="O27" s="115"/>
      <c r="P27" s="115"/>
      <c r="Q27" s="115"/>
      <c r="R27" s="115"/>
      <c r="S27" s="115"/>
      <c r="T27" s="116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6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6"/>
      <c r="U29" s="3"/>
      <c r="V29" s="3"/>
      <c r="W29" s="3"/>
      <c r="X29" s="3"/>
      <c r="Y29" s="3"/>
      <c r="Z29" s="3"/>
    </row>
    <row r="30" ht="13.5" customHeight="1" spans="1:26">
      <c r="A30" s="53"/>
      <c r="B30" s="54"/>
      <c r="C30" s="55"/>
      <c r="D30" s="56"/>
      <c r="E30" s="60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6"/>
      <c r="U30" s="3"/>
      <c r="V30" s="3"/>
      <c r="W30" s="3"/>
      <c r="X30" s="3"/>
      <c r="Y30" s="3"/>
      <c r="Z30" s="3"/>
    </row>
    <row r="31" ht="13.5" customHeight="1" spans="1:26">
      <c r="A31" s="53"/>
      <c r="B31" s="54"/>
      <c r="C31" s="55"/>
      <c r="D31" s="56"/>
      <c r="E31" s="60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6"/>
      <c r="U31" s="3"/>
      <c r="V31" s="3"/>
      <c r="W31" s="3"/>
      <c r="X31" s="3"/>
      <c r="Y31" s="3"/>
      <c r="Z31" s="3"/>
    </row>
    <row r="32" ht="13.5" customHeight="1" spans="1:26">
      <c r="A32" s="53"/>
      <c r="B32" s="62"/>
      <c r="C32" s="63"/>
      <c r="D32" s="64"/>
      <c r="E32" s="65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9"/>
      <c r="U32" s="3"/>
      <c r="V32" s="3"/>
      <c r="W32" s="3"/>
      <c r="X32" s="3"/>
      <c r="Y32" s="3"/>
      <c r="Z32" s="3"/>
    </row>
    <row r="33" ht="13.5" customHeight="1" spans="1:26">
      <c r="A33" s="68" t="s">
        <v>290</v>
      </c>
      <c r="B33" s="69" t="s">
        <v>291</v>
      </c>
      <c r="C33" s="70"/>
      <c r="D33" s="71"/>
      <c r="E33" s="72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1"/>
      <c r="U33" s="3"/>
      <c r="V33" s="3"/>
      <c r="W33" s="3"/>
      <c r="X33" s="3"/>
      <c r="Y33" s="3"/>
      <c r="Z33" s="3"/>
    </row>
    <row r="34" ht="13.5" customHeight="1" spans="1:26">
      <c r="A34" s="73"/>
      <c r="B34" s="122" t="s">
        <v>292</v>
      </c>
      <c r="C34" s="75"/>
      <c r="D34" s="76"/>
      <c r="E34" s="77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6"/>
      <c r="U34" s="3"/>
      <c r="V34" s="3"/>
      <c r="W34" s="3"/>
      <c r="X34" s="3"/>
      <c r="Y34" s="3"/>
      <c r="Z34" s="3"/>
    </row>
    <row r="35" ht="13.5" customHeight="1" spans="1:26">
      <c r="A35" s="73"/>
      <c r="B35" s="122"/>
      <c r="C35" s="75"/>
      <c r="D35" s="76" t="s">
        <v>293</v>
      </c>
      <c r="E35" s="77"/>
      <c r="F35" s="115" t="s">
        <v>287</v>
      </c>
      <c r="G35" s="115"/>
      <c r="H35" s="115" t="s">
        <v>287</v>
      </c>
      <c r="I35" s="115"/>
      <c r="J35" s="115"/>
      <c r="K35" s="115" t="s">
        <v>287</v>
      </c>
      <c r="L35" s="115"/>
      <c r="M35" s="115"/>
      <c r="N35" s="115"/>
      <c r="O35" s="115"/>
      <c r="P35" s="115"/>
      <c r="Q35" s="115"/>
      <c r="R35" s="115"/>
      <c r="S35" s="115"/>
      <c r="T35" s="116"/>
      <c r="U35" s="3"/>
      <c r="V35" s="3"/>
      <c r="W35" s="3"/>
      <c r="X35" s="3"/>
      <c r="Y35" s="3"/>
      <c r="Z35" s="3"/>
    </row>
    <row r="36" ht="13.5" customHeight="1" spans="1:26">
      <c r="A36" s="73"/>
      <c r="B36" s="122"/>
      <c r="C36" s="75"/>
      <c r="D36" s="76" t="s">
        <v>294</v>
      </c>
      <c r="E36" s="77"/>
      <c r="F36" s="115"/>
      <c r="G36" s="115" t="s">
        <v>287</v>
      </c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6"/>
      <c r="U36" s="3"/>
      <c r="V36" s="3"/>
      <c r="W36" s="3"/>
      <c r="X36" s="3"/>
      <c r="Y36" s="3"/>
      <c r="Z36" s="3"/>
    </row>
    <row r="37" ht="13.5" customHeight="1" spans="1:26">
      <c r="A37" s="73"/>
      <c r="B37" s="122"/>
      <c r="C37" s="75"/>
      <c r="D37" s="76" t="s">
        <v>295</v>
      </c>
      <c r="E37" s="77"/>
      <c r="F37" s="115"/>
      <c r="G37" s="115"/>
      <c r="H37" s="115"/>
      <c r="I37" s="115" t="s">
        <v>287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6"/>
      <c r="U37" s="3"/>
      <c r="V37" s="3"/>
      <c r="W37" s="3"/>
      <c r="X37" s="3"/>
      <c r="Y37" s="3"/>
      <c r="Z37" s="3"/>
    </row>
    <row r="38" ht="13.5" customHeight="1" spans="1:26">
      <c r="A38" s="73"/>
      <c r="B38" s="122"/>
      <c r="C38" s="75"/>
      <c r="D38" s="76" t="s">
        <v>296</v>
      </c>
      <c r="E38" s="77"/>
      <c r="F38" s="115"/>
      <c r="G38" s="115"/>
      <c r="H38" s="115"/>
      <c r="I38" s="115"/>
      <c r="J38" s="115" t="s">
        <v>287</v>
      </c>
      <c r="K38" s="115"/>
      <c r="L38" s="115"/>
      <c r="M38" s="115"/>
      <c r="N38" s="115"/>
      <c r="O38" s="115"/>
      <c r="P38" s="115"/>
      <c r="Q38" s="115"/>
      <c r="R38" s="115"/>
      <c r="S38" s="115"/>
      <c r="T38" s="116"/>
      <c r="U38" s="3"/>
      <c r="V38" s="3"/>
      <c r="W38" s="3"/>
      <c r="X38" s="3"/>
      <c r="Y38" s="3"/>
      <c r="Z38" s="3"/>
    </row>
    <row r="39" ht="13.5" customHeight="1" spans="1:26">
      <c r="A39" s="73"/>
      <c r="B39" s="74"/>
      <c r="C39" s="123"/>
      <c r="D39" s="76" t="s">
        <v>297</v>
      </c>
      <c r="E39" s="79"/>
      <c r="F39" s="115"/>
      <c r="G39" s="115"/>
      <c r="H39" s="115"/>
      <c r="I39" s="115"/>
      <c r="J39" s="115"/>
      <c r="K39" s="115"/>
      <c r="L39" s="115" t="s">
        <v>287</v>
      </c>
      <c r="M39" s="115"/>
      <c r="N39" s="115"/>
      <c r="O39" s="115"/>
      <c r="P39" s="115"/>
      <c r="Q39" s="115"/>
      <c r="R39" s="115"/>
      <c r="S39" s="115"/>
      <c r="T39" s="116"/>
      <c r="U39" s="3"/>
      <c r="V39" s="3"/>
      <c r="W39" s="3"/>
      <c r="X39" s="3"/>
      <c r="Y39" s="3"/>
      <c r="Z39" s="3"/>
    </row>
    <row r="40" ht="13.5" customHeight="1" spans="1:26">
      <c r="A40" s="73"/>
      <c r="B40" s="74" t="s">
        <v>298</v>
      </c>
      <c r="C40" s="123"/>
      <c r="D40" s="76"/>
      <c r="E40" s="79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6"/>
      <c r="U40" s="3"/>
      <c r="V40" s="3"/>
      <c r="W40" s="3"/>
      <c r="X40" s="3"/>
      <c r="Y40" s="3"/>
      <c r="Z40" s="3"/>
    </row>
    <row r="41" ht="13.5" customHeight="1" spans="1:26">
      <c r="A41" s="73"/>
      <c r="B41" s="74"/>
      <c r="C41" s="123"/>
      <c r="D41" s="76"/>
      <c r="E41" s="79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6"/>
      <c r="U41" s="3"/>
      <c r="V41" s="3"/>
      <c r="W41" s="3"/>
      <c r="X41" s="3"/>
      <c r="Y41" s="3"/>
      <c r="Z41" s="3"/>
    </row>
    <row r="42" ht="13.5" customHeight="1" spans="1:26">
      <c r="A42" s="73"/>
      <c r="B42" s="74" t="s">
        <v>299</v>
      </c>
      <c r="C42" s="123"/>
      <c r="D42" s="76"/>
      <c r="E42" s="79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6"/>
      <c r="U42" s="3"/>
      <c r="V42" s="3"/>
      <c r="W42" s="3"/>
      <c r="X42" s="3"/>
      <c r="Y42" s="3"/>
      <c r="Z42" s="3"/>
    </row>
    <row r="43" ht="13.5" customHeight="1" spans="1:26">
      <c r="A43" s="73"/>
      <c r="B43" s="74"/>
      <c r="C43" s="123"/>
      <c r="D43" s="76" t="s">
        <v>300</v>
      </c>
      <c r="E43" s="79"/>
      <c r="F43" s="115" t="s">
        <v>287</v>
      </c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6"/>
      <c r="U43" s="3"/>
      <c r="V43" s="3"/>
      <c r="W43" s="3"/>
      <c r="X43" s="3"/>
      <c r="Y43" s="3"/>
      <c r="Z43" s="3"/>
    </row>
    <row r="44" ht="13.5" customHeight="1" spans="1:26">
      <c r="A44" s="73"/>
      <c r="B44" s="80"/>
      <c r="C44" s="81"/>
      <c r="D44" s="82"/>
      <c r="E44" s="83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5"/>
      <c r="U44" s="3"/>
      <c r="V44" s="3"/>
      <c r="W44" s="3"/>
      <c r="X44" s="3"/>
      <c r="Y44" s="3"/>
      <c r="Z44" s="3"/>
    </row>
    <row r="45" ht="13.5" customHeight="1" spans="1:26">
      <c r="A45" s="68" t="s">
        <v>301</v>
      </c>
      <c r="B45" s="86" t="s">
        <v>302</v>
      </c>
      <c r="C45" s="87"/>
      <c r="D45" s="88"/>
      <c r="E45" s="89"/>
      <c r="F45" s="126" t="s">
        <v>62</v>
      </c>
      <c r="G45" s="126" t="s">
        <v>254</v>
      </c>
      <c r="H45" s="126" t="s">
        <v>254</v>
      </c>
      <c r="I45" s="126" t="s">
        <v>254</v>
      </c>
      <c r="J45" s="126" t="s">
        <v>254</v>
      </c>
      <c r="K45" s="126" t="s">
        <v>254</v>
      </c>
      <c r="L45" s="126" t="s">
        <v>255</v>
      </c>
      <c r="M45" s="126"/>
      <c r="N45" s="126"/>
      <c r="O45" s="126"/>
      <c r="P45" s="126"/>
      <c r="Q45" s="126"/>
      <c r="R45" s="126"/>
      <c r="S45" s="126"/>
      <c r="T45" s="127"/>
      <c r="U45" s="3"/>
      <c r="V45" s="3"/>
      <c r="W45" s="3"/>
      <c r="X45" s="3"/>
      <c r="Y45" s="3"/>
      <c r="Z45" s="3"/>
    </row>
    <row r="46" ht="13.5" customHeight="1" spans="1:26">
      <c r="A46" s="128"/>
      <c r="B46" s="92" t="s">
        <v>303</v>
      </c>
      <c r="C46" s="20"/>
      <c r="D46" s="15"/>
      <c r="E46" s="93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30"/>
      <c r="U46" s="3"/>
      <c r="V46" s="3"/>
      <c r="W46" s="3"/>
      <c r="X46" s="3"/>
      <c r="Y46" s="3"/>
      <c r="Z46" s="3"/>
    </row>
    <row r="47" ht="13.5" customHeight="1" spans="1:26">
      <c r="A47" s="128"/>
      <c r="B47" s="96" t="s">
        <v>304</v>
      </c>
      <c r="C47" s="20"/>
      <c r="D47" s="15"/>
      <c r="E47" s="97"/>
      <c r="F47" s="98">
        <v>39139</v>
      </c>
      <c r="G47" s="98">
        <v>39139</v>
      </c>
      <c r="H47" s="98">
        <v>39139</v>
      </c>
      <c r="I47" s="98">
        <v>39139</v>
      </c>
      <c r="J47" s="98">
        <v>39139</v>
      </c>
      <c r="K47" s="98">
        <v>39139</v>
      </c>
      <c r="L47" s="98">
        <v>39144</v>
      </c>
      <c r="M47" s="98"/>
      <c r="N47" s="98"/>
      <c r="O47" s="98"/>
      <c r="P47" s="98"/>
      <c r="Q47" s="98"/>
      <c r="R47" s="98"/>
      <c r="S47" s="98"/>
      <c r="T47" s="99"/>
      <c r="U47" s="3"/>
      <c r="V47" s="3"/>
      <c r="W47" s="3"/>
      <c r="X47" s="3"/>
      <c r="Y47" s="3"/>
      <c r="Z47" s="3"/>
    </row>
    <row r="48" ht="12" customHeight="1" spans="1:26">
      <c r="A48" s="131"/>
      <c r="B48" s="101" t="s">
        <v>305</v>
      </c>
      <c r="C48" s="102"/>
      <c r="D48" s="103"/>
      <c r="E48" s="104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6"/>
      <c r="U48" s="3"/>
      <c r="V48" s="3"/>
      <c r="W48" s="3"/>
      <c r="X48" s="3"/>
      <c r="Y48" s="3"/>
      <c r="Z48" s="3"/>
    </row>
    <row r="49" ht="12" customHeight="1" spans="1:26">
      <c r="A49" s="38"/>
      <c r="B49" s="3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3.5" customHeight="1" spans="1:26">
      <c r="A243" s="3"/>
      <c r="B243" s="38"/>
      <c r="C243" s="3"/>
      <c r="D243" s="4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3.5" customHeight="1" spans="1:26">
      <c r="A244" s="3"/>
      <c r="B244" s="38"/>
      <c r="C244" s="3"/>
      <c r="D244" s="4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3.5" customHeight="1" spans="1:26">
      <c r="A245" s="3"/>
      <c r="B245" s="38"/>
      <c r="C245" s="3"/>
      <c r="D245" s="4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3.5" customHeight="1" spans="1:26">
      <c r="A246" s="3"/>
      <c r="B246" s="38"/>
      <c r="C246" s="3"/>
      <c r="D246" s="4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3.5" customHeight="1" spans="1:26">
      <c r="A247" s="3"/>
      <c r="B247" s="38"/>
      <c r="C247" s="3"/>
      <c r="D247" s="4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3.5" customHeight="1" spans="1:26">
      <c r="A248" s="3"/>
      <c r="B248" s="38"/>
      <c r="C248" s="3"/>
      <c r="D248" s="4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20:E20"/>
    <mergeCell ref="B45:D45"/>
    <mergeCell ref="B46:D46"/>
    <mergeCell ref="B47:D47"/>
    <mergeCell ref="B48:D48"/>
  </mergeCells>
  <dataValidations count="3">
    <dataValidation type="list" allowBlank="1" showInputMessage="1" showErrorMessage="1" prompt=" - " sqref="F45:T45">
      <formula1>"N,A,B"</formula1>
    </dataValidation>
    <dataValidation type="list" allowBlank="1" showInputMessage="1" showErrorMessage="1" prompt=" - " sqref="F46:T46">
      <formula1>"P,F"</formula1>
    </dataValidation>
    <dataValidation type="list" allowBlank="1" showInputMessage="1" showErrorMessage="1" prompt=" - " sqref="F10:T44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33.6271186440678" customWidth="1"/>
    <col min="5" max="5" width="1.88135593220339" hidden="1" customWidth="1"/>
    <col min="6" max="20" width="4.6271186440678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Functions!E11</f>
        <v>FUNC-AI-001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Functions!D11</f>
        <v>GenerateImageAsync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74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-3.04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306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6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4</v>
      </c>
      <c r="N7" s="34">
        <f>COUNTIF(F39:T39,"B")</f>
        <v>1</v>
      </c>
      <c r="O7" s="34">
        <f>COUNTA(F40:T40)</f>
        <v>6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311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312</v>
      </c>
      <c r="C12" s="55"/>
      <c r="D12" s="56" t="s">
        <v>313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314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315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316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317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318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319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320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321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322</v>
      </c>
      <c r="E34" s="79"/>
      <c r="F34" s="57"/>
      <c r="G34" s="57"/>
      <c r="H34" s="57"/>
      <c r="I34" s="57" t="s">
        <v>287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323</v>
      </c>
      <c r="E35" s="79"/>
      <c r="F35" s="57"/>
      <c r="G35" s="57"/>
      <c r="H35" s="57"/>
      <c r="I35" s="57"/>
      <c r="J35" s="57" t="s">
        <v>287</v>
      </c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324</v>
      </c>
      <c r="E36" s="79"/>
      <c r="F36" s="57"/>
      <c r="G36" s="57"/>
      <c r="H36" s="57"/>
      <c r="I36" s="57"/>
      <c r="J36" s="57"/>
      <c r="K36" s="57" t="s">
        <v>287</v>
      </c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254</v>
      </c>
      <c r="G39" s="90" t="s">
        <v>62</v>
      </c>
      <c r="H39" s="90" t="s">
        <v>255</v>
      </c>
      <c r="I39" s="90" t="s">
        <v>62</v>
      </c>
      <c r="J39" s="90" t="s">
        <v>62</v>
      </c>
      <c r="K39" s="90" t="s">
        <v>62</v>
      </c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4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18" customWidth="1"/>
    <col min="5" max="5" width="1.88135593220339" hidden="1" customWidth="1"/>
    <col min="6" max="20" width="4.1271186440678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Functions!E12</f>
        <v>FUNC-AMN-001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Functions!D12</f>
        <v>GetAllAmenitiesBySpaceIdAsync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48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-4.08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326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6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2</v>
      </c>
      <c r="M7" s="34">
        <f>COUNTIF(F39:T39,"A")</f>
        <v>2</v>
      </c>
      <c r="N7" s="34">
        <f>COUNTIF(F39:T39,"B")</f>
        <v>2</v>
      </c>
      <c r="O7" s="34">
        <f>COUNTA(F40:T40)</f>
        <v>6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327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328</v>
      </c>
      <c r="C12" s="55"/>
      <c r="D12" s="56" t="s">
        <v>329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330</v>
      </c>
      <c r="E13" s="59"/>
      <c r="F13" s="57"/>
      <c r="G13" s="57" t="s">
        <v>287</v>
      </c>
      <c r="H13" s="57" t="s">
        <v>287</v>
      </c>
      <c r="I13" s="57" t="s">
        <v>287</v>
      </c>
      <c r="J13" s="57" t="s">
        <v>287</v>
      </c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331</v>
      </c>
      <c r="E14" s="60"/>
      <c r="F14" s="57"/>
      <c r="G14" s="57"/>
      <c r="H14" s="57"/>
      <c r="I14" s="57"/>
      <c r="J14" s="57"/>
      <c r="K14" s="57" t="s">
        <v>287</v>
      </c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 t="s">
        <v>332</v>
      </c>
      <c r="C15" s="55"/>
      <c r="D15" s="56" t="s">
        <v>333</v>
      </c>
      <c r="E15" s="60"/>
      <c r="F15" s="57"/>
      <c r="G15" s="57" t="s">
        <v>287</v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334</v>
      </c>
      <c r="E16" s="60"/>
      <c r="F16" s="57"/>
      <c r="G16" s="57"/>
      <c r="H16" s="57" t="s">
        <v>287</v>
      </c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335</v>
      </c>
      <c r="E17" s="60"/>
      <c r="F17" s="57"/>
      <c r="G17" s="57"/>
      <c r="H17" s="57"/>
      <c r="I17" s="57" t="s">
        <v>287</v>
      </c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336</v>
      </c>
      <c r="E18" s="60"/>
      <c r="F18" s="57"/>
      <c r="G18" s="57"/>
      <c r="H18" s="57"/>
      <c r="I18" s="57"/>
      <c r="J18" s="57" t="s">
        <v>287</v>
      </c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337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338</v>
      </c>
      <c r="E32" s="77"/>
      <c r="F32" s="57"/>
      <c r="G32" s="57" t="s">
        <v>287</v>
      </c>
      <c r="H32" s="57"/>
      <c r="I32" s="57" t="s">
        <v>287</v>
      </c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339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340</v>
      </c>
      <c r="E34" s="79"/>
      <c r="F34" s="57"/>
      <c r="G34" s="57"/>
      <c r="H34" s="57"/>
      <c r="I34" s="57"/>
      <c r="J34" s="57" t="s">
        <v>287</v>
      </c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341</v>
      </c>
      <c r="E35" s="79"/>
      <c r="F35" s="57"/>
      <c r="G35" s="57"/>
      <c r="H35" s="57"/>
      <c r="I35" s="57"/>
      <c r="J35" s="57"/>
      <c r="K35" s="57" t="s">
        <v>287</v>
      </c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255</v>
      </c>
      <c r="H39" s="90" t="s">
        <v>254</v>
      </c>
      <c r="I39" s="90" t="s">
        <v>255</v>
      </c>
      <c r="J39" s="90" t="s">
        <v>254</v>
      </c>
      <c r="K39" s="90" t="s">
        <v>62</v>
      </c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62.2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tabSelected="1" workbookViewId="0">
      <pane ySplit="9" topLeftCell="A10" activePane="bottomLeft" state="frozen"/>
      <selection/>
      <selection pane="bottomLeft" activeCell="W20" sqref="W20"/>
    </sheetView>
  </sheetViews>
  <sheetFormatPr defaultColWidth="12.6271186440678" defaultRowHeight="15" customHeight="1"/>
  <cols>
    <col min="1" max="1" width="8.1271186440678" customWidth="1"/>
    <col min="2" max="4" width="28.5" customWidth="1"/>
    <col min="5" max="5" width="1.88135593220339" customWidth="1"/>
    <col min="6" max="20" width="4.75423728813559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Functions!E13</f>
        <v>FUNC-AUTH-001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Functions!D13</f>
        <v>LoginAsync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39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-1.44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342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3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2</v>
      </c>
      <c r="N7" s="34">
        <f>COUNTIF(F39:T39,"B")</f>
        <v>0</v>
      </c>
      <c r="O7" s="34">
        <f>COUNTA(F40:T40)</f>
        <v>3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343</v>
      </c>
      <c r="E11" s="50"/>
      <c r="F11" s="57" t="s">
        <v>287</v>
      </c>
      <c r="G11" s="57" t="s">
        <v>287</v>
      </c>
      <c r="H11" s="57" t="s">
        <v>287</v>
      </c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344</v>
      </c>
      <c r="C12" s="55"/>
      <c r="D12" s="56" t="s">
        <v>345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346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347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/>
      <c r="E15" s="60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348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349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350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/>
      <c r="E34" s="79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62</v>
      </c>
      <c r="H39" s="90" t="s">
        <v>254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75.7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37.6271186440678" customWidth="1"/>
    <col min="5" max="5" width="1.88135593220339" hidden="1" customWidth="1"/>
    <col min="6" max="20" width="5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Functions!E14</f>
        <v>FUNC-AUTH-002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Functions!D14</f>
        <v>RegisterAsync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76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0.04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351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3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1</v>
      </c>
      <c r="N7" s="34">
        <f>COUNTIF(F39:T39,"B")</f>
        <v>1</v>
      </c>
      <c r="O7" s="34">
        <f>COUNTA(F40:T40)</f>
        <v>3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352</v>
      </c>
      <c r="E11" s="50"/>
      <c r="F11" s="57" t="s">
        <v>287</v>
      </c>
      <c r="G11" s="57" t="s">
        <v>287</v>
      </c>
      <c r="H11" s="57" t="s">
        <v>287</v>
      </c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353</v>
      </c>
      <c r="C12" s="55"/>
      <c r="D12" s="56" t="s">
        <v>354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355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356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/>
      <c r="E15" s="60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357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358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359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/>
      <c r="E34" s="79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254</v>
      </c>
      <c r="H39" s="90" t="s">
        <v>255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66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32.2542372881356" customWidth="1"/>
    <col min="5" max="5" width="1.88135593220339" hidden="1" customWidth="1"/>
    <col min="6" max="20" width="5.25423728813559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Functions!E15</f>
        <v>FUNC-AUTH-003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Functions!D15</f>
        <v>VerifyOtpAsync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50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0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360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2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1</v>
      </c>
      <c r="N7" s="34">
        <f>COUNTIF(F39:T39,"B")</f>
        <v>0</v>
      </c>
      <c r="O7" s="34">
        <f>COUNTA(F40:T40)</f>
        <v>2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361</v>
      </c>
      <c r="E11" s="50"/>
      <c r="F11" s="57" t="s">
        <v>287</v>
      </c>
      <c r="G11" s="57" t="s">
        <v>287</v>
      </c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362</v>
      </c>
      <c r="C12" s="55"/>
      <c r="D12" s="56" t="s">
        <v>363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364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/>
      <c r="E14" s="60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/>
      <c r="E15" s="60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365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366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/>
      <c r="E33" s="79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/>
      <c r="E34" s="79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254</v>
      </c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60.7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8.6271186440678" customWidth="1"/>
    <col min="5" max="5" width="1.88135593220339" hidden="1" customWidth="1"/>
    <col min="6" max="20" width="4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Functions!E16</f>
        <v>FUNC-AUTH-004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Functions!D16</f>
        <v>SendPasswordOtpAsync / ResetPasswordAsync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87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-0.52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367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4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2</v>
      </c>
      <c r="N7" s="34">
        <f>COUNTIF(F39:T39,"B")</f>
        <v>1</v>
      </c>
      <c r="O7" s="34">
        <f>COUNTA(F40:T40)</f>
        <v>4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368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369</v>
      </c>
      <c r="C12" s="55"/>
      <c r="D12" s="56" t="s">
        <v>370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371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372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373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374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375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365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376</v>
      </c>
      <c r="E34" s="79"/>
      <c r="F34" s="57"/>
      <c r="G34" s="57"/>
      <c r="H34" s="57"/>
      <c r="I34" s="57" t="s">
        <v>287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255</v>
      </c>
      <c r="H39" s="90" t="s">
        <v>62</v>
      </c>
      <c r="I39" s="90" t="s">
        <v>254</v>
      </c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3.2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2.7542372881356" customWidth="1"/>
    <col min="5" max="5" width="1.88135593220339" hidden="1" customWidth="1"/>
    <col min="6" max="20" width="3.88135593220339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Functions!E17</f>
        <v>FUNC-AUTH-005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Functions!D17</f>
        <v>ChangePasswordAsync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43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-0.28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377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2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1</v>
      </c>
      <c r="N7" s="34">
        <f>COUNTIF(F39:T39,"B")</f>
        <v>0</v>
      </c>
      <c r="O7" s="34">
        <f>COUNTA(F40:T40)</f>
        <v>2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378</v>
      </c>
      <c r="E11" s="50"/>
      <c r="F11" s="57" t="s">
        <v>287</v>
      </c>
      <c r="G11" s="57" t="s">
        <v>287</v>
      </c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379</v>
      </c>
      <c r="C12" s="55"/>
      <c r="D12" s="56" t="s">
        <v>380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381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/>
      <c r="E14" s="60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/>
      <c r="E15" s="60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382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383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/>
      <c r="E33" s="79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/>
      <c r="E34" s="79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254</v>
      </c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60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9" customWidth="1"/>
    <col min="5" max="5" width="1.88135593220339" hidden="1" customWidth="1"/>
    <col min="6" max="20" width="4.1271186440678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Functions!E18</f>
        <v>FUNC-NOTI-001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Functions!D18</f>
        <v>Handle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26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-1.96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384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3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2</v>
      </c>
      <c r="N7" s="34">
        <f>COUNTIF(F39:T39,"B")</f>
        <v>0</v>
      </c>
      <c r="O7" s="34">
        <f>COUNTA(F40:T40)</f>
        <v>3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385</v>
      </c>
      <c r="E11" s="50"/>
      <c r="F11" s="57" t="s">
        <v>287</v>
      </c>
      <c r="G11" s="57" t="s">
        <v>287</v>
      </c>
      <c r="H11" s="57" t="s">
        <v>287</v>
      </c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386</v>
      </c>
      <c r="C12" s="55"/>
      <c r="D12" s="56" t="s">
        <v>387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388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389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/>
      <c r="E15" s="60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390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391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392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/>
      <c r="E34" s="79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254</v>
      </c>
      <c r="H39" s="90" t="s">
        <v>62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7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34.5" customWidth="1"/>
    <col min="5" max="5" width="1.88135593220339" hidden="1" customWidth="1"/>
    <col min="6" max="20" width="4.5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Functions!E19</f>
        <v>FUNC-NOTI-002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Functions!D19</f>
        <v>Handle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26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-0.96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393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2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1</v>
      </c>
      <c r="N7" s="34">
        <f>COUNTIF(F39:T39,"B")</f>
        <v>0</v>
      </c>
      <c r="O7" s="34">
        <f>COUNTA(F40:T40)</f>
        <v>2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385</v>
      </c>
      <c r="E11" s="50"/>
      <c r="F11" s="57" t="s">
        <v>287</v>
      </c>
      <c r="G11" s="57" t="s">
        <v>287</v>
      </c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386</v>
      </c>
      <c r="C12" s="55"/>
      <c r="D12" s="56" t="s">
        <v>394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395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/>
      <c r="E14" s="60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/>
      <c r="E15" s="60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390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396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/>
      <c r="E33" s="79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/>
      <c r="E34" s="79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254</v>
      </c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3.2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6.3813559322034" customWidth="1"/>
    <col min="5" max="5" width="1.88135593220339" hidden="1" customWidth="1"/>
    <col min="6" max="20" width="4.5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Functions!E20</f>
        <v>FUNC-CONV-001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Functions!D20</f>
        <v>GetOrCreateConversationAsync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34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-1.64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397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3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2</v>
      </c>
      <c r="M7" s="34">
        <f>COUNTIF(F39:T39,"A")</f>
        <v>1</v>
      </c>
      <c r="N7" s="34">
        <f>COUNTIF(F39:T39,"B")</f>
        <v>0</v>
      </c>
      <c r="O7" s="34">
        <f>COUNTA(F40:T40)</f>
        <v>3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398</v>
      </c>
      <c r="E11" s="50"/>
      <c r="F11" s="57" t="s">
        <v>287</v>
      </c>
      <c r="G11" s="57" t="s">
        <v>287</v>
      </c>
      <c r="H11" s="57" t="s">
        <v>287</v>
      </c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399</v>
      </c>
      <c r="C12" s="55"/>
      <c r="D12" s="56" t="s">
        <v>400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401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402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/>
      <c r="E15" s="60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403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404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405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/>
      <c r="E34" s="79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254</v>
      </c>
      <c r="G39" s="90" t="s">
        <v>254</v>
      </c>
      <c r="H39" s="90" t="s">
        <v>62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6.2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4.7542372881356" customWidth="1"/>
    <col min="5" max="5" width="1.88135593220339" hidden="1" customWidth="1"/>
    <col min="6" max="20" width="3.88135593220339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Functions!E21</f>
        <v>FUNC-CONV-002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Functions!D21</f>
        <v>GetConversationsByUserIdAsync / GetConversationByParticipantsAsync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59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-0.64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406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3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2</v>
      </c>
      <c r="N7" s="34">
        <f>COUNTIF(F39:T39,"B")</f>
        <v>0</v>
      </c>
      <c r="O7" s="34">
        <f>COUNTA(F40:T40)</f>
        <v>3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407</v>
      </c>
      <c r="E11" s="50"/>
      <c r="F11" s="57" t="s">
        <v>287</v>
      </c>
      <c r="G11" s="57" t="s">
        <v>287</v>
      </c>
      <c r="H11" s="57" t="s">
        <v>287</v>
      </c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408</v>
      </c>
      <c r="C12" s="55"/>
      <c r="D12" s="56" t="s">
        <v>409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410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411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/>
      <c r="E15" s="60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412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413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414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/>
      <c r="E34" s="79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254</v>
      </c>
      <c r="G39" s="90" t="s">
        <v>62</v>
      </c>
      <c r="H39" s="90" t="s">
        <v>62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4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2" customWidth="1"/>
    <col min="5" max="5" width="1.88135593220339" hidden="1" customWidth="1"/>
    <col min="6" max="20" width="4.38135593220339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Functions!E22</f>
        <v>FUNC-DASH-001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Functions!D22</f>
        <v>GetDashboardStatsAsync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57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0.28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415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2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1</v>
      </c>
      <c r="N7" s="34">
        <f>COUNTIF(F39:T39,"B")</f>
        <v>0</v>
      </c>
      <c r="O7" s="34">
        <f>COUNTA(F40:T40)</f>
        <v>2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416</v>
      </c>
      <c r="E11" s="50"/>
      <c r="F11" s="57" t="s">
        <v>287</v>
      </c>
      <c r="G11" s="57" t="s">
        <v>287</v>
      </c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417</v>
      </c>
      <c r="C12" s="55"/>
      <c r="D12" s="56" t="s">
        <v>418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419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/>
      <c r="E14" s="60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/>
      <c r="E15" s="60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420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421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/>
      <c r="E33" s="79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/>
      <c r="E34" s="79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254</v>
      </c>
      <c r="G39" s="90" t="s">
        <v>62</v>
      </c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1.7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42.8813559322034" customWidth="1"/>
    <col min="5" max="5" width="1.88135593220339" hidden="1" customWidth="1"/>
    <col min="6" max="20" width="3.88135593220339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Functions!E23</f>
        <v>FUNC-DASH-002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Functions!D23</f>
        <v>GetListingOverviewAsync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111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1.44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422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2</v>
      </c>
      <c r="B7" s="33"/>
      <c r="C7" s="34">
        <f>COUNTIF(F40:T40,"F")</f>
        <v>1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2</v>
      </c>
      <c r="N7" s="34">
        <f>COUNTIF(F39:T39,"B")</f>
        <v>0</v>
      </c>
      <c r="O7" s="34">
        <f>COUNTA(F40:T40)</f>
        <v>3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423</v>
      </c>
      <c r="E11" s="50"/>
      <c r="F11" s="57" t="s">
        <v>287</v>
      </c>
      <c r="G11" s="57" t="s">
        <v>287</v>
      </c>
      <c r="H11" s="57" t="s">
        <v>287</v>
      </c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424</v>
      </c>
      <c r="C12" s="55"/>
      <c r="D12" s="56" t="s">
        <v>425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426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427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/>
      <c r="E15" s="60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428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429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430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/>
      <c r="E34" s="79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254</v>
      </c>
      <c r="H39" s="90" t="s">
        <v>62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431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4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1.6271186440678" customWidth="1"/>
    <col min="5" max="5" width="1.88135593220339" hidden="1" customWidth="1"/>
    <col min="6" max="20" width="4.5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Functions!E24</f>
        <v>FUNC-SEED-001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Functions!D24</f>
        <v>SeedAdminAccountAsync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30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-1.8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432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3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2</v>
      </c>
      <c r="M7" s="34">
        <f>COUNTIF(F39:T39,"A")</f>
        <v>0</v>
      </c>
      <c r="N7" s="34">
        <f>COUNTIF(F39:T39,"B")</f>
        <v>1</v>
      </c>
      <c r="O7" s="34">
        <f>COUNTA(F40:T40)</f>
        <v>3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433</v>
      </c>
      <c r="E11" s="50"/>
      <c r="F11" s="57" t="s">
        <v>287</v>
      </c>
      <c r="G11" s="57" t="s">
        <v>287</v>
      </c>
      <c r="H11" s="57" t="s">
        <v>287</v>
      </c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434</v>
      </c>
      <c r="C12" s="55"/>
      <c r="D12" s="56" t="s">
        <v>435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436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437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/>
      <c r="E15" s="60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438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439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440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/>
      <c r="E34" s="79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255</v>
      </c>
      <c r="G39" s="90" t="s">
        <v>254</v>
      </c>
      <c r="H39" s="90" t="s">
        <v>254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70.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8.1271186440678" customWidth="1"/>
    <col min="2" max="4" width="39.2542372881356" customWidth="1"/>
    <col min="5" max="5" width="1.88135593220339" hidden="1" customWidth="1"/>
    <col min="6" max="20" width="4.25423728813559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Functions!E25</f>
        <v>FUNC-CONTRACT-001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Functions!D25</f>
        <v>CreateContractAsync / UpdateContractAsync / DeleteContractAsync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105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-4.8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441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8</v>
      </c>
      <c r="B7" s="33"/>
      <c r="C7" s="34">
        <f>COUNTIF(F40:T40,"F")</f>
        <v>1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3</v>
      </c>
      <c r="M7" s="34">
        <f>COUNTIF(F39:T39,"A")</f>
        <v>5</v>
      </c>
      <c r="N7" s="34">
        <f>COUNTIF(F39:T39,"B")</f>
        <v>1</v>
      </c>
      <c r="O7" s="34">
        <f>COUNTA(F40:T40)</f>
        <v>9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442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 t="s">
        <v>287</v>
      </c>
      <c r="N11" s="57" t="s">
        <v>287</v>
      </c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443</v>
      </c>
      <c r="C12" s="55"/>
      <c r="D12" s="56" t="s">
        <v>444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445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446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447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448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449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450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 t="s">
        <v>451</v>
      </c>
      <c r="F19" s="57"/>
      <c r="G19" s="57"/>
      <c r="H19" s="57"/>
      <c r="I19" s="57"/>
      <c r="J19" s="57"/>
      <c r="K19" s="57"/>
      <c r="L19" s="57"/>
      <c r="M19" s="57" t="s">
        <v>287</v>
      </c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 t="s">
        <v>452</v>
      </c>
      <c r="E20" s="60"/>
      <c r="F20" s="57"/>
      <c r="G20" s="57"/>
      <c r="H20" s="57"/>
      <c r="I20" s="57"/>
      <c r="J20" s="57"/>
      <c r="K20" s="57"/>
      <c r="L20" s="57"/>
      <c r="M20" s="57"/>
      <c r="N20" s="57" t="s">
        <v>287</v>
      </c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453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454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455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456</v>
      </c>
      <c r="E34" s="79"/>
      <c r="F34" s="57"/>
      <c r="G34" s="57"/>
      <c r="H34" s="57"/>
      <c r="I34" s="57" t="s">
        <v>287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457</v>
      </c>
      <c r="E35" s="79"/>
      <c r="F35" s="57"/>
      <c r="G35" s="57"/>
      <c r="H35" s="57"/>
      <c r="I35" s="57"/>
      <c r="J35" s="57" t="s">
        <v>287</v>
      </c>
      <c r="K35" s="57"/>
      <c r="L35" s="57"/>
      <c r="M35" s="57" t="s">
        <v>287</v>
      </c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458</v>
      </c>
      <c r="E36" s="79"/>
      <c r="F36" s="57"/>
      <c r="G36" s="57"/>
      <c r="H36" s="57"/>
      <c r="I36" s="57"/>
      <c r="J36" s="57"/>
      <c r="K36" s="57" t="s">
        <v>287</v>
      </c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 t="s">
        <v>459</v>
      </c>
      <c r="E37" s="79"/>
      <c r="F37" s="57"/>
      <c r="G37" s="57"/>
      <c r="H37" s="57"/>
      <c r="I37" s="57"/>
      <c r="J37" s="57"/>
      <c r="K37" s="57"/>
      <c r="L37" s="57" t="s">
        <v>287</v>
      </c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 t="s">
        <v>460</v>
      </c>
      <c r="E38" s="83"/>
      <c r="F38" s="84"/>
      <c r="G38" s="84"/>
      <c r="H38" s="84"/>
      <c r="I38" s="84"/>
      <c r="J38" s="84"/>
      <c r="K38" s="84"/>
      <c r="L38" s="84"/>
      <c r="M38" s="84"/>
      <c r="N38" s="84" t="s">
        <v>287</v>
      </c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254</v>
      </c>
      <c r="H39" s="90" t="s">
        <v>62</v>
      </c>
      <c r="I39" s="90" t="s">
        <v>254</v>
      </c>
      <c r="J39" s="90" t="s">
        <v>62</v>
      </c>
      <c r="K39" s="90" t="s">
        <v>254</v>
      </c>
      <c r="L39" s="90" t="s">
        <v>62</v>
      </c>
      <c r="M39" s="90" t="s">
        <v>62</v>
      </c>
      <c r="N39" s="90" t="s">
        <v>255</v>
      </c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 t="s">
        <v>325</v>
      </c>
      <c r="M40" s="94" t="s">
        <v>325</v>
      </c>
      <c r="N40" s="94" t="s">
        <v>431</v>
      </c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0.2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>
        <v>46260</v>
      </c>
      <c r="N41" s="98">
        <v>46260</v>
      </c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36.5" customWidth="1"/>
    <col min="5" max="5" width="1.88135593220339" hidden="1" customWidth="1"/>
    <col min="6" max="20" width="4.25423728813559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Functions!E25</f>
        <v>FUNC-CONTRACT-001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Functions!D25</f>
        <v>CreateContractAsync / UpdateContractAsync / DeleteContractAsync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104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-6.84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461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10</v>
      </c>
      <c r="B7" s="33"/>
      <c r="C7" s="34">
        <f>COUNTIF(F40:T40,"F")</f>
        <v>1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3</v>
      </c>
      <c r="M7" s="34">
        <f>COUNTIF(F39:T39,"A")</f>
        <v>6</v>
      </c>
      <c r="N7" s="34">
        <f>COUNTIF(F39:T39,"B")</f>
        <v>2</v>
      </c>
      <c r="O7" s="34">
        <f>COUNTA(F40:T40)</f>
        <v>11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462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 t="s">
        <v>287</v>
      </c>
      <c r="N11" s="57" t="s">
        <v>287</v>
      </c>
      <c r="O11" s="57" t="s">
        <v>287</v>
      </c>
      <c r="P11" s="57" t="s">
        <v>287</v>
      </c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443</v>
      </c>
      <c r="C12" s="55"/>
      <c r="D12" s="56" t="s">
        <v>463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464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465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466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467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468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469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 t="s">
        <v>470</v>
      </c>
      <c r="F19" s="57"/>
      <c r="G19" s="57"/>
      <c r="H19" s="57"/>
      <c r="I19" s="57"/>
      <c r="J19" s="57"/>
      <c r="K19" s="57"/>
      <c r="L19" s="57"/>
      <c r="M19" s="57" t="s">
        <v>287</v>
      </c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 t="s">
        <v>471</v>
      </c>
      <c r="E20" s="60"/>
      <c r="F20" s="57"/>
      <c r="G20" s="57"/>
      <c r="H20" s="57"/>
      <c r="I20" s="57"/>
      <c r="J20" s="57"/>
      <c r="K20" s="57"/>
      <c r="L20" s="57"/>
      <c r="M20" s="57"/>
      <c r="N20" s="57" t="s">
        <v>287</v>
      </c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 t="s">
        <v>472</v>
      </c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 t="s">
        <v>287</v>
      </c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 t="s">
        <v>473</v>
      </c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 t="s">
        <v>287</v>
      </c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474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475</v>
      </c>
      <c r="E32" s="77"/>
      <c r="F32" s="57"/>
      <c r="G32" s="57" t="s">
        <v>287</v>
      </c>
      <c r="H32" s="57"/>
      <c r="I32" s="57" t="s">
        <v>287</v>
      </c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476</v>
      </c>
      <c r="E33" s="79"/>
      <c r="F33" s="57"/>
      <c r="G33" s="57"/>
      <c r="H33" s="57" t="s">
        <v>287</v>
      </c>
      <c r="I33" s="57"/>
      <c r="J33" s="57"/>
      <c r="K33" s="57"/>
      <c r="L33" s="57" t="s">
        <v>287</v>
      </c>
      <c r="M33" s="57"/>
      <c r="N33" s="57"/>
      <c r="O33" s="57" t="s">
        <v>287</v>
      </c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477</v>
      </c>
      <c r="E34" s="79"/>
      <c r="F34" s="57"/>
      <c r="G34" s="57"/>
      <c r="H34" s="57"/>
      <c r="I34" s="57"/>
      <c r="J34" s="57" t="s">
        <v>287</v>
      </c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478</v>
      </c>
      <c r="E35" s="79"/>
      <c r="F35" s="57"/>
      <c r="G35" s="57"/>
      <c r="H35" s="57"/>
      <c r="I35" s="57"/>
      <c r="J35" s="57"/>
      <c r="K35" s="57" t="s">
        <v>287</v>
      </c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479</v>
      </c>
      <c r="E36" s="79"/>
      <c r="F36" s="57"/>
      <c r="G36" s="57"/>
      <c r="H36" s="57"/>
      <c r="I36" s="57"/>
      <c r="J36" s="57"/>
      <c r="K36" s="57"/>
      <c r="L36" s="57"/>
      <c r="M36" s="57" t="s">
        <v>287</v>
      </c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 t="s">
        <v>480</v>
      </c>
      <c r="E37" s="79"/>
      <c r="F37" s="57"/>
      <c r="G37" s="57"/>
      <c r="H37" s="57"/>
      <c r="I37" s="57"/>
      <c r="J37" s="57"/>
      <c r="K37" s="57"/>
      <c r="L37" s="57"/>
      <c r="M37" s="57"/>
      <c r="N37" s="57" t="s">
        <v>287</v>
      </c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 t="s">
        <v>481</v>
      </c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 t="s">
        <v>287</v>
      </c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254</v>
      </c>
      <c r="G39" s="90" t="s">
        <v>62</v>
      </c>
      <c r="H39" s="90" t="s">
        <v>62</v>
      </c>
      <c r="I39" s="90" t="s">
        <v>62</v>
      </c>
      <c r="J39" s="90" t="s">
        <v>254</v>
      </c>
      <c r="K39" s="90" t="s">
        <v>62</v>
      </c>
      <c r="L39" s="90" t="s">
        <v>62</v>
      </c>
      <c r="M39" s="90" t="s">
        <v>255</v>
      </c>
      <c r="N39" s="90" t="s">
        <v>254</v>
      </c>
      <c r="O39" s="90" t="s">
        <v>62</v>
      </c>
      <c r="P39" s="90" t="s">
        <v>255</v>
      </c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 t="s">
        <v>325</v>
      </c>
      <c r="M40" s="94" t="s">
        <v>325</v>
      </c>
      <c r="N40" s="94" t="s">
        <v>325</v>
      </c>
      <c r="O40" s="94" t="s">
        <v>325</v>
      </c>
      <c r="P40" s="94" t="s">
        <v>431</v>
      </c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6.2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>
        <v>46260</v>
      </c>
      <c r="N41" s="98">
        <v>46260</v>
      </c>
      <c r="O41" s="98">
        <v>46260</v>
      </c>
      <c r="P41" s="98">
        <v>46260</v>
      </c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34" customWidth="1"/>
    <col min="5" max="5" width="1.88135593220339" hidden="1" customWidth="1"/>
    <col min="6" max="20" width="4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Functions!E26</f>
        <v>FUNC-CONTRACT-002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Functions!D26</f>
        <v>StartContractSigningAsync / CancelContractSigningAsync / ContractValidateOtpAsync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152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-4.92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482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10</v>
      </c>
      <c r="B7" s="33"/>
      <c r="C7" s="34">
        <f>COUNTIF(F40:T40,"F")</f>
        <v>1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2</v>
      </c>
      <c r="M7" s="34">
        <f>COUNTIF(F39:T39,"A")</f>
        <v>9</v>
      </c>
      <c r="N7" s="34">
        <f>COUNTIF(F39:T39,"B")</f>
        <v>0</v>
      </c>
      <c r="O7" s="34">
        <f>COUNTA(F40:T40)</f>
        <v>11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483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 t="s">
        <v>287</v>
      </c>
      <c r="N11" s="57" t="s">
        <v>287</v>
      </c>
      <c r="O11" s="57" t="s">
        <v>287</v>
      </c>
      <c r="P11" s="57" t="s">
        <v>287</v>
      </c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484</v>
      </c>
      <c r="C12" s="55"/>
      <c r="D12" s="56" t="s">
        <v>485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486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487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488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489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490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491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 t="s">
        <v>492</v>
      </c>
      <c r="F19" s="57"/>
      <c r="G19" s="57"/>
      <c r="H19" s="57"/>
      <c r="I19" s="57"/>
      <c r="J19" s="57"/>
      <c r="K19" s="57"/>
      <c r="L19" s="57"/>
      <c r="M19" s="57" t="s">
        <v>287</v>
      </c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 t="s">
        <v>493</v>
      </c>
      <c r="E20" s="60"/>
      <c r="F20" s="57"/>
      <c r="G20" s="57"/>
      <c r="H20" s="57"/>
      <c r="I20" s="57"/>
      <c r="J20" s="57"/>
      <c r="K20" s="57"/>
      <c r="L20" s="57"/>
      <c r="M20" s="57"/>
      <c r="N20" s="57" t="s">
        <v>287</v>
      </c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 t="s">
        <v>494</v>
      </c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 t="s">
        <v>287</v>
      </c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 t="s">
        <v>495</v>
      </c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 t="s">
        <v>287</v>
      </c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496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497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 t="s">
        <v>287</v>
      </c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498</v>
      </c>
      <c r="E33" s="79"/>
      <c r="F33" s="57"/>
      <c r="G33" s="57"/>
      <c r="H33" s="57" t="s">
        <v>287</v>
      </c>
      <c r="I33" s="57" t="s">
        <v>287</v>
      </c>
      <c r="J33" s="57" t="s">
        <v>287</v>
      </c>
      <c r="K33" s="57"/>
      <c r="L33" s="57"/>
      <c r="M33" s="57"/>
      <c r="N33" s="57" t="s">
        <v>287</v>
      </c>
      <c r="O33" s="57" t="s">
        <v>287</v>
      </c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499</v>
      </c>
      <c r="E34" s="79"/>
      <c r="F34" s="57"/>
      <c r="G34" s="57"/>
      <c r="H34" s="57"/>
      <c r="I34" s="57"/>
      <c r="J34" s="57"/>
      <c r="K34" s="57" t="s">
        <v>287</v>
      </c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500</v>
      </c>
      <c r="E35" s="79"/>
      <c r="F35" s="57"/>
      <c r="G35" s="57"/>
      <c r="H35" s="57"/>
      <c r="I35" s="57"/>
      <c r="J35" s="57"/>
      <c r="K35" s="57"/>
      <c r="L35" s="57" t="s">
        <v>287</v>
      </c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501</v>
      </c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 t="s">
        <v>287</v>
      </c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254</v>
      </c>
      <c r="G39" s="90" t="s">
        <v>62</v>
      </c>
      <c r="H39" s="90" t="s">
        <v>62</v>
      </c>
      <c r="I39" s="90" t="s">
        <v>62</v>
      </c>
      <c r="J39" s="90" t="s">
        <v>62</v>
      </c>
      <c r="K39" s="90" t="s">
        <v>62</v>
      </c>
      <c r="L39" s="90" t="s">
        <v>254</v>
      </c>
      <c r="M39" s="90" t="s">
        <v>62</v>
      </c>
      <c r="N39" s="90" t="s">
        <v>62</v>
      </c>
      <c r="O39" s="90" t="s">
        <v>62</v>
      </c>
      <c r="P39" s="90" t="s">
        <v>62</v>
      </c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431</v>
      </c>
      <c r="K40" s="94" t="s">
        <v>325</v>
      </c>
      <c r="L40" s="94" t="s">
        <v>325</v>
      </c>
      <c r="M40" s="94" t="s">
        <v>325</v>
      </c>
      <c r="N40" s="94" t="s">
        <v>325</v>
      </c>
      <c r="O40" s="94" t="s">
        <v>325</v>
      </c>
      <c r="P40" s="94" t="s">
        <v>325</v>
      </c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64.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>
        <v>46260</v>
      </c>
      <c r="N41" s="98">
        <v>46260</v>
      </c>
      <c r="O41" s="98">
        <v>46260</v>
      </c>
      <c r="P41" s="98">
        <v>46260</v>
      </c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32.1271186440678" customWidth="1"/>
    <col min="5" max="5" width="1.88135593220339" hidden="1" customWidth="1"/>
    <col min="6" max="20" width="4.1271186440678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Functions!E26</f>
        <v>FUNC-CONTRACT-002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Functions!D26</f>
        <v>StartContractSigningAsync / CancelContractSigningAsync / ContractValidateOtpAsync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151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-2.96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502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9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4</v>
      </c>
      <c r="M7" s="34">
        <f>COUNTIF(F39:T39,"A")</f>
        <v>3</v>
      </c>
      <c r="N7" s="34">
        <f>COUNTIF(F39:T39,"B")</f>
        <v>2</v>
      </c>
      <c r="O7" s="34">
        <f>COUNTA(F40:T40)</f>
        <v>9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503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 t="s">
        <v>287</v>
      </c>
      <c r="N11" s="57" t="s">
        <v>287</v>
      </c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484</v>
      </c>
      <c r="C12" s="55"/>
      <c r="D12" s="56" t="s">
        <v>504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505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506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507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508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509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510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 t="s">
        <v>511</v>
      </c>
      <c r="F19" s="57"/>
      <c r="G19" s="57"/>
      <c r="H19" s="57"/>
      <c r="I19" s="57"/>
      <c r="J19" s="57"/>
      <c r="K19" s="57"/>
      <c r="L19" s="57"/>
      <c r="M19" s="57" t="s">
        <v>287</v>
      </c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 t="s">
        <v>512</v>
      </c>
      <c r="E20" s="60"/>
      <c r="F20" s="57"/>
      <c r="G20" s="57"/>
      <c r="H20" s="57"/>
      <c r="I20" s="57"/>
      <c r="J20" s="57"/>
      <c r="K20" s="57"/>
      <c r="L20" s="57"/>
      <c r="M20" s="57"/>
      <c r="N20" s="57" t="s">
        <v>287</v>
      </c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513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514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515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516</v>
      </c>
      <c r="E34" s="79"/>
      <c r="F34" s="57"/>
      <c r="G34" s="57"/>
      <c r="H34" s="57"/>
      <c r="I34" s="57" t="s">
        <v>287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517</v>
      </c>
      <c r="E35" s="79"/>
      <c r="F35" s="57"/>
      <c r="G35" s="57"/>
      <c r="H35" s="57"/>
      <c r="I35" s="57"/>
      <c r="J35" s="57" t="s">
        <v>287</v>
      </c>
      <c r="K35" s="57"/>
      <c r="L35" s="57"/>
      <c r="M35" s="57"/>
      <c r="N35" s="57" t="s">
        <v>287</v>
      </c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518</v>
      </c>
      <c r="E36" s="79"/>
      <c r="F36" s="57"/>
      <c r="G36" s="57"/>
      <c r="H36" s="57"/>
      <c r="I36" s="57"/>
      <c r="J36" s="57"/>
      <c r="K36" s="57" t="s">
        <v>287</v>
      </c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 t="s">
        <v>519</v>
      </c>
      <c r="E37" s="79"/>
      <c r="F37" s="57"/>
      <c r="G37" s="57"/>
      <c r="H37" s="57"/>
      <c r="I37" s="57"/>
      <c r="J37" s="57"/>
      <c r="K37" s="57"/>
      <c r="L37" s="57" t="s">
        <v>287</v>
      </c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 t="s">
        <v>520</v>
      </c>
      <c r="E38" s="83"/>
      <c r="F38" s="84"/>
      <c r="G38" s="84"/>
      <c r="H38" s="84"/>
      <c r="I38" s="84"/>
      <c r="J38" s="84"/>
      <c r="K38" s="84"/>
      <c r="L38" s="84"/>
      <c r="M38" s="84" t="s">
        <v>287</v>
      </c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254</v>
      </c>
      <c r="G39" s="90" t="s">
        <v>254</v>
      </c>
      <c r="H39" s="90" t="s">
        <v>255</v>
      </c>
      <c r="I39" s="90" t="s">
        <v>255</v>
      </c>
      <c r="J39" s="90" t="s">
        <v>62</v>
      </c>
      <c r="K39" s="90" t="s">
        <v>254</v>
      </c>
      <c r="L39" s="90" t="s">
        <v>62</v>
      </c>
      <c r="M39" s="90" t="s">
        <v>254</v>
      </c>
      <c r="N39" s="90" t="s">
        <v>62</v>
      </c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 t="s">
        <v>325</v>
      </c>
      <c r="M40" s="94" t="s">
        <v>325</v>
      </c>
      <c r="N40" s="94" t="s">
        <v>325</v>
      </c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7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>
        <v>46260</v>
      </c>
      <c r="N41" s="98">
        <v>46260</v>
      </c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32.8813559322034" customWidth="1"/>
    <col min="5" max="5" width="1.88135593220339" hidden="1" customWidth="1"/>
    <col min="6" max="20" width="4.5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Functions!E27</f>
        <v>FUNC-CONTRACT-003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Functions!D27</f>
        <v>ShareContractAsync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70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-2.2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521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5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4</v>
      </c>
      <c r="N7" s="34">
        <f>COUNTIF(F39:T39,"B")</f>
        <v>0</v>
      </c>
      <c r="O7" s="34">
        <f>COUNTA(F40:T40)</f>
        <v>5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522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523</v>
      </c>
      <c r="C12" s="55"/>
      <c r="D12" s="56" t="s">
        <v>524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525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526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527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528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529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530</v>
      </c>
      <c r="E32" s="77"/>
      <c r="F32" s="57"/>
      <c r="G32" s="57" t="s">
        <v>287</v>
      </c>
      <c r="H32" s="57" t="s">
        <v>287</v>
      </c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531</v>
      </c>
      <c r="E33" s="79"/>
      <c r="F33" s="57"/>
      <c r="G33" s="57"/>
      <c r="H33" s="57"/>
      <c r="I33" s="57" t="s">
        <v>287</v>
      </c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532</v>
      </c>
      <c r="E34" s="79"/>
      <c r="F34" s="57"/>
      <c r="G34" s="57"/>
      <c r="H34" s="57"/>
      <c r="I34" s="57"/>
      <c r="J34" s="57" t="s">
        <v>287</v>
      </c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62</v>
      </c>
      <c r="H39" s="90" t="s">
        <v>62</v>
      </c>
      <c r="I39" s="90" t="s">
        <v>254</v>
      </c>
      <c r="J39" s="90" t="s">
        <v>62</v>
      </c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4.7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3.6271186440678" customWidth="1"/>
    <col min="5" max="5" width="1.88135593220339" hidden="1" customWidth="1"/>
    <col min="6" max="20" width="4.38135593220339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Functions!E28</f>
        <v>FUNC-CONTRACT-004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Functions!D28</f>
        <v>GetContractCalendarBySpaceAsync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97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1.88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533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2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0</v>
      </c>
      <c r="N7" s="34">
        <f>COUNTIF(F39:T39,"B")</f>
        <v>1</v>
      </c>
      <c r="O7" s="34">
        <f>COUNTA(F40:T40)</f>
        <v>2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534</v>
      </c>
      <c r="E11" s="50"/>
      <c r="F11" s="57" t="s">
        <v>287</v>
      </c>
      <c r="G11" s="57" t="s">
        <v>287</v>
      </c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535</v>
      </c>
      <c r="C12" s="55"/>
      <c r="D12" s="56" t="s">
        <v>536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537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/>
      <c r="E14" s="60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/>
      <c r="E15" s="60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538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539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/>
      <c r="E33" s="79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/>
      <c r="E34" s="79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/>
      <c r="E35" s="79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254</v>
      </c>
      <c r="G39" s="90" t="s">
        <v>255</v>
      </c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5.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31" customWidth="1"/>
    <col min="5" max="5" width="1.88135593220339" hidden="1" customWidth="1"/>
    <col min="6" max="20" width="4.75423728813559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Functions!E29</f>
        <v>FUNC-LISTING-001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Functions!D29</f>
        <v>CreateListingAsync / UpdateListingAsync / HardDeleteListingAsync / SoftDeleteListingAsync / RestoreListingAsync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108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-10.68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540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13</v>
      </c>
      <c r="B7" s="33"/>
      <c r="C7" s="34">
        <f>COUNTIF(F40:T40,"F")</f>
        <v>2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4</v>
      </c>
      <c r="M7" s="34">
        <f>COUNTIF(F39:T39,"A")</f>
        <v>7</v>
      </c>
      <c r="N7" s="34">
        <f>COUNTIF(F39:T39,"B")</f>
        <v>4</v>
      </c>
      <c r="O7" s="34">
        <f>COUNTA(F40:T40)</f>
        <v>15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541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 t="s">
        <v>287</v>
      </c>
      <c r="N11" s="57" t="s">
        <v>287</v>
      </c>
      <c r="O11" s="57" t="s">
        <v>287</v>
      </c>
      <c r="P11" s="57" t="s">
        <v>287</v>
      </c>
      <c r="Q11" s="57" t="s">
        <v>287</v>
      </c>
      <c r="R11" s="57" t="s">
        <v>287</v>
      </c>
      <c r="S11" s="57" t="s">
        <v>287</v>
      </c>
      <c r="T11" s="58" t="s">
        <v>287</v>
      </c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542</v>
      </c>
      <c r="C12" s="55"/>
      <c r="D12" s="56" t="s">
        <v>543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544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545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546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547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548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549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 t="s">
        <v>550</v>
      </c>
      <c r="F19" s="57"/>
      <c r="G19" s="57"/>
      <c r="H19" s="57"/>
      <c r="I19" s="57"/>
      <c r="J19" s="57"/>
      <c r="K19" s="57"/>
      <c r="L19" s="57"/>
      <c r="M19" s="57" t="s">
        <v>287</v>
      </c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 t="s">
        <v>551</v>
      </c>
      <c r="E20" s="60"/>
      <c r="F20" s="57"/>
      <c r="G20" s="57"/>
      <c r="H20" s="57"/>
      <c r="I20" s="57"/>
      <c r="J20" s="57"/>
      <c r="K20" s="57"/>
      <c r="L20" s="57"/>
      <c r="M20" s="57"/>
      <c r="N20" s="57" t="s">
        <v>287</v>
      </c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 t="s">
        <v>552</v>
      </c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 t="s">
        <v>287</v>
      </c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 t="s">
        <v>553</v>
      </c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 t="s">
        <v>287</v>
      </c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 t="s">
        <v>554</v>
      </c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 t="s">
        <v>287</v>
      </c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 t="s">
        <v>555</v>
      </c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 t="s">
        <v>287</v>
      </c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 t="s">
        <v>556</v>
      </c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 t="s">
        <v>287</v>
      </c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 t="s">
        <v>557</v>
      </c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 t="s">
        <v>287</v>
      </c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558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559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 t="s">
        <v>287</v>
      </c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560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561</v>
      </c>
      <c r="E34" s="79"/>
      <c r="F34" s="57"/>
      <c r="G34" s="57"/>
      <c r="H34" s="57"/>
      <c r="I34" s="57" t="s">
        <v>287</v>
      </c>
      <c r="J34" s="57" t="s">
        <v>287</v>
      </c>
      <c r="K34" s="57" t="s">
        <v>287</v>
      </c>
      <c r="L34" s="57" t="s">
        <v>287</v>
      </c>
      <c r="M34" s="57" t="s">
        <v>287</v>
      </c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562</v>
      </c>
      <c r="E35" s="79"/>
      <c r="F35" s="57"/>
      <c r="G35" s="57"/>
      <c r="H35" s="57"/>
      <c r="I35" s="57"/>
      <c r="J35" s="57"/>
      <c r="K35" s="57"/>
      <c r="L35" s="57"/>
      <c r="M35" s="57"/>
      <c r="N35" s="57" t="s">
        <v>287</v>
      </c>
      <c r="O35" s="57" t="s">
        <v>287</v>
      </c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563</v>
      </c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 t="s">
        <v>287</v>
      </c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 t="s">
        <v>564</v>
      </c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 t="s">
        <v>287</v>
      </c>
      <c r="R37" s="57"/>
      <c r="S37" s="57"/>
      <c r="T37" s="58" t="s">
        <v>287</v>
      </c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 t="s">
        <v>565</v>
      </c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 t="s">
        <v>287</v>
      </c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62</v>
      </c>
      <c r="H39" s="90" t="s">
        <v>254</v>
      </c>
      <c r="I39" s="90" t="s">
        <v>255</v>
      </c>
      <c r="J39" s="90" t="s">
        <v>62</v>
      </c>
      <c r="K39" s="90" t="s">
        <v>255</v>
      </c>
      <c r="L39" s="90" t="s">
        <v>255</v>
      </c>
      <c r="M39" s="90" t="s">
        <v>255</v>
      </c>
      <c r="N39" s="90" t="s">
        <v>254</v>
      </c>
      <c r="O39" s="90" t="s">
        <v>254</v>
      </c>
      <c r="P39" s="90" t="s">
        <v>62</v>
      </c>
      <c r="Q39" s="90" t="s">
        <v>62</v>
      </c>
      <c r="R39" s="90" t="s">
        <v>62</v>
      </c>
      <c r="S39" s="90" t="s">
        <v>254</v>
      </c>
      <c r="T39" s="91" t="s">
        <v>62</v>
      </c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 t="s">
        <v>325</v>
      </c>
      <c r="M40" s="94" t="s">
        <v>325</v>
      </c>
      <c r="N40" s="94" t="s">
        <v>325</v>
      </c>
      <c r="O40" s="94" t="s">
        <v>325</v>
      </c>
      <c r="P40" s="94" t="s">
        <v>325</v>
      </c>
      <c r="Q40" s="94" t="s">
        <v>431</v>
      </c>
      <c r="R40" s="94" t="s">
        <v>325</v>
      </c>
      <c r="S40" s="94" t="s">
        <v>325</v>
      </c>
      <c r="T40" s="95" t="s">
        <v>431</v>
      </c>
      <c r="U40" s="3"/>
      <c r="V40" s="3"/>
      <c r="W40" s="3"/>
      <c r="X40" s="3"/>
      <c r="Y40" s="3"/>
      <c r="Z40" s="3"/>
    </row>
    <row r="41" ht="7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>
        <v>46260</v>
      </c>
      <c r="N41" s="98">
        <v>46260</v>
      </c>
      <c r="O41" s="98">
        <v>46260</v>
      </c>
      <c r="P41" s="98">
        <v>46260</v>
      </c>
      <c r="Q41" s="98">
        <v>46260</v>
      </c>
      <c r="R41" s="98">
        <v>46260</v>
      </c>
      <c r="S41" s="98">
        <v>46260</v>
      </c>
      <c r="T41" s="99">
        <v>46260</v>
      </c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30.6271186440678" customWidth="1"/>
    <col min="5" max="5" width="1.88135593220339" hidden="1" customWidth="1"/>
    <col min="6" max="20" width="4.5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Functions!E29</f>
        <v>FUNC-LISTING-001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Functions!D29</f>
        <v>CreateListingAsync / UpdateListingAsync / HardDeleteListingAsync / SoftDeleteListingAsync / RestoreListingAsync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107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-9.72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566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12</v>
      </c>
      <c r="B7" s="33"/>
      <c r="C7" s="34">
        <f>COUNTIF(F40:T40,"F")</f>
        <v>2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6</v>
      </c>
      <c r="M7" s="34">
        <f>COUNTIF(F39:T39,"A")</f>
        <v>7</v>
      </c>
      <c r="N7" s="34">
        <f>COUNTIF(F39:T39,"B")</f>
        <v>1</v>
      </c>
      <c r="O7" s="34">
        <f>COUNTA(F40:T40)</f>
        <v>14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567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 t="s">
        <v>287</v>
      </c>
      <c r="N11" s="57" t="s">
        <v>287</v>
      </c>
      <c r="O11" s="57" t="s">
        <v>287</v>
      </c>
      <c r="P11" s="57" t="s">
        <v>287</v>
      </c>
      <c r="Q11" s="57" t="s">
        <v>287</v>
      </c>
      <c r="R11" s="57" t="s">
        <v>287</v>
      </c>
      <c r="S11" s="57" t="s">
        <v>287</v>
      </c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542</v>
      </c>
      <c r="C12" s="55"/>
      <c r="D12" s="56" t="s">
        <v>568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569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570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571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572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573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574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 t="s">
        <v>575</v>
      </c>
      <c r="F19" s="57"/>
      <c r="G19" s="57"/>
      <c r="H19" s="57"/>
      <c r="I19" s="57"/>
      <c r="J19" s="57"/>
      <c r="K19" s="57"/>
      <c r="L19" s="57"/>
      <c r="M19" s="57" t="s">
        <v>287</v>
      </c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 t="s">
        <v>576</v>
      </c>
      <c r="E20" s="60"/>
      <c r="F20" s="57"/>
      <c r="G20" s="57"/>
      <c r="H20" s="57"/>
      <c r="I20" s="57"/>
      <c r="J20" s="57"/>
      <c r="K20" s="57"/>
      <c r="L20" s="57"/>
      <c r="M20" s="57"/>
      <c r="N20" s="57" t="s">
        <v>287</v>
      </c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 t="s">
        <v>577</v>
      </c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 t="s">
        <v>287</v>
      </c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 t="s">
        <v>578</v>
      </c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 t="s">
        <v>287</v>
      </c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 t="s">
        <v>579</v>
      </c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 t="s">
        <v>287</v>
      </c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 t="s">
        <v>580</v>
      </c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 t="s">
        <v>287</v>
      </c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 t="s">
        <v>581</v>
      </c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 t="s">
        <v>287</v>
      </c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582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583</v>
      </c>
      <c r="E32" s="77"/>
      <c r="F32" s="57"/>
      <c r="G32" s="57" t="s">
        <v>287</v>
      </c>
      <c r="H32" s="57" t="s">
        <v>287</v>
      </c>
      <c r="I32" s="57"/>
      <c r="J32" s="57"/>
      <c r="K32" s="57"/>
      <c r="L32" s="57"/>
      <c r="M32" s="57"/>
      <c r="N32" s="57"/>
      <c r="O32" s="57" t="s">
        <v>287</v>
      </c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584</v>
      </c>
      <c r="E33" s="79"/>
      <c r="F33" s="57"/>
      <c r="G33" s="57"/>
      <c r="H33" s="57"/>
      <c r="I33" s="57" t="s">
        <v>287</v>
      </c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585</v>
      </c>
      <c r="E34" s="79"/>
      <c r="F34" s="57"/>
      <c r="G34" s="57"/>
      <c r="H34" s="57"/>
      <c r="I34" s="57"/>
      <c r="J34" s="57" t="s">
        <v>287</v>
      </c>
      <c r="K34" s="57"/>
      <c r="L34" s="57" t="s">
        <v>287</v>
      </c>
      <c r="M34" s="57"/>
      <c r="N34" s="57"/>
      <c r="O34" s="57"/>
      <c r="P34" s="57"/>
      <c r="Q34" s="57" t="s">
        <v>287</v>
      </c>
      <c r="R34" s="57"/>
      <c r="S34" s="57" t="s">
        <v>287</v>
      </c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586</v>
      </c>
      <c r="E35" s="79"/>
      <c r="F35" s="57"/>
      <c r="G35" s="57"/>
      <c r="H35" s="57"/>
      <c r="I35" s="57"/>
      <c r="J35" s="57"/>
      <c r="K35" s="57" t="s">
        <v>287</v>
      </c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587</v>
      </c>
      <c r="E36" s="79"/>
      <c r="F36" s="57"/>
      <c r="G36" s="57"/>
      <c r="H36" s="57"/>
      <c r="I36" s="57"/>
      <c r="J36" s="57"/>
      <c r="K36" s="57"/>
      <c r="L36" s="57"/>
      <c r="M36" s="57" t="s">
        <v>287</v>
      </c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 t="s">
        <v>588</v>
      </c>
      <c r="E37" s="79"/>
      <c r="F37" s="57"/>
      <c r="G37" s="57"/>
      <c r="H37" s="57"/>
      <c r="I37" s="57"/>
      <c r="J37" s="57"/>
      <c r="K37" s="57"/>
      <c r="L37" s="57"/>
      <c r="M37" s="57"/>
      <c r="N37" s="57" t="s">
        <v>287</v>
      </c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 t="s">
        <v>589</v>
      </c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 t="s">
        <v>287</v>
      </c>
      <c r="Q38" s="84"/>
      <c r="R38" s="84" t="s">
        <v>287</v>
      </c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254</v>
      </c>
      <c r="G39" s="90" t="s">
        <v>62</v>
      </c>
      <c r="H39" s="90" t="s">
        <v>62</v>
      </c>
      <c r="I39" s="90" t="s">
        <v>254</v>
      </c>
      <c r="J39" s="90" t="s">
        <v>62</v>
      </c>
      <c r="K39" s="90" t="s">
        <v>254</v>
      </c>
      <c r="L39" s="90" t="s">
        <v>62</v>
      </c>
      <c r="M39" s="90" t="s">
        <v>254</v>
      </c>
      <c r="N39" s="90" t="s">
        <v>254</v>
      </c>
      <c r="O39" s="90" t="s">
        <v>62</v>
      </c>
      <c r="P39" s="90" t="s">
        <v>254</v>
      </c>
      <c r="Q39" s="90" t="s">
        <v>62</v>
      </c>
      <c r="R39" s="90" t="s">
        <v>255</v>
      </c>
      <c r="S39" s="90" t="s">
        <v>62</v>
      </c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431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 t="s">
        <v>325</v>
      </c>
      <c r="M40" s="94" t="s">
        <v>325</v>
      </c>
      <c r="N40" s="94" t="s">
        <v>325</v>
      </c>
      <c r="O40" s="94" t="s">
        <v>325</v>
      </c>
      <c r="P40" s="94" t="s">
        <v>325</v>
      </c>
      <c r="Q40" s="94" t="s">
        <v>325</v>
      </c>
      <c r="R40" s="94" t="s">
        <v>325</v>
      </c>
      <c r="S40" s="94" t="s">
        <v>431</v>
      </c>
      <c r="T40" s="95"/>
      <c r="U40" s="3"/>
      <c r="V40" s="3"/>
      <c r="W40" s="3"/>
      <c r="X40" s="3"/>
      <c r="Y40" s="3"/>
      <c r="Z40" s="3"/>
    </row>
    <row r="41" ht="66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>
        <v>46260</v>
      </c>
      <c r="N41" s="98">
        <v>46260</v>
      </c>
      <c r="O41" s="98">
        <v>46260</v>
      </c>
      <c r="P41" s="98">
        <v>46260</v>
      </c>
      <c r="Q41" s="98">
        <v>46260</v>
      </c>
      <c r="R41" s="98">
        <v>46260</v>
      </c>
      <c r="S41" s="98">
        <v>46260</v>
      </c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2.1271186440678" customWidth="1"/>
    <col min="5" max="5" width="1.88135593220339" hidden="1" customWidth="1"/>
    <col min="6" max="14" width="5.6271186440678" customWidth="1"/>
    <col min="15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Functions!E30</f>
        <v>FUNC-LISTING-002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Functions!D30</f>
        <v>GetListingByIdAsync / GetAllListingsAsync / GetListingsByCurrentUserAsync / GetListingsByUserIdAsync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189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-1.44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590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COUNTIF(F40:N40,"P")</f>
        <v>9</v>
      </c>
      <c r="B7" s="33"/>
      <c r="C7" s="34">
        <f>COUNTIF(F40:N40,"F")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COUNTIF(F39:N39,"N")</f>
        <v>3</v>
      </c>
      <c r="M7" s="34">
        <f>COUNTIF(F39:N39,"A")</f>
        <v>4</v>
      </c>
      <c r="N7" s="34">
        <f>COUNTIF(F39:N39,"B")</f>
        <v>2</v>
      </c>
      <c r="O7" s="34">
        <f>COUNTA(F40:N40)</f>
        <v>9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5"/>
      <c r="P9" s="13"/>
      <c r="Q9" s="3"/>
      <c r="R9" s="3"/>
      <c r="S9" s="3"/>
      <c r="T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3"/>
      <c r="P10" s="3"/>
      <c r="Q10" s="3"/>
      <c r="R10" s="3"/>
      <c r="S10" s="3"/>
      <c r="T10" s="3"/>
    </row>
    <row r="11" ht="13.5" customHeight="1" spans="1:26">
      <c r="A11" s="53"/>
      <c r="B11" s="54"/>
      <c r="C11" s="55"/>
      <c r="D11" s="56" t="s">
        <v>591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 t="s">
        <v>287</v>
      </c>
      <c r="N11" s="57" t="s">
        <v>287</v>
      </c>
      <c r="O11" s="3"/>
      <c r="P11" s="13"/>
      <c r="Q11" s="3"/>
      <c r="R11" s="3"/>
      <c r="S11" s="3"/>
      <c r="T11" s="3"/>
    </row>
    <row r="12" ht="13.5" customHeight="1" spans="1:26">
      <c r="A12" s="53"/>
      <c r="B12" s="54" t="s">
        <v>592</v>
      </c>
      <c r="C12" s="55"/>
      <c r="D12" s="56" t="s">
        <v>593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3"/>
      <c r="P12" s="3"/>
      <c r="Q12" s="3"/>
      <c r="R12" s="3"/>
      <c r="S12" s="3"/>
      <c r="T12" s="3"/>
    </row>
    <row r="13" ht="13.5" customHeight="1" spans="1:26">
      <c r="A13" s="53"/>
      <c r="B13" s="54"/>
      <c r="C13" s="55"/>
      <c r="D13" s="56" t="s">
        <v>594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3"/>
      <c r="P13" s="3"/>
      <c r="Q13" s="3"/>
      <c r="R13" s="3"/>
      <c r="S13" s="3"/>
      <c r="T13" s="3"/>
    </row>
    <row r="14" ht="13.5" customHeight="1" spans="1:26">
      <c r="A14" s="53"/>
      <c r="B14" s="54"/>
      <c r="C14" s="55"/>
      <c r="D14" s="56" t="s">
        <v>595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3"/>
      <c r="P14" s="3"/>
      <c r="Q14" s="3"/>
      <c r="R14" s="3"/>
      <c r="S14" s="3"/>
      <c r="T14" s="3"/>
    </row>
    <row r="15" ht="13.5" customHeight="1" spans="1:26">
      <c r="A15" s="53"/>
      <c r="B15" s="54"/>
      <c r="C15" s="55"/>
      <c r="D15" s="56" t="s">
        <v>596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3"/>
      <c r="P15" s="3"/>
      <c r="Q15" s="3"/>
      <c r="R15" s="3"/>
      <c r="S15" s="3"/>
      <c r="T15" s="3"/>
    </row>
    <row r="16" ht="13.5" customHeight="1" spans="1:26">
      <c r="A16" s="53"/>
      <c r="B16" s="54"/>
      <c r="C16" s="55"/>
      <c r="D16" s="56" t="s">
        <v>597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3"/>
      <c r="P16" s="3"/>
      <c r="Q16" s="3"/>
      <c r="R16" s="3"/>
      <c r="S16" s="3"/>
      <c r="T16" s="3"/>
    </row>
    <row r="17" ht="13.5" customHeight="1" spans="1:20">
      <c r="A17" s="53"/>
      <c r="B17" s="54"/>
      <c r="C17" s="55"/>
      <c r="D17" s="56" t="s">
        <v>598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61"/>
      <c r="P17" s="3"/>
      <c r="Q17" s="3"/>
      <c r="R17" s="3"/>
      <c r="S17" s="3"/>
      <c r="T17" s="3"/>
    </row>
    <row r="18" ht="13.5" customHeight="1" spans="1:20">
      <c r="A18" s="53"/>
      <c r="B18" s="54"/>
      <c r="C18" s="55"/>
      <c r="D18" s="56" t="s">
        <v>599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61"/>
      <c r="P18" s="3"/>
      <c r="Q18" s="3"/>
      <c r="R18" s="3"/>
      <c r="S18" s="3"/>
      <c r="T18" s="3"/>
    </row>
    <row r="19" ht="13.5" customHeight="1" spans="1:20">
      <c r="A19" s="53"/>
      <c r="B19" s="54"/>
      <c r="C19" s="55"/>
      <c r="D19" s="4" t="s">
        <v>600</v>
      </c>
      <c r="F19" s="57"/>
      <c r="G19" s="57"/>
      <c r="H19" s="57"/>
      <c r="I19" s="57"/>
      <c r="J19" s="57"/>
      <c r="K19" s="57"/>
      <c r="L19" s="57"/>
      <c r="M19" s="57" t="s">
        <v>287</v>
      </c>
      <c r="N19" s="57"/>
      <c r="O19" s="3"/>
      <c r="P19" s="3"/>
      <c r="Q19" s="3"/>
      <c r="R19" s="3"/>
      <c r="S19" s="3"/>
      <c r="T19" s="3"/>
    </row>
    <row r="20" ht="13.5" customHeight="1" spans="1:20">
      <c r="A20" s="53"/>
      <c r="B20" s="54"/>
      <c r="C20" s="55"/>
      <c r="D20" s="56" t="s">
        <v>601</v>
      </c>
      <c r="E20" s="60"/>
      <c r="F20" s="57"/>
      <c r="G20" s="57"/>
      <c r="H20" s="57"/>
      <c r="I20" s="57"/>
      <c r="J20" s="57"/>
      <c r="K20" s="57"/>
      <c r="L20" s="57"/>
      <c r="M20" s="57"/>
      <c r="N20" s="57" t="s">
        <v>287</v>
      </c>
      <c r="O20" s="3"/>
      <c r="P20" s="3"/>
      <c r="Q20" s="3"/>
      <c r="R20" s="3"/>
      <c r="S20" s="3"/>
      <c r="T20" s="3"/>
    </row>
    <row r="21" ht="13.5" customHeight="1" spans="1:20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3"/>
      <c r="P21" s="3"/>
      <c r="Q21" s="3"/>
      <c r="R21" s="3"/>
      <c r="S21" s="3"/>
      <c r="T21" s="3"/>
    </row>
    <row r="22" ht="13.5" customHeight="1" spans="1:20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3"/>
      <c r="P22" s="3"/>
      <c r="Q22" s="3"/>
      <c r="R22" s="3"/>
      <c r="S22" s="3"/>
      <c r="T22" s="3"/>
    </row>
    <row r="23" ht="13.5" customHeight="1" spans="1:20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3"/>
      <c r="P23" s="3"/>
      <c r="Q23" s="3"/>
      <c r="R23" s="3"/>
      <c r="S23" s="3"/>
      <c r="T23" s="3"/>
    </row>
    <row r="24" ht="13.5" customHeight="1" spans="1:20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3"/>
      <c r="P24" s="3"/>
      <c r="Q24" s="3"/>
      <c r="R24" s="3"/>
      <c r="S24" s="3"/>
      <c r="T24" s="3"/>
    </row>
    <row r="25" ht="13.5" customHeight="1" spans="1:20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3"/>
      <c r="P25" s="3"/>
      <c r="Q25" s="3"/>
      <c r="R25" s="3"/>
      <c r="S25" s="3"/>
      <c r="T25" s="3"/>
    </row>
    <row r="26" ht="13.5" customHeight="1" spans="1:20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3"/>
      <c r="P26" s="3"/>
      <c r="Q26" s="3"/>
      <c r="R26" s="3"/>
      <c r="S26" s="3"/>
      <c r="T26" s="3"/>
    </row>
    <row r="27" ht="13.5" customHeight="1" spans="1:20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3"/>
      <c r="P27" s="3"/>
      <c r="Q27" s="3"/>
      <c r="R27" s="3"/>
      <c r="S27" s="3"/>
      <c r="T27" s="3"/>
    </row>
    <row r="28" ht="13.5" customHeight="1" spans="1:20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3"/>
      <c r="P28" s="3"/>
      <c r="Q28" s="3"/>
      <c r="R28" s="3"/>
      <c r="S28" s="3"/>
      <c r="T28" s="3"/>
    </row>
    <row r="29" ht="13.5" customHeight="1" spans="1:20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3"/>
      <c r="P29" s="3"/>
      <c r="Q29" s="3"/>
      <c r="R29" s="3"/>
      <c r="S29" s="3"/>
      <c r="T29" s="3"/>
    </row>
    <row r="30" ht="13.5" customHeight="1" spans="1:20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3"/>
      <c r="P30" s="3"/>
      <c r="Q30" s="3"/>
      <c r="R30" s="3"/>
      <c r="S30" s="3"/>
      <c r="T30" s="3"/>
    </row>
    <row r="31" ht="13.5" customHeight="1" spans="1:20">
      <c r="A31" s="68" t="s">
        <v>290</v>
      </c>
      <c r="B31" s="69" t="s">
        <v>291</v>
      </c>
      <c r="C31" s="70"/>
      <c r="D31" s="71" t="s">
        <v>602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3"/>
      <c r="P31" s="3"/>
      <c r="Q31" s="3"/>
      <c r="R31" s="3"/>
      <c r="S31" s="3"/>
      <c r="T31" s="3"/>
    </row>
    <row r="32" ht="13.5" customHeight="1" spans="1:20">
      <c r="A32" s="73"/>
      <c r="B32" s="74"/>
      <c r="C32" s="75"/>
      <c r="D32" s="76" t="s">
        <v>603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3"/>
      <c r="P32" s="3"/>
      <c r="Q32" s="3"/>
      <c r="R32" s="3"/>
      <c r="S32" s="3"/>
      <c r="T32" s="3"/>
    </row>
    <row r="33" ht="13.5" customHeight="1" spans="1:26">
      <c r="A33" s="73"/>
      <c r="B33" s="74"/>
      <c r="C33" s="78"/>
      <c r="D33" s="76" t="s">
        <v>604</v>
      </c>
      <c r="E33" s="79"/>
      <c r="F33" s="57"/>
      <c r="G33" s="57"/>
      <c r="H33" s="57" t="s">
        <v>287</v>
      </c>
      <c r="I33" s="57"/>
      <c r="J33" s="57" t="s">
        <v>287</v>
      </c>
      <c r="K33" s="57"/>
      <c r="L33" s="57"/>
      <c r="M33" s="57"/>
      <c r="N33" s="57"/>
      <c r="O33" s="3"/>
      <c r="P33" s="3"/>
      <c r="Q33" s="3"/>
      <c r="R33" s="3"/>
      <c r="S33" s="3"/>
      <c r="T33" s="3"/>
    </row>
    <row r="34" ht="13.5" customHeight="1" spans="1:26">
      <c r="A34" s="73"/>
      <c r="B34" s="74"/>
      <c r="C34" s="78"/>
      <c r="D34" s="76" t="s">
        <v>605</v>
      </c>
      <c r="E34" s="79"/>
      <c r="F34" s="57"/>
      <c r="G34" s="57"/>
      <c r="H34" s="57"/>
      <c r="I34" s="57" t="s">
        <v>287</v>
      </c>
      <c r="J34" s="57"/>
      <c r="K34" s="57"/>
      <c r="L34" s="57"/>
      <c r="M34" s="57"/>
      <c r="N34" s="57"/>
      <c r="O34" s="3"/>
      <c r="P34" s="3"/>
      <c r="Q34" s="3"/>
      <c r="R34" s="3"/>
      <c r="S34" s="3"/>
      <c r="T34" s="3"/>
    </row>
    <row r="35" ht="13.5" customHeight="1" spans="1:26">
      <c r="A35" s="73"/>
      <c r="B35" s="74"/>
      <c r="C35" s="78"/>
      <c r="D35" s="76" t="s">
        <v>606</v>
      </c>
      <c r="E35" s="79"/>
      <c r="F35" s="57"/>
      <c r="G35" s="57"/>
      <c r="H35" s="57"/>
      <c r="I35" s="57"/>
      <c r="J35" s="57"/>
      <c r="K35" s="57" t="s">
        <v>287</v>
      </c>
      <c r="L35" s="57"/>
      <c r="M35" s="57"/>
      <c r="N35" s="57"/>
      <c r="O35" s="3"/>
      <c r="P35" s="3"/>
      <c r="Q35" s="3"/>
      <c r="R35" s="3"/>
      <c r="S35" s="3"/>
      <c r="T35" s="3"/>
    </row>
    <row r="36" ht="13.5" customHeight="1" spans="1:26">
      <c r="A36" s="73"/>
      <c r="B36" s="74"/>
      <c r="C36" s="78"/>
      <c r="D36" s="76" t="s">
        <v>607</v>
      </c>
      <c r="E36" s="79"/>
      <c r="F36" s="57"/>
      <c r="G36" s="57"/>
      <c r="H36" s="57"/>
      <c r="I36" s="57"/>
      <c r="J36" s="57"/>
      <c r="K36" s="57"/>
      <c r="L36" s="57" t="s">
        <v>287</v>
      </c>
      <c r="M36" s="57"/>
      <c r="N36" s="57"/>
      <c r="O36" s="3"/>
      <c r="P36" s="3"/>
      <c r="Q36" s="3"/>
      <c r="R36" s="3"/>
      <c r="S36" s="3"/>
      <c r="T36" s="3"/>
    </row>
    <row r="37" ht="13.5" customHeight="1" spans="1:26">
      <c r="A37" s="73"/>
      <c r="B37" s="74"/>
      <c r="C37" s="78"/>
      <c r="D37" s="76" t="s">
        <v>608</v>
      </c>
      <c r="E37" s="79"/>
      <c r="F37" s="57"/>
      <c r="G37" s="57"/>
      <c r="H37" s="57"/>
      <c r="I37" s="57"/>
      <c r="J37" s="57"/>
      <c r="K37" s="57"/>
      <c r="L37" s="57"/>
      <c r="M37" s="57" t="s">
        <v>287</v>
      </c>
      <c r="N37" s="57"/>
      <c r="O37" s="3"/>
      <c r="P37" s="3"/>
      <c r="Q37" s="3"/>
      <c r="R37" s="3"/>
      <c r="S37" s="3"/>
      <c r="T37" s="3"/>
    </row>
    <row r="38" ht="13.5" customHeight="1" spans="1:26">
      <c r="A38" s="73"/>
      <c r="B38" s="80"/>
      <c r="C38" s="81"/>
      <c r="D38" s="82" t="s">
        <v>609</v>
      </c>
      <c r="E38" s="83"/>
      <c r="F38" s="84"/>
      <c r="G38" s="84"/>
      <c r="H38" s="84"/>
      <c r="I38" s="84"/>
      <c r="J38" s="84"/>
      <c r="K38" s="84"/>
      <c r="L38" s="84"/>
      <c r="M38" s="84"/>
      <c r="N38" s="84" t="s">
        <v>287</v>
      </c>
      <c r="O38" s="3"/>
      <c r="P38" s="3"/>
      <c r="Q38" s="3"/>
      <c r="R38" s="3"/>
      <c r="S38" s="3"/>
      <c r="T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254</v>
      </c>
      <c r="H39" s="90" t="s">
        <v>62</v>
      </c>
      <c r="I39" s="90" t="s">
        <v>254</v>
      </c>
      <c r="J39" s="90" t="s">
        <v>62</v>
      </c>
      <c r="K39" s="90" t="s">
        <v>254</v>
      </c>
      <c r="L39" s="90" t="s">
        <v>255</v>
      </c>
      <c r="M39" s="90" t="s">
        <v>255</v>
      </c>
      <c r="N39" s="90" t="s">
        <v>62</v>
      </c>
      <c r="O39" s="3"/>
      <c r="P39" s="3"/>
      <c r="Q39" s="3"/>
      <c r="R39" s="3"/>
      <c r="S39" s="3"/>
      <c r="T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 t="s">
        <v>325</v>
      </c>
      <c r="M40" s="94" t="s">
        <v>325</v>
      </c>
      <c r="N40" s="94" t="s">
        <v>325</v>
      </c>
      <c r="O40" s="3"/>
      <c r="P40" s="3"/>
      <c r="Q40" s="3"/>
      <c r="R40" s="3"/>
      <c r="S40" s="3"/>
      <c r="T40" s="3"/>
    </row>
    <row r="41" ht="60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>
        <v>46260</v>
      </c>
      <c r="N41" s="98">
        <v>46260</v>
      </c>
      <c r="O41" s="3"/>
      <c r="P41" s="3"/>
      <c r="Q41" s="3"/>
      <c r="R41" s="3"/>
      <c r="S41" s="3"/>
      <c r="T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3"/>
      <c r="P42" s="3"/>
      <c r="Q42" s="3"/>
      <c r="R42" s="3"/>
      <c r="S42" s="3"/>
      <c r="T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N39">
      <formula1>"N,A,B"</formula1>
    </dataValidation>
    <dataValidation type="list" allowBlank="1" showInputMessage="1" showErrorMessage="1" prompt=" - " sqref="F40:N40">
      <formula1>"P,F"</formula1>
    </dataValidation>
    <dataValidation type="list" allowBlank="1" showInputMessage="1" showErrorMessage="1" prompt=" - " sqref="F10:N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2.7542372881356" customWidth="1"/>
    <col min="5" max="5" width="1.88135593220339" hidden="1" customWidth="1"/>
    <col min="6" max="20" width="4.1271186440678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Functions!E31</f>
        <v>FUNC-LISTING-003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Functions!D31</f>
        <v>CreateListingReportAsync / GetListingReportsAsync / GetReportedListingsAsync / ClearListingReportsAsync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233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0.32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610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9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5</v>
      </c>
      <c r="M7" s="34">
        <f>COUNTIF(F39:T39,"A")</f>
        <v>2</v>
      </c>
      <c r="N7" s="34">
        <f>COUNTIF(F39:T39,"B")</f>
        <v>2</v>
      </c>
      <c r="O7" s="34">
        <f>COUNTA(F40:T40)</f>
        <v>9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611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 t="s">
        <v>287</v>
      </c>
      <c r="N11" s="57" t="s">
        <v>287</v>
      </c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592</v>
      </c>
      <c r="C12" s="55"/>
      <c r="D12" s="56" t="s">
        <v>612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613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614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615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616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617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618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 t="s">
        <v>619</v>
      </c>
      <c r="F19" s="57"/>
      <c r="G19" s="57"/>
      <c r="H19" s="57"/>
      <c r="I19" s="57"/>
      <c r="J19" s="57"/>
      <c r="K19" s="57"/>
      <c r="L19" s="57"/>
      <c r="M19" s="57" t="s">
        <v>287</v>
      </c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 t="s">
        <v>620</v>
      </c>
      <c r="E20" s="60"/>
      <c r="F20" s="57"/>
      <c r="G20" s="57"/>
      <c r="H20" s="57"/>
      <c r="I20" s="57"/>
      <c r="J20" s="57"/>
      <c r="K20" s="57"/>
      <c r="L20" s="57"/>
      <c r="M20" s="57"/>
      <c r="N20" s="57" t="s">
        <v>287</v>
      </c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621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622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623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624</v>
      </c>
      <c r="E34" s="79"/>
      <c r="F34" s="57"/>
      <c r="G34" s="57"/>
      <c r="H34" s="57"/>
      <c r="I34" s="57" t="s">
        <v>287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625</v>
      </c>
      <c r="E35" s="79"/>
      <c r="F35" s="57"/>
      <c r="G35" s="57"/>
      <c r="H35" s="57"/>
      <c r="I35" s="57"/>
      <c r="J35" s="57" t="s">
        <v>287</v>
      </c>
      <c r="K35" s="57"/>
      <c r="L35" s="57"/>
      <c r="M35" s="57" t="s">
        <v>287</v>
      </c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626</v>
      </c>
      <c r="E36" s="79"/>
      <c r="F36" s="57"/>
      <c r="G36" s="57"/>
      <c r="H36" s="57"/>
      <c r="I36" s="57"/>
      <c r="J36" s="57"/>
      <c r="K36" s="57" t="s">
        <v>287</v>
      </c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 t="s">
        <v>627</v>
      </c>
      <c r="E37" s="79"/>
      <c r="F37" s="57"/>
      <c r="G37" s="57"/>
      <c r="H37" s="57"/>
      <c r="I37" s="57"/>
      <c r="J37" s="57"/>
      <c r="K37" s="57"/>
      <c r="L37" s="57" t="s">
        <v>287</v>
      </c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 t="s">
        <v>628</v>
      </c>
      <c r="E38" s="83"/>
      <c r="F38" s="84"/>
      <c r="G38" s="84"/>
      <c r="H38" s="84"/>
      <c r="I38" s="84"/>
      <c r="J38" s="84"/>
      <c r="K38" s="84"/>
      <c r="L38" s="84"/>
      <c r="M38" s="84"/>
      <c r="N38" s="84" t="s">
        <v>287</v>
      </c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254</v>
      </c>
      <c r="H39" s="90" t="s">
        <v>254</v>
      </c>
      <c r="I39" s="90" t="s">
        <v>254</v>
      </c>
      <c r="J39" s="90" t="s">
        <v>62</v>
      </c>
      <c r="K39" s="90" t="s">
        <v>254</v>
      </c>
      <c r="L39" s="90" t="s">
        <v>254</v>
      </c>
      <c r="M39" s="90" t="s">
        <v>255</v>
      </c>
      <c r="N39" s="90" t="s">
        <v>255</v>
      </c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 t="s">
        <v>325</v>
      </c>
      <c r="M40" s="94" t="s">
        <v>325</v>
      </c>
      <c r="N40" s="94" t="s">
        <v>325</v>
      </c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66.7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>
        <v>46260</v>
      </c>
      <c r="N41" s="98">
        <v>46260</v>
      </c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9" customWidth="1"/>
    <col min="5" max="5" width="1.88135593220339" hidden="1" customWidth="1"/>
    <col min="6" max="20" width="4.6271186440678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Functions!E32</f>
        <v>FUNC-LISTING-004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Functions!D32</f>
        <v>CreateShareListingAsync / UpdateShareListingAsync / GetShareListingTimePolicyAsync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163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-3.48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629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9</v>
      </c>
      <c r="B7" s="33"/>
      <c r="C7" s="34">
        <f>COUNTIF(F40:T40,"F")</f>
        <v>1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3</v>
      </c>
      <c r="M7" s="34">
        <f>COUNTIF(F39:T39,"A")</f>
        <v>5</v>
      </c>
      <c r="N7" s="34">
        <f>COUNTIF(F39:T39,"B")</f>
        <v>2</v>
      </c>
      <c r="O7" s="34">
        <f>COUNTA(F40:T40)</f>
        <v>10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630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 t="s">
        <v>287</v>
      </c>
      <c r="N11" s="57" t="s">
        <v>287</v>
      </c>
      <c r="O11" s="57" t="s">
        <v>287</v>
      </c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592</v>
      </c>
      <c r="C12" s="55"/>
      <c r="D12" s="56" t="s">
        <v>631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632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633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634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635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636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637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 t="s">
        <v>638</v>
      </c>
      <c r="F19" s="57"/>
      <c r="G19" s="57"/>
      <c r="H19" s="57"/>
      <c r="I19" s="57"/>
      <c r="J19" s="57"/>
      <c r="K19" s="57"/>
      <c r="L19" s="57"/>
      <c r="M19" s="57" t="s">
        <v>287</v>
      </c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 t="s">
        <v>639</v>
      </c>
      <c r="E20" s="60"/>
      <c r="F20" s="57"/>
      <c r="G20" s="57"/>
      <c r="H20" s="57"/>
      <c r="I20" s="57"/>
      <c r="J20" s="57"/>
      <c r="K20" s="57"/>
      <c r="L20" s="57"/>
      <c r="M20" s="57"/>
      <c r="N20" s="57" t="s">
        <v>287</v>
      </c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 t="s">
        <v>640</v>
      </c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 t="s">
        <v>287</v>
      </c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641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497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642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643</v>
      </c>
      <c r="E34" s="79"/>
      <c r="F34" s="57"/>
      <c r="G34" s="57"/>
      <c r="H34" s="57"/>
      <c r="I34" s="57" t="s">
        <v>287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644</v>
      </c>
      <c r="E35" s="79"/>
      <c r="F35" s="57"/>
      <c r="G35" s="57"/>
      <c r="H35" s="57"/>
      <c r="I35" s="57"/>
      <c r="J35" s="57" t="s">
        <v>287</v>
      </c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645</v>
      </c>
      <c r="E36" s="79"/>
      <c r="F36" s="57"/>
      <c r="G36" s="57"/>
      <c r="H36" s="57"/>
      <c r="I36" s="57"/>
      <c r="J36" s="57"/>
      <c r="K36" s="57" t="s">
        <v>287</v>
      </c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 t="s">
        <v>646</v>
      </c>
      <c r="E37" s="79"/>
      <c r="F37" s="57"/>
      <c r="G37" s="57"/>
      <c r="H37" s="57"/>
      <c r="I37" s="57"/>
      <c r="J37" s="57"/>
      <c r="K37" s="57"/>
      <c r="L37" s="57" t="s">
        <v>287</v>
      </c>
      <c r="M37" s="57" t="s">
        <v>287</v>
      </c>
      <c r="N37" s="57" t="s">
        <v>287</v>
      </c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 t="s">
        <v>647</v>
      </c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 t="s">
        <v>287</v>
      </c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62</v>
      </c>
      <c r="H39" s="90" t="s">
        <v>254</v>
      </c>
      <c r="I39" s="90" t="s">
        <v>254</v>
      </c>
      <c r="J39" s="90" t="s">
        <v>62</v>
      </c>
      <c r="K39" s="90" t="s">
        <v>62</v>
      </c>
      <c r="L39" s="90" t="s">
        <v>255</v>
      </c>
      <c r="M39" s="90" t="s">
        <v>62</v>
      </c>
      <c r="N39" s="90" t="s">
        <v>255</v>
      </c>
      <c r="O39" s="90" t="s">
        <v>254</v>
      </c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 t="s">
        <v>325</v>
      </c>
      <c r="M40" s="94" t="s">
        <v>325</v>
      </c>
      <c r="N40" s="94" t="s">
        <v>325</v>
      </c>
      <c r="O40" s="94" t="s">
        <v>431</v>
      </c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69.7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>
        <v>46260</v>
      </c>
      <c r="N41" s="98">
        <v>46260</v>
      </c>
      <c r="O41" s="98">
        <v>46260</v>
      </c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31.8813559322034" customWidth="1"/>
    <col min="5" max="5" width="1.88135593220339" hidden="1" customWidth="1"/>
    <col min="6" max="20" width="4.6271186440678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Functions!E32</f>
        <v>FUNC-LISTING-004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Functions!D32</f>
        <v>CreateShareListingAsync / UpdateShareListingAsync / GetShareListingTimePolicyAsync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162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-1.52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648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8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2</v>
      </c>
      <c r="M7" s="34">
        <f>COUNTIF(F39:T39,"A")</f>
        <v>4</v>
      </c>
      <c r="N7" s="34">
        <f>COUNTIF(F39:T39,"B")</f>
        <v>2</v>
      </c>
      <c r="O7" s="34">
        <f>COUNTA(F40:T40)</f>
        <v>8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649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 t="s">
        <v>287</v>
      </c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592</v>
      </c>
      <c r="C12" s="55"/>
      <c r="D12" s="56" t="s">
        <v>650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651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652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653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654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655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656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 t="s">
        <v>657</v>
      </c>
      <c r="F19" s="57"/>
      <c r="G19" s="57"/>
      <c r="H19" s="57"/>
      <c r="I19" s="57"/>
      <c r="J19" s="57"/>
      <c r="K19" s="57"/>
      <c r="L19" s="57"/>
      <c r="M19" s="57" t="s">
        <v>287</v>
      </c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658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659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660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661</v>
      </c>
      <c r="E34" s="79"/>
      <c r="F34" s="57"/>
      <c r="G34" s="57"/>
      <c r="H34" s="57"/>
      <c r="I34" s="57" t="s">
        <v>287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662</v>
      </c>
      <c r="E35" s="79"/>
      <c r="F35" s="57"/>
      <c r="G35" s="57"/>
      <c r="H35" s="57"/>
      <c r="I35" s="57"/>
      <c r="J35" s="57" t="s">
        <v>287</v>
      </c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663</v>
      </c>
      <c r="E36" s="79"/>
      <c r="F36" s="57"/>
      <c r="G36" s="57"/>
      <c r="H36" s="57"/>
      <c r="I36" s="57"/>
      <c r="J36" s="57"/>
      <c r="K36" s="57" t="s">
        <v>287</v>
      </c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 t="s">
        <v>664</v>
      </c>
      <c r="E37" s="79"/>
      <c r="F37" s="57"/>
      <c r="G37" s="57"/>
      <c r="H37" s="57"/>
      <c r="I37" s="57"/>
      <c r="J37" s="57"/>
      <c r="K37" s="57"/>
      <c r="L37" s="57" t="s">
        <v>287</v>
      </c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 t="s">
        <v>665</v>
      </c>
      <c r="E38" s="83"/>
      <c r="F38" s="84"/>
      <c r="G38" s="84"/>
      <c r="H38" s="84"/>
      <c r="I38" s="84"/>
      <c r="J38" s="84"/>
      <c r="K38" s="84"/>
      <c r="L38" s="84"/>
      <c r="M38" s="84" t="s">
        <v>287</v>
      </c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254</v>
      </c>
      <c r="G39" s="90" t="s">
        <v>255</v>
      </c>
      <c r="H39" s="90" t="s">
        <v>62</v>
      </c>
      <c r="I39" s="90" t="s">
        <v>62</v>
      </c>
      <c r="J39" s="90" t="s">
        <v>62</v>
      </c>
      <c r="K39" s="90" t="s">
        <v>254</v>
      </c>
      <c r="L39" s="90" t="s">
        <v>62</v>
      </c>
      <c r="M39" s="90" t="s">
        <v>255</v>
      </c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 t="s">
        <v>325</v>
      </c>
      <c r="M40" s="94" t="s">
        <v>325</v>
      </c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65.2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>
        <v>46260</v>
      </c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9.6271186440678" customWidth="1"/>
    <col min="5" max="5" width="1.88135593220339" hidden="1" customWidth="1"/>
    <col min="6" max="20" width="4.6271186440678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Functions!E33</f>
        <v>FUNC-WALLET-001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Functions!D33</f>
        <v>GetOwnWallet / GetWalletByUserId / UpdateWalletBalance / SpendWalletBalance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240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-4.4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666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14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4</v>
      </c>
      <c r="M7" s="34">
        <f>COUNTIF(F39:T39,"A")</f>
        <v>9</v>
      </c>
      <c r="N7" s="34">
        <f>COUNTIF(F39:T39,"B")</f>
        <v>1</v>
      </c>
      <c r="O7" s="34">
        <f>COUNTA(F40:T40)</f>
        <v>14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667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 t="s">
        <v>287</v>
      </c>
      <c r="N11" s="57" t="s">
        <v>287</v>
      </c>
      <c r="O11" s="57" t="s">
        <v>287</v>
      </c>
      <c r="P11" s="57" t="s">
        <v>287</v>
      </c>
      <c r="Q11" s="57" t="s">
        <v>287</v>
      </c>
      <c r="R11" s="57" t="s">
        <v>287</v>
      </c>
      <c r="S11" s="57" t="s">
        <v>287</v>
      </c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592</v>
      </c>
      <c r="C12" s="55"/>
      <c r="D12" s="56" t="s">
        <v>668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669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670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671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672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673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674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 t="s">
        <v>675</v>
      </c>
      <c r="F19" s="57"/>
      <c r="G19" s="57"/>
      <c r="H19" s="57"/>
      <c r="I19" s="57"/>
      <c r="J19" s="57"/>
      <c r="K19" s="57"/>
      <c r="L19" s="57"/>
      <c r="M19" s="57" t="s">
        <v>287</v>
      </c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 t="s">
        <v>676</v>
      </c>
      <c r="E20" s="60"/>
      <c r="F20" s="57"/>
      <c r="G20" s="57"/>
      <c r="H20" s="57"/>
      <c r="I20" s="57"/>
      <c r="J20" s="57"/>
      <c r="K20" s="57"/>
      <c r="L20" s="57"/>
      <c r="M20" s="57"/>
      <c r="N20" s="57" t="s">
        <v>287</v>
      </c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 t="s">
        <v>677</v>
      </c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 t="s">
        <v>287</v>
      </c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 t="s">
        <v>678</v>
      </c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 t="s">
        <v>287</v>
      </c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 t="s">
        <v>679</v>
      </c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 t="s">
        <v>287</v>
      </c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 t="s">
        <v>680</v>
      </c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 t="s">
        <v>287</v>
      </c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 t="s">
        <v>681</v>
      </c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 t="s">
        <v>287</v>
      </c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682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683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 t="s">
        <v>287</v>
      </c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684</v>
      </c>
      <c r="E33" s="79"/>
      <c r="F33" s="57"/>
      <c r="G33" s="57"/>
      <c r="H33" s="57" t="s">
        <v>287</v>
      </c>
      <c r="I33" s="57"/>
      <c r="J33" s="57"/>
      <c r="K33" s="57" t="s">
        <v>287</v>
      </c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685</v>
      </c>
      <c r="E34" s="79"/>
      <c r="F34" s="57"/>
      <c r="G34" s="57"/>
      <c r="H34" s="57"/>
      <c r="I34" s="57" t="s">
        <v>287</v>
      </c>
      <c r="J34" s="57" t="s">
        <v>287</v>
      </c>
      <c r="K34" s="57"/>
      <c r="L34" s="57"/>
      <c r="M34" s="57"/>
      <c r="N34" s="57" t="s">
        <v>287</v>
      </c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686</v>
      </c>
      <c r="E35" s="79"/>
      <c r="F35" s="57"/>
      <c r="G35" s="57"/>
      <c r="H35" s="57"/>
      <c r="I35" s="57"/>
      <c r="J35" s="57"/>
      <c r="K35" s="57"/>
      <c r="L35" s="57" t="s">
        <v>287</v>
      </c>
      <c r="M35" s="57"/>
      <c r="N35" s="57"/>
      <c r="O35" s="57"/>
      <c r="P35" s="57"/>
      <c r="Q35" s="57"/>
      <c r="R35" s="57" t="s">
        <v>287</v>
      </c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687</v>
      </c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 t="s">
        <v>287</v>
      </c>
      <c r="P36" s="57"/>
      <c r="Q36" s="57"/>
      <c r="R36" s="57"/>
      <c r="S36" s="57" t="s">
        <v>287</v>
      </c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 t="s">
        <v>688</v>
      </c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 t="s">
        <v>287</v>
      </c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 t="s">
        <v>689</v>
      </c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 t="s">
        <v>287</v>
      </c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254</v>
      </c>
      <c r="G39" s="90" t="s">
        <v>62</v>
      </c>
      <c r="H39" s="90" t="s">
        <v>254</v>
      </c>
      <c r="I39" s="90" t="s">
        <v>62</v>
      </c>
      <c r="J39" s="90" t="s">
        <v>62</v>
      </c>
      <c r="K39" s="90" t="s">
        <v>254</v>
      </c>
      <c r="L39" s="90" t="s">
        <v>62</v>
      </c>
      <c r="M39" s="90" t="s">
        <v>62</v>
      </c>
      <c r="N39" s="90" t="s">
        <v>62</v>
      </c>
      <c r="O39" s="90" t="s">
        <v>62</v>
      </c>
      <c r="P39" s="90" t="s">
        <v>254</v>
      </c>
      <c r="Q39" s="90" t="s">
        <v>255</v>
      </c>
      <c r="R39" s="90" t="s">
        <v>62</v>
      </c>
      <c r="S39" s="90" t="s">
        <v>62</v>
      </c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 t="s">
        <v>325</v>
      </c>
      <c r="M40" s="94" t="s">
        <v>325</v>
      </c>
      <c r="N40" s="94" t="s">
        <v>325</v>
      </c>
      <c r="O40" s="94" t="s">
        <v>325</v>
      </c>
      <c r="P40" s="94" t="s">
        <v>325</v>
      </c>
      <c r="Q40" s="94" t="s">
        <v>325</v>
      </c>
      <c r="R40" s="94" t="s">
        <v>325</v>
      </c>
      <c r="S40" s="94" t="s">
        <v>325</v>
      </c>
      <c r="T40" s="95"/>
      <c r="U40" s="3"/>
      <c r="V40" s="3"/>
      <c r="W40" s="3"/>
      <c r="X40" s="3"/>
      <c r="Y40" s="3"/>
      <c r="Z40" s="3"/>
    </row>
    <row r="41" ht="58.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>
        <v>46260</v>
      </c>
      <c r="N41" s="98">
        <v>46260</v>
      </c>
      <c r="O41" s="98">
        <v>46260</v>
      </c>
      <c r="P41" s="98">
        <v>46260</v>
      </c>
      <c r="Q41" s="98">
        <v>46260</v>
      </c>
      <c r="R41" s="98">
        <v>46260</v>
      </c>
      <c r="S41" s="98">
        <v>46260</v>
      </c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9.6271186440678" customWidth="1"/>
    <col min="5" max="5" width="1.88135593220339" hidden="1" customWidth="1"/>
    <col min="6" max="20" width="4.75423728813559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Functions!E34</f>
        <v>FUNC-BOOKING-001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Functions!D34</f>
        <v>CreateBookingRequestAsync / UpdateBookingRequestAsync / UpdateStatusAsync / DeleteBookingRequestAsync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244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-4.24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690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14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3</v>
      </c>
      <c r="M7" s="34">
        <f>COUNTIF(F39:T39,"A")</f>
        <v>9</v>
      </c>
      <c r="N7" s="34">
        <f>COUNTIF(F39:T39,"B")</f>
        <v>2</v>
      </c>
      <c r="O7" s="34">
        <f>COUNTA(F40:T40)</f>
        <v>14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691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 t="s">
        <v>287</v>
      </c>
      <c r="N11" s="57" t="s">
        <v>287</v>
      </c>
      <c r="O11" s="57" t="s">
        <v>287</v>
      </c>
      <c r="P11" s="57" t="s">
        <v>287</v>
      </c>
      <c r="Q11" s="57" t="s">
        <v>287</v>
      </c>
      <c r="R11" s="57" t="s">
        <v>287</v>
      </c>
      <c r="S11" s="57" t="s">
        <v>287</v>
      </c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592</v>
      </c>
      <c r="C12" s="55"/>
      <c r="D12" s="56" t="s">
        <v>692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693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694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695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696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697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698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 t="s">
        <v>699</v>
      </c>
      <c r="F19" s="57"/>
      <c r="G19" s="57"/>
      <c r="H19" s="57"/>
      <c r="I19" s="57"/>
      <c r="J19" s="57"/>
      <c r="K19" s="57"/>
      <c r="L19" s="57"/>
      <c r="M19" s="57" t="s">
        <v>287</v>
      </c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 t="s">
        <v>700</v>
      </c>
      <c r="E20" s="60"/>
      <c r="F20" s="57"/>
      <c r="G20" s="57"/>
      <c r="H20" s="57"/>
      <c r="I20" s="57"/>
      <c r="J20" s="57"/>
      <c r="K20" s="57"/>
      <c r="L20" s="57"/>
      <c r="M20" s="57"/>
      <c r="N20" s="57" t="s">
        <v>287</v>
      </c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 t="s">
        <v>701</v>
      </c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 t="s">
        <v>287</v>
      </c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 t="s">
        <v>702</v>
      </c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 t="s">
        <v>287</v>
      </c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 t="s">
        <v>703</v>
      </c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 t="s">
        <v>287</v>
      </c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 t="s">
        <v>704</v>
      </c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 t="s">
        <v>287</v>
      </c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 t="s">
        <v>705</v>
      </c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 t="s">
        <v>287</v>
      </c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706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707</v>
      </c>
      <c r="E32" s="77"/>
      <c r="F32" s="57"/>
      <c r="G32" s="57" t="s">
        <v>287</v>
      </c>
      <c r="H32" s="57" t="s">
        <v>287</v>
      </c>
      <c r="I32" s="57" t="s">
        <v>287</v>
      </c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708</v>
      </c>
      <c r="E33" s="79"/>
      <c r="F33" s="57"/>
      <c r="G33" s="57"/>
      <c r="H33" s="57"/>
      <c r="I33" s="57"/>
      <c r="J33" s="57" t="s">
        <v>287</v>
      </c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709</v>
      </c>
      <c r="E34" s="79"/>
      <c r="F34" s="57"/>
      <c r="G34" s="57"/>
      <c r="H34" s="57"/>
      <c r="I34" s="57"/>
      <c r="J34" s="57"/>
      <c r="K34" s="57" t="s">
        <v>287</v>
      </c>
      <c r="L34" s="57"/>
      <c r="M34" s="57"/>
      <c r="N34" s="57"/>
      <c r="O34" s="57" t="s">
        <v>287</v>
      </c>
      <c r="P34" s="57"/>
      <c r="Q34" s="57"/>
      <c r="R34" s="57"/>
      <c r="S34" s="57" t="s">
        <v>287</v>
      </c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710</v>
      </c>
      <c r="E35" s="79"/>
      <c r="F35" s="57"/>
      <c r="G35" s="57"/>
      <c r="H35" s="57"/>
      <c r="I35" s="57"/>
      <c r="J35" s="57"/>
      <c r="K35" s="57"/>
      <c r="L35" s="57" t="s">
        <v>287</v>
      </c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711</v>
      </c>
      <c r="E36" s="79"/>
      <c r="F36" s="57"/>
      <c r="G36" s="57"/>
      <c r="H36" s="57"/>
      <c r="I36" s="57"/>
      <c r="J36" s="57"/>
      <c r="K36" s="57"/>
      <c r="L36" s="57"/>
      <c r="M36" s="57" t="s">
        <v>287</v>
      </c>
      <c r="N36" s="57"/>
      <c r="O36" s="57"/>
      <c r="P36" s="57"/>
      <c r="Q36" s="57"/>
      <c r="R36" s="57" t="s">
        <v>287</v>
      </c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 t="s">
        <v>712</v>
      </c>
      <c r="E37" s="79"/>
      <c r="F37" s="57"/>
      <c r="G37" s="57"/>
      <c r="H37" s="57"/>
      <c r="I37" s="57"/>
      <c r="J37" s="57"/>
      <c r="K37" s="57"/>
      <c r="L37" s="57"/>
      <c r="M37" s="57"/>
      <c r="N37" s="57" t="s">
        <v>287</v>
      </c>
      <c r="O37" s="57"/>
      <c r="P37" s="57" t="s">
        <v>287</v>
      </c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 t="s">
        <v>713</v>
      </c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 t="s">
        <v>287</v>
      </c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62</v>
      </c>
      <c r="H39" s="90" t="s">
        <v>62</v>
      </c>
      <c r="I39" s="90" t="s">
        <v>255</v>
      </c>
      <c r="J39" s="90" t="s">
        <v>254</v>
      </c>
      <c r="K39" s="90" t="s">
        <v>62</v>
      </c>
      <c r="L39" s="90" t="s">
        <v>254</v>
      </c>
      <c r="M39" s="90" t="s">
        <v>62</v>
      </c>
      <c r="N39" s="90" t="s">
        <v>62</v>
      </c>
      <c r="O39" s="90" t="s">
        <v>62</v>
      </c>
      <c r="P39" s="90" t="s">
        <v>62</v>
      </c>
      <c r="Q39" s="90" t="s">
        <v>254</v>
      </c>
      <c r="R39" s="90" t="s">
        <v>255</v>
      </c>
      <c r="S39" s="90" t="s">
        <v>62</v>
      </c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 t="s">
        <v>325</v>
      </c>
      <c r="M40" s="94" t="s">
        <v>325</v>
      </c>
      <c r="N40" s="94" t="s">
        <v>325</v>
      </c>
      <c r="O40" s="94" t="s">
        <v>325</v>
      </c>
      <c r="P40" s="94" t="s">
        <v>325</v>
      </c>
      <c r="Q40" s="94" t="s">
        <v>325</v>
      </c>
      <c r="R40" s="94" t="s">
        <v>325</v>
      </c>
      <c r="S40" s="94" t="s">
        <v>325</v>
      </c>
      <c r="T40" s="95"/>
      <c r="U40" s="3"/>
      <c r="V40" s="3"/>
      <c r="W40" s="3"/>
      <c r="X40" s="3"/>
      <c r="Y40" s="3"/>
      <c r="Z40" s="3"/>
    </row>
    <row r="41" ht="56.2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>
        <v>46260</v>
      </c>
      <c r="N41" s="98">
        <v>46260</v>
      </c>
      <c r="O41" s="98">
        <v>46260</v>
      </c>
      <c r="P41" s="98">
        <v>46260</v>
      </c>
      <c r="Q41" s="98">
        <v>46260</v>
      </c>
      <c r="R41" s="98">
        <v>46260</v>
      </c>
      <c r="S41" s="98">
        <v>46260</v>
      </c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3.5" customWidth="1"/>
    <col min="5" max="5" width="1.88135593220339" hidden="1" customWidth="1"/>
    <col min="6" max="20" width="4.6271186440678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Functions!E35</f>
        <v>FUNC-REVIEW-001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Functions!D35</f>
        <v>GetAllAsync / GetByUserIdAsync / GetBySpaceIdAsync / CreateAsync / DeleteAsync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318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-0.279999999999999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714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13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5</v>
      </c>
      <c r="M7" s="34">
        <f>COUNTIF(F39:T39,"A")</f>
        <v>7</v>
      </c>
      <c r="N7" s="34">
        <f>COUNTIF(F39:T39,"B")</f>
        <v>1</v>
      </c>
      <c r="O7" s="34">
        <f>COUNTA(F40:T40)</f>
        <v>13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715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 t="s">
        <v>287</v>
      </c>
      <c r="N11" s="57" t="s">
        <v>287</v>
      </c>
      <c r="O11" s="57" t="s">
        <v>287</v>
      </c>
      <c r="P11" s="57" t="s">
        <v>287</v>
      </c>
      <c r="Q11" s="57" t="s">
        <v>287</v>
      </c>
      <c r="R11" s="57" t="s">
        <v>287</v>
      </c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592</v>
      </c>
      <c r="C12" s="55"/>
      <c r="D12" s="56" t="s">
        <v>716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717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718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719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720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721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722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 t="s">
        <v>723</v>
      </c>
      <c r="F19" s="57"/>
      <c r="G19" s="57"/>
      <c r="H19" s="57"/>
      <c r="I19" s="57"/>
      <c r="J19" s="57"/>
      <c r="K19" s="57"/>
      <c r="L19" s="57"/>
      <c r="M19" s="57" t="s">
        <v>287</v>
      </c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 t="s">
        <v>724</v>
      </c>
      <c r="E20" s="60"/>
      <c r="F20" s="57"/>
      <c r="G20" s="57"/>
      <c r="H20" s="57"/>
      <c r="I20" s="57"/>
      <c r="J20" s="57"/>
      <c r="K20" s="57"/>
      <c r="L20" s="57"/>
      <c r="M20" s="57"/>
      <c r="N20" s="57" t="s">
        <v>287</v>
      </c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 t="s">
        <v>725</v>
      </c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 t="s">
        <v>287</v>
      </c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 t="s">
        <v>726</v>
      </c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 t="s">
        <v>287</v>
      </c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 t="s">
        <v>727</v>
      </c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 t="s">
        <v>287</v>
      </c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 t="s">
        <v>728</v>
      </c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 t="s">
        <v>287</v>
      </c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729</v>
      </c>
      <c r="E31" s="72"/>
      <c r="F31" s="51" t="s">
        <v>287</v>
      </c>
      <c r="G31" s="51"/>
      <c r="H31" s="51" t="s">
        <v>287</v>
      </c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730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731</v>
      </c>
      <c r="E33" s="79"/>
      <c r="F33" s="57"/>
      <c r="G33" s="57"/>
      <c r="H33" s="57"/>
      <c r="I33" s="57" t="s">
        <v>287</v>
      </c>
      <c r="J33" s="57" t="s">
        <v>287</v>
      </c>
      <c r="K33" s="57" t="s">
        <v>287</v>
      </c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732</v>
      </c>
      <c r="E34" s="79"/>
      <c r="F34" s="57"/>
      <c r="G34" s="57"/>
      <c r="H34" s="57"/>
      <c r="I34" s="57"/>
      <c r="J34" s="57"/>
      <c r="K34" s="57"/>
      <c r="L34" s="57" t="s">
        <v>287</v>
      </c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733</v>
      </c>
      <c r="E35" s="79"/>
      <c r="F35" s="57"/>
      <c r="G35" s="57"/>
      <c r="H35" s="57"/>
      <c r="I35" s="57"/>
      <c r="J35" s="57"/>
      <c r="K35" s="57"/>
      <c r="L35" s="57"/>
      <c r="M35" s="57" t="s">
        <v>287</v>
      </c>
      <c r="N35" s="57"/>
      <c r="O35" s="57"/>
      <c r="P35" s="57" t="s">
        <v>287</v>
      </c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734</v>
      </c>
      <c r="E36" s="79"/>
      <c r="F36" s="57"/>
      <c r="G36" s="57"/>
      <c r="H36" s="57"/>
      <c r="I36" s="57"/>
      <c r="J36" s="57"/>
      <c r="K36" s="57"/>
      <c r="L36" s="57"/>
      <c r="M36" s="57"/>
      <c r="N36" s="57" t="s">
        <v>287</v>
      </c>
      <c r="O36" s="57" t="s">
        <v>287</v>
      </c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 t="s">
        <v>735</v>
      </c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 t="s">
        <v>287</v>
      </c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 t="s">
        <v>736</v>
      </c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 t="s">
        <v>287</v>
      </c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254</v>
      </c>
      <c r="G39" s="90" t="s">
        <v>62</v>
      </c>
      <c r="H39" s="90" t="s">
        <v>254</v>
      </c>
      <c r="I39" s="90" t="s">
        <v>62</v>
      </c>
      <c r="J39" s="90" t="s">
        <v>62</v>
      </c>
      <c r="K39" s="90" t="s">
        <v>255</v>
      </c>
      <c r="L39" s="90" t="s">
        <v>62</v>
      </c>
      <c r="M39" s="90" t="s">
        <v>254</v>
      </c>
      <c r="N39" s="90" t="s">
        <v>62</v>
      </c>
      <c r="O39" s="90" t="s">
        <v>62</v>
      </c>
      <c r="P39" s="90" t="s">
        <v>254</v>
      </c>
      <c r="Q39" s="90" t="s">
        <v>254</v>
      </c>
      <c r="R39" s="90" t="s">
        <v>62</v>
      </c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 t="s">
        <v>325</v>
      </c>
      <c r="M40" s="94" t="s">
        <v>325</v>
      </c>
      <c r="N40" s="94" t="s">
        <v>325</v>
      </c>
      <c r="O40" s="94" t="s">
        <v>325</v>
      </c>
      <c r="P40" s="94" t="s">
        <v>325</v>
      </c>
      <c r="Q40" s="94" t="s">
        <v>325</v>
      </c>
      <c r="R40" s="94" t="s">
        <v>325</v>
      </c>
      <c r="S40" s="94"/>
      <c r="T40" s="95"/>
      <c r="U40" s="3"/>
      <c r="V40" s="3"/>
      <c r="W40" s="3"/>
      <c r="X40" s="3"/>
      <c r="Y40" s="3"/>
      <c r="Z40" s="3"/>
    </row>
    <row r="41" ht="66.7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>
        <v>46260</v>
      </c>
      <c r="N41" s="98">
        <v>46260</v>
      </c>
      <c r="O41" s="98">
        <v>46260</v>
      </c>
      <c r="P41" s="98">
        <v>46260</v>
      </c>
      <c r="Q41" s="98">
        <v>46260</v>
      </c>
      <c r="R41" s="98">
        <v>46260</v>
      </c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9.8813559322034" customWidth="1"/>
    <col min="5" max="5" width="1.88135593220339" hidden="1" customWidth="1"/>
    <col min="6" max="20" width="4.5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Functions!E36</f>
        <v>FUNC-MSG-001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Functions!D36</f>
        <v>GetMessagesAsync / SaveMessageAsync / UpdateMessagesToReadAsync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74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-2.04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737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5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3</v>
      </c>
      <c r="M7" s="34">
        <f>COUNTIF(F39:T39,"A")</f>
        <v>1</v>
      </c>
      <c r="N7" s="34">
        <f>COUNTIF(F39:T39,"B")</f>
        <v>1</v>
      </c>
      <c r="O7" s="34">
        <f>COUNTA(F40:T40)</f>
        <v>5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738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592</v>
      </c>
      <c r="C12" s="55"/>
      <c r="D12" s="56" t="s">
        <v>739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740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741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742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743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744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745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746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747</v>
      </c>
      <c r="E34" s="79"/>
      <c r="F34" s="57"/>
      <c r="G34" s="57"/>
      <c r="H34" s="57"/>
      <c r="I34" s="57" t="s">
        <v>287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748</v>
      </c>
      <c r="E35" s="79"/>
      <c r="F35" s="57"/>
      <c r="G35" s="57"/>
      <c r="H35" s="57"/>
      <c r="I35" s="57"/>
      <c r="J35" s="57" t="s">
        <v>287</v>
      </c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254</v>
      </c>
      <c r="G39" s="90" t="s">
        <v>62</v>
      </c>
      <c r="H39" s="90" t="s">
        <v>254</v>
      </c>
      <c r="I39" s="90" t="s">
        <v>255</v>
      </c>
      <c r="J39" s="90" t="s">
        <v>254</v>
      </c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52.5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4.3813559322034" customWidth="1"/>
    <col min="5" max="5" width="1.88135593220339" hidden="1" customWidth="1"/>
    <col min="6" max="20" width="4.75423728813559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Functions!E37</f>
        <v>FUNC-FAV-001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Functions!D37</f>
        <v>AddListingsAsync / GetByUserIdAsync / RemoveListingAsync / GetListingDetailAsync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66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-4.36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749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7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3</v>
      </c>
      <c r="M7" s="34">
        <f>COUNTIF(F39:T39,"A")</f>
        <v>4</v>
      </c>
      <c r="N7" s="34">
        <f>COUNTIF(F39:T39,"B")</f>
        <v>0</v>
      </c>
      <c r="O7" s="34">
        <f>COUNTA(F40:T40)</f>
        <v>7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750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 t="s">
        <v>287</v>
      </c>
      <c r="L11" s="57" t="s">
        <v>287</v>
      </c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592</v>
      </c>
      <c r="C12" s="55"/>
      <c r="D12" s="56" t="s">
        <v>751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752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753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754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755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 t="s">
        <v>756</v>
      </c>
      <c r="E17" s="60"/>
      <c r="F17" s="57"/>
      <c r="G17" s="57"/>
      <c r="H17" s="57"/>
      <c r="I17" s="57"/>
      <c r="J17" s="57"/>
      <c r="K17" s="57" t="s">
        <v>287</v>
      </c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 t="s">
        <v>757</v>
      </c>
      <c r="E18" s="60"/>
      <c r="F18" s="57"/>
      <c r="G18" s="57"/>
      <c r="H18" s="57"/>
      <c r="I18" s="57"/>
      <c r="J18" s="57"/>
      <c r="K18" s="57"/>
      <c r="L18" s="57" t="s">
        <v>287</v>
      </c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758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759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760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761</v>
      </c>
      <c r="E34" s="79"/>
      <c r="F34" s="57"/>
      <c r="G34" s="57"/>
      <c r="H34" s="57"/>
      <c r="I34" s="57" t="s">
        <v>287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762</v>
      </c>
      <c r="E35" s="79"/>
      <c r="F35" s="57"/>
      <c r="G35" s="57"/>
      <c r="H35" s="57"/>
      <c r="I35" s="57"/>
      <c r="J35" s="57" t="s">
        <v>287</v>
      </c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 t="s">
        <v>497</v>
      </c>
      <c r="E36" s="79"/>
      <c r="F36" s="57"/>
      <c r="G36" s="57"/>
      <c r="H36" s="57"/>
      <c r="I36" s="57"/>
      <c r="J36" s="57"/>
      <c r="K36" s="57" t="s">
        <v>287</v>
      </c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 t="s">
        <v>763</v>
      </c>
      <c r="E37" s="79"/>
      <c r="F37" s="57"/>
      <c r="G37" s="57"/>
      <c r="H37" s="57"/>
      <c r="I37" s="57"/>
      <c r="J37" s="57"/>
      <c r="K37" s="57"/>
      <c r="L37" s="57" t="s">
        <v>287</v>
      </c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62</v>
      </c>
      <c r="H39" s="90" t="s">
        <v>254</v>
      </c>
      <c r="I39" s="90" t="s">
        <v>62</v>
      </c>
      <c r="J39" s="90" t="s">
        <v>254</v>
      </c>
      <c r="K39" s="90" t="s">
        <v>62</v>
      </c>
      <c r="L39" s="90" t="s">
        <v>254</v>
      </c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 t="s">
        <v>325</v>
      </c>
      <c r="L40" s="94" t="s">
        <v>325</v>
      </c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48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>
        <v>46260</v>
      </c>
      <c r="L41" s="98">
        <v>46260</v>
      </c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pane ySplit="9" topLeftCell="A10" activePane="bottomLeft" state="frozen"/>
      <selection/>
      <selection pane="bottomLeft" activeCell="B11" sqref="B11"/>
    </sheetView>
  </sheetViews>
  <sheetFormatPr defaultColWidth="12.6271186440678" defaultRowHeight="15" customHeight="1"/>
  <cols>
    <col min="1" max="1" width="8.1271186440678" customWidth="1"/>
    <col min="2" max="4" width="29.5" customWidth="1"/>
    <col min="5" max="5" width="1.88135593220339" hidden="1" customWidth="1"/>
    <col min="6" max="20" width="4.38135593220339" customWidth="1"/>
    <col min="21" max="21" width="2.88135593220339" customWidth="1"/>
    <col min="22" max="23" width="9" customWidth="1"/>
    <col min="24" max="26" width="10" customWidth="1"/>
  </cols>
  <sheetData>
    <row r="1" ht="13.5" customHeight="1" spans="1:26">
      <c r="A1" s="1"/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 spans="1:26">
      <c r="A2" s="5" t="s">
        <v>264</v>
      </c>
      <c r="B2" s="6"/>
      <c r="C2" s="7" t="str">
        <f>Functions!E38</f>
        <v>FUNC-TXN-001</v>
      </c>
      <c r="D2" s="6"/>
      <c r="E2" s="8"/>
      <c r="F2" s="9" t="s">
        <v>72</v>
      </c>
      <c r="G2" s="10"/>
      <c r="H2" s="10"/>
      <c r="I2" s="10"/>
      <c r="J2" s="10"/>
      <c r="K2" s="10"/>
      <c r="L2" s="11" t="str">
        <f>Functions!D38</f>
        <v>CreateTransactionAsync</v>
      </c>
      <c r="M2" s="6"/>
      <c r="N2" s="6"/>
      <c r="O2" s="6"/>
      <c r="P2" s="6"/>
      <c r="Q2" s="6"/>
      <c r="R2" s="6"/>
      <c r="S2" s="6"/>
      <c r="T2" s="12"/>
      <c r="U2" s="3"/>
      <c r="V2" s="13"/>
      <c r="W2" s="3"/>
      <c r="X2" s="3"/>
      <c r="Y2" s="3"/>
      <c r="Z2" s="3"/>
    </row>
    <row r="3" ht="13.5" customHeight="1" spans="1:26">
      <c r="A3" s="14" t="s">
        <v>265</v>
      </c>
      <c r="B3" s="15"/>
      <c r="C3" s="16" t="s">
        <v>266</v>
      </c>
      <c r="D3" s="17"/>
      <c r="E3" s="18"/>
      <c r="F3" s="19" t="s">
        <v>267</v>
      </c>
      <c r="G3" s="20"/>
      <c r="H3" s="20"/>
      <c r="I3" s="20"/>
      <c r="J3" s="20"/>
      <c r="K3" s="15"/>
      <c r="L3" s="21"/>
      <c r="M3" s="17"/>
      <c r="N3" s="17"/>
      <c r="O3" s="22"/>
      <c r="P3" s="22"/>
      <c r="Q3" s="22"/>
      <c r="R3" s="22"/>
      <c r="S3" s="22"/>
      <c r="T3" s="23"/>
      <c r="U3" s="3"/>
      <c r="V3" s="3"/>
      <c r="W3" s="3"/>
      <c r="X3" s="3"/>
      <c r="Y3" s="3"/>
      <c r="Z3" s="3"/>
    </row>
    <row r="4" ht="13.5" customHeight="1" spans="1:26">
      <c r="A4" s="14" t="s">
        <v>268</v>
      </c>
      <c r="B4" s="15"/>
      <c r="C4" s="24">
        <v>69</v>
      </c>
      <c r="D4" s="20"/>
      <c r="E4" s="25"/>
      <c r="F4" s="19" t="s">
        <v>269</v>
      </c>
      <c r="G4" s="20"/>
      <c r="H4" s="20"/>
      <c r="I4" s="20"/>
      <c r="J4" s="20"/>
      <c r="K4" s="15"/>
      <c r="L4" s="26">
        <f>IF(Functions!E6&lt;&gt;"N/A",SUM(C4*Functions!E6/1000,-O7),"N/A")</f>
        <v>-2.24</v>
      </c>
      <c r="M4" s="20"/>
      <c r="N4" s="20"/>
      <c r="O4" s="20"/>
      <c r="P4" s="20"/>
      <c r="Q4" s="20"/>
      <c r="R4" s="20"/>
      <c r="S4" s="20"/>
      <c r="T4" s="27"/>
      <c r="U4" s="3"/>
      <c r="V4" s="13"/>
      <c r="W4" s="3"/>
      <c r="X4" s="3"/>
      <c r="Y4" s="3"/>
      <c r="Z4" s="3"/>
    </row>
    <row r="5" ht="13.5" customHeight="1" spans="1:26">
      <c r="A5" s="14" t="s">
        <v>270</v>
      </c>
      <c r="B5" s="15"/>
      <c r="C5" s="28" t="s">
        <v>764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7"/>
      <c r="U5" s="3"/>
      <c r="V5" s="3"/>
      <c r="W5" s="3"/>
      <c r="X5" s="3"/>
      <c r="Y5" s="3"/>
      <c r="Z5" s="3"/>
    </row>
    <row r="6" ht="13.5" customHeight="1" spans="1:26">
      <c r="A6" s="29" t="s">
        <v>251</v>
      </c>
      <c r="B6" s="15"/>
      <c r="C6" s="30" t="s">
        <v>252</v>
      </c>
      <c r="D6" s="20"/>
      <c r="E6" s="15"/>
      <c r="F6" s="30" t="s">
        <v>253</v>
      </c>
      <c r="G6" s="20"/>
      <c r="H6" s="20"/>
      <c r="I6" s="20"/>
      <c r="J6" s="20"/>
      <c r="K6" s="15"/>
      <c r="L6" s="31" t="s">
        <v>272</v>
      </c>
      <c r="M6" s="20"/>
      <c r="N6" s="20"/>
      <c r="O6" s="30" t="s">
        <v>256</v>
      </c>
      <c r="P6" s="20"/>
      <c r="Q6" s="20"/>
      <c r="R6" s="20"/>
      <c r="S6" s="20"/>
      <c r="T6" s="27"/>
      <c r="U6" s="3"/>
      <c r="V6" s="13"/>
      <c r="W6" s="3"/>
      <c r="X6" s="3"/>
      <c r="Y6" s="3"/>
      <c r="Z6" s="3"/>
    </row>
    <row r="7" ht="13.5" customHeight="1" spans="1:26">
      <c r="A7" s="32">
        <f>COUNTIF(F40:T40,"P")</f>
        <v>5</v>
      </c>
      <c r="B7" s="33"/>
      <c r="C7" s="34">
        <f>COUNTIF(F40:T40,"F")</f>
        <v>0</v>
      </c>
      <c r="D7" s="35"/>
      <c r="E7" s="33"/>
      <c r="F7" s="34">
        <f>SUM(O7,-A7,-C7)</f>
        <v>0</v>
      </c>
      <c r="G7" s="35"/>
      <c r="H7" s="35"/>
      <c r="I7" s="35"/>
      <c r="J7" s="35"/>
      <c r="K7" s="33"/>
      <c r="L7" s="34">
        <f>COUNTIF(F39:T39,"N")</f>
        <v>1</v>
      </c>
      <c r="M7" s="34">
        <f>COUNTIF(F39:T39,"A")</f>
        <v>3</v>
      </c>
      <c r="N7" s="34">
        <f>COUNTIF(F39:T39,"B")</f>
        <v>1</v>
      </c>
      <c r="O7" s="34">
        <f>COUNTA(F40:T40)</f>
        <v>5</v>
      </c>
      <c r="P7" s="35"/>
      <c r="Q7" s="35"/>
      <c r="R7" s="35"/>
      <c r="S7" s="35"/>
      <c r="T7" s="36"/>
      <c r="U7" s="37"/>
      <c r="V7" s="3"/>
      <c r="W7" s="3"/>
      <c r="X7" s="3"/>
      <c r="Y7" s="3"/>
      <c r="Z7" s="3"/>
    </row>
    <row r="8" ht="12" customHeight="1" spans="1:26">
      <c r="A8" s="3"/>
      <c r="B8" s="38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46.5" customHeight="1" spans="1:26">
      <c r="A9" s="39"/>
      <c r="B9" s="40"/>
      <c r="C9" s="41"/>
      <c r="D9" s="42"/>
      <c r="E9" s="41"/>
      <c r="F9" s="43" t="s">
        <v>273</v>
      </c>
      <c r="G9" s="43" t="s">
        <v>274</v>
      </c>
      <c r="H9" s="43" t="s">
        <v>307</v>
      </c>
      <c r="I9" s="43" t="s">
        <v>308</v>
      </c>
      <c r="J9" s="43" t="s">
        <v>309</v>
      </c>
      <c r="K9" s="43" t="s">
        <v>310</v>
      </c>
      <c r="L9" s="43" t="s">
        <v>275</v>
      </c>
      <c r="M9" s="43" t="s">
        <v>276</v>
      </c>
      <c r="N9" s="43" t="s">
        <v>277</v>
      </c>
      <c r="O9" s="43" t="s">
        <v>278</v>
      </c>
      <c r="P9" s="43" t="s">
        <v>279</v>
      </c>
      <c r="Q9" s="43" t="s">
        <v>280</v>
      </c>
      <c r="R9" s="43" t="s">
        <v>281</v>
      </c>
      <c r="S9" s="43" t="s">
        <v>282</v>
      </c>
      <c r="T9" s="44" t="s">
        <v>283</v>
      </c>
      <c r="U9" s="45"/>
      <c r="V9" s="13"/>
      <c r="W9" s="3"/>
      <c r="X9" s="3"/>
      <c r="Y9" s="3"/>
      <c r="Z9" s="3"/>
    </row>
    <row r="10" ht="13.5" customHeight="1" spans="1:26">
      <c r="A10" s="46" t="s">
        <v>284</v>
      </c>
      <c r="B10" s="47" t="s">
        <v>285</v>
      </c>
      <c r="C10" s="48"/>
      <c r="D10" s="49"/>
      <c r="E10" s="50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2"/>
      <c r="U10" s="3"/>
      <c r="V10" s="3"/>
      <c r="W10" s="3"/>
      <c r="X10" s="3"/>
      <c r="Y10" s="3"/>
      <c r="Z10" s="3"/>
    </row>
    <row r="11" ht="13.5" customHeight="1" spans="1:26">
      <c r="A11" s="53"/>
      <c r="B11" s="54"/>
      <c r="C11" s="55"/>
      <c r="D11" s="56" t="s">
        <v>765</v>
      </c>
      <c r="E11" s="50"/>
      <c r="F11" s="57" t="s">
        <v>287</v>
      </c>
      <c r="G11" s="57" t="s">
        <v>287</v>
      </c>
      <c r="H11" s="57" t="s">
        <v>287</v>
      </c>
      <c r="I11" s="57" t="s">
        <v>287</v>
      </c>
      <c r="J11" s="57" t="s">
        <v>287</v>
      </c>
      <c r="K11" s="57"/>
      <c r="L11" s="57"/>
      <c r="M11" s="57"/>
      <c r="N11" s="57"/>
      <c r="O11" s="57"/>
      <c r="P11" s="57"/>
      <c r="Q11" s="57"/>
      <c r="R11" s="57"/>
      <c r="S11" s="57"/>
      <c r="T11" s="58"/>
      <c r="U11" s="3"/>
      <c r="V11" s="13"/>
      <c r="W11" s="3"/>
      <c r="X11" s="3"/>
      <c r="Y11" s="3"/>
      <c r="Z11" s="3"/>
    </row>
    <row r="12" ht="13.5" customHeight="1" spans="1:26">
      <c r="A12" s="53"/>
      <c r="B12" s="54" t="s">
        <v>766</v>
      </c>
      <c r="C12" s="55"/>
      <c r="D12" s="56" t="s">
        <v>767</v>
      </c>
      <c r="E12" s="50"/>
      <c r="F12" s="57" t="s">
        <v>287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3"/>
      <c r="V12" s="3"/>
      <c r="W12" s="3"/>
      <c r="X12" s="3"/>
      <c r="Y12" s="3"/>
      <c r="Z12" s="3"/>
    </row>
    <row r="13" ht="13.5" customHeight="1" spans="1:26">
      <c r="A13" s="53"/>
      <c r="B13" s="54"/>
      <c r="C13" s="55"/>
      <c r="D13" s="56" t="s">
        <v>768</v>
      </c>
      <c r="E13" s="59"/>
      <c r="F13" s="57"/>
      <c r="G13" s="57" t="s">
        <v>287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8"/>
      <c r="U13" s="3"/>
      <c r="V13" s="3"/>
      <c r="W13" s="3"/>
      <c r="X13" s="3"/>
      <c r="Y13" s="3"/>
      <c r="Z13" s="3"/>
    </row>
    <row r="14" ht="13.5" customHeight="1" spans="1:26">
      <c r="A14" s="53"/>
      <c r="B14" s="54"/>
      <c r="C14" s="55"/>
      <c r="D14" s="56" t="s">
        <v>769</v>
      </c>
      <c r="E14" s="60"/>
      <c r="F14" s="57"/>
      <c r="G14" s="57"/>
      <c r="H14" s="57" t="s">
        <v>287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8"/>
      <c r="U14" s="3"/>
      <c r="V14" s="3"/>
      <c r="W14" s="3"/>
      <c r="X14" s="3"/>
      <c r="Y14" s="3"/>
      <c r="Z14" s="3"/>
    </row>
    <row r="15" ht="13.5" customHeight="1" spans="1:26">
      <c r="A15" s="53"/>
      <c r="B15" s="54"/>
      <c r="C15" s="55"/>
      <c r="D15" s="56" t="s">
        <v>770</v>
      </c>
      <c r="E15" s="60"/>
      <c r="F15" s="57"/>
      <c r="G15" s="57"/>
      <c r="H15" s="57"/>
      <c r="I15" s="57" t="s">
        <v>287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  <c r="U15" s="3"/>
      <c r="V15" s="3"/>
      <c r="W15" s="3"/>
      <c r="X15" s="3"/>
      <c r="Y15" s="3"/>
      <c r="Z15" s="3"/>
    </row>
    <row r="16" ht="13.5" customHeight="1" spans="1:26">
      <c r="A16" s="53"/>
      <c r="B16" s="54"/>
      <c r="C16" s="55"/>
      <c r="D16" s="56" t="s">
        <v>771</v>
      </c>
      <c r="E16" s="60"/>
      <c r="F16" s="57"/>
      <c r="G16" s="57"/>
      <c r="H16" s="57"/>
      <c r="I16" s="57"/>
      <c r="J16" s="57" t="s">
        <v>287</v>
      </c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3"/>
      <c r="V16" s="3"/>
      <c r="W16" s="3"/>
      <c r="X16" s="3"/>
      <c r="Y16" s="3"/>
      <c r="Z16" s="3"/>
    </row>
    <row r="17" ht="13.5" customHeight="1" spans="1:26">
      <c r="A17" s="53"/>
      <c r="B17" s="54"/>
      <c r="C17" s="55"/>
      <c r="D17" s="56"/>
      <c r="E17" s="60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8"/>
      <c r="U17" s="61"/>
      <c r="V17" s="3"/>
      <c r="W17" s="3"/>
      <c r="X17" s="3"/>
      <c r="Y17" s="3"/>
      <c r="Z17" s="3"/>
    </row>
    <row r="18" ht="13.5" customHeight="1" spans="1:26">
      <c r="A18" s="53"/>
      <c r="B18" s="54"/>
      <c r="C18" s="55"/>
      <c r="D18" s="56"/>
      <c r="E18" s="60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8"/>
      <c r="U18" s="61"/>
      <c r="V18" s="3"/>
      <c r="W18" s="3"/>
      <c r="X18" s="3"/>
      <c r="Y18" s="3"/>
      <c r="Z18" s="3"/>
    </row>
    <row r="19" ht="13.5" customHeight="1" spans="1:26">
      <c r="A19" s="53"/>
      <c r="B19" s="54"/>
      <c r="C19" s="55"/>
      <c r="D19" s="4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  <c r="U19" s="3"/>
      <c r="V19" s="3"/>
      <c r="W19" s="3"/>
      <c r="X19" s="3"/>
      <c r="Y19" s="3"/>
      <c r="Z19" s="3"/>
    </row>
    <row r="20" ht="13.5" customHeight="1" spans="1:26">
      <c r="A20" s="53"/>
      <c r="B20" s="54"/>
      <c r="C20" s="55"/>
      <c r="D20" s="56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3"/>
      <c r="V20" s="3"/>
      <c r="W20" s="3"/>
      <c r="X20" s="3"/>
      <c r="Y20" s="3"/>
      <c r="Z20" s="3"/>
    </row>
    <row r="21" ht="13.5" customHeight="1" spans="1:26">
      <c r="A21" s="53"/>
      <c r="B21" s="54"/>
      <c r="C21" s="55"/>
      <c r="D21" s="56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  <c r="U21" s="3"/>
      <c r="V21" s="3"/>
      <c r="W21" s="3"/>
      <c r="X21" s="3"/>
      <c r="Y21" s="3"/>
      <c r="Z21" s="3"/>
    </row>
    <row r="22" ht="13.5" customHeight="1" spans="1:26">
      <c r="A22" s="53"/>
      <c r="B22" s="54"/>
      <c r="C22" s="55"/>
      <c r="D22" s="56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8"/>
      <c r="U22" s="3"/>
      <c r="V22" s="3"/>
      <c r="W22" s="3"/>
      <c r="X22" s="3"/>
      <c r="Y22" s="3"/>
      <c r="Z22" s="3"/>
    </row>
    <row r="23" ht="13.5" customHeight="1" spans="1:26">
      <c r="A23" s="53"/>
      <c r="B23" s="54"/>
      <c r="C23" s="55"/>
      <c r="D23" s="56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  <c r="U23" s="3"/>
      <c r="V23" s="3"/>
      <c r="W23" s="3"/>
      <c r="X23" s="3"/>
      <c r="Y23" s="3"/>
      <c r="Z23" s="3"/>
    </row>
    <row r="24" ht="13.5" customHeight="1" spans="1:26">
      <c r="A24" s="53"/>
      <c r="B24" s="54"/>
      <c r="C24" s="55"/>
      <c r="D24" s="56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3"/>
      <c r="V24" s="3"/>
      <c r="W24" s="3"/>
      <c r="X24" s="3"/>
      <c r="Y24" s="3"/>
      <c r="Z24" s="3"/>
    </row>
    <row r="25" ht="13.5" customHeight="1" spans="1:26">
      <c r="A25" s="53"/>
      <c r="B25" s="54"/>
      <c r="C25" s="55"/>
      <c r="D25" s="56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8"/>
      <c r="U25" s="3"/>
      <c r="V25" s="3"/>
      <c r="W25" s="3"/>
      <c r="X25" s="3"/>
      <c r="Y25" s="3"/>
      <c r="Z25" s="3"/>
    </row>
    <row r="26" ht="13.5" customHeight="1" spans="1:26">
      <c r="A26" s="53"/>
      <c r="B26" s="54"/>
      <c r="C26" s="55"/>
      <c r="D26" s="56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8"/>
      <c r="U26" s="3"/>
      <c r="V26" s="3"/>
      <c r="W26" s="3"/>
      <c r="X26" s="3"/>
      <c r="Y26" s="3"/>
      <c r="Z26" s="3"/>
    </row>
    <row r="27" ht="13.5" customHeight="1" spans="1:26">
      <c r="A27" s="53"/>
      <c r="B27" s="54"/>
      <c r="C27" s="55"/>
      <c r="D27" s="56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8"/>
      <c r="U27" s="3"/>
      <c r="V27" s="3"/>
      <c r="W27" s="3"/>
      <c r="X27" s="3"/>
      <c r="Y27" s="3"/>
      <c r="Z27" s="3"/>
    </row>
    <row r="28" ht="13.5" customHeight="1" spans="1:26">
      <c r="A28" s="53"/>
      <c r="B28" s="54"/>
      <c r="C28" s="55"/>
      <c r="D28" s="56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8"/>
      <c r="U28" s="3"/>
      <c r="V28" s="3"/>
      <c r="W28" s="3"/>
      <c r="X28" s="3"/>
      <c r="Y28" s="3"/>
      <c r="Z28" s="3"/>
    </row>
    <row r="29" ht="13.5" customHeight="1" spans="1:26">
      <c r="A29" s="53"/>
      <c r="B29" s="54"/>
      <c r="C29" s="55"/>
      <c r="D29" s="56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3"/>
      <c r="V29" s="3"/>
      <c r="W29" s="3"/>
      <c r="X29" s="3"/>
      <c r="Y29" s="3"/>
      <c r="Z29" s="3"/>
    </row>
    <row r="30" ht="13.5" customHeight="1" spans="1:26">
      <c r="A30" s="53"/>
      <c r="B30" s="62"/>
      <c r="C30" s="63"/>
      <c r="D30" s="64"/>
      <c r="E30" s="65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3"/>
      <c r="V30" s="3"/>
      <c r="W30" s="3"/>
      <c r="X30" s="3"/>
      <c r="Y30" s="3"/>
      <c r="Z30" s="3"/>
    </row>
    <row r="31" ht="13.5" customHeight="1" spans="1:26">
      <c r="A31" s="68" t="s">
        <v>290</v>
      </c>
      <c r="B31" s="69" t="s">
        <v>291</v>
      </c>
      <c r="C31" s="70"/>
      <c r="D31" s="71" t="s">
        <v>772</v>
      </c>
      <c r="E31" s="72"/>
      <c r="F31" s="51" t="s">
        <v>287</v>
      </c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2"/>
      <c r="U31" s="3"/>
      <c r="V31" s="3"/>
      <c r="W31" s="3"/>
      <c r="X31" s="3"/>
      <c r="Y31" s="3"/>
      <c r="Z31" s="3"/>
    </row>
    <row r="32" ht="13.5" customHeight="1" spans="1:26">
      <c r="A32" s="73"/>
      <c r="B32" s="74"/>
      <c r="C32" s="75"/>
      <c r="D32" s="76" t="s">
        <v>773</v>
      </c>
      <c r="E32" s="77"/>
      <c r="F32" s="57"/>
      <c r="G32" s="57" t="s">
        <v>287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8"/>
      <c r="U32" s="3"/>
      <c r="V32" s="3"/>
      <c r="W32" s="3"/>
      <c r="X32" s="3"/>
      <c r="Y32" s="3"/>
      <c r="Z32" s="3"/>
    </row>
    <row r="33" ht="13.5" customHeight="1" spans="1:26">
      <c r="A33" s="73"/>
      <c r="B33" s="74"/>
      <c r="C33" s="78"/>
      <c r="D33" s="76" t="s">
        <v>774</v>
      </c>
      <c r="E33" s="79"/>
      <c r="F33" s="57"/>
      <c r="G33" s="57"/>
      <c r="H33" s="57" t="s">
        <v>287</v>
      </c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8"/>
      <c r="U33" s="3"/>
      <c r="V33" s="3"/>
      <c r="W33" s="3"/>
      <c r="X33" s="3"/>
      <c r="Y33" s="3"/>
      <c r="Z33" s="3"/>
    </row>
    <row r="34" ht="13.5" customHeight="1" spans="1:26">
      <c r="A34" s="73"/>
      <c r="B34" s="74"/>
      <c r="C34" s="78"/>
      <c r="D34" s="76" t="s">
        <v>775</v>
      </c>
      <c r="E34" s="79"/>
      <c r="F34" s="57"/>
      <c r="G34" s="57"/>
      <c r="H34" s="57"/>
      <c r="I34" s="57" t="s">
        <v>287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8"/>
      <c r="U34" s="3"/>
      <c r="V34" s="3"/>
      <c r="W34" s="3"/>
      <c r="X34" s="3"/>
      <c r="Y34" s="3"/>
      <c r="Z34" s="3"/>
    </row>
    <row r="35" ht="13.5" customHeight="1" spans="1:26">
      <c r="A35" s="73"/>
      <c r="B35" s="74"/>
      <c r="C35" s="78"/>
      <c r="D35" s="76" t="s">
        <v>776</v>
      </c>
      <c r="E35" s="79"/>
      <c r="F35" s="57"/>
      <c r="G35" s="57"/>
      <c r="H35" s="57"/>
      <c r="I35" s="57"/>
      <c r="J35" s="57" t="s">
        <v>287</v>
      </c>
      <c r="K35" s="57"/>
      <c r="L35" s="57"/>
      <c r="M35" s="57"/>
      <c r="N35" s="57"/>
      <c r="O35" s="57"/>
      <c r="P35" s="57"/>
      <c r="Q35" s="57"/>
      <c r="R35" s="57"/>
      <c r="S35" s="57"/>
      <c r="T35" s="58"/>
      <c r="U35" s="3"/>
      <c r="V35" s="3"/>
      <c r="W35" s="3"/>
      <c r="X35" s="3"/>
      <c r="Y35" s="3"/>
      <c r="Z35" s="3"/>
    </row>
    <row r="36" ht="13.5" customHeight="1" spans="1:26">
      <c r="A36" s="73"/>
      <c r="B36" s="74"/>
      <c r="C36" s="78"/>
      <c r="D36" s="76"/>
      <c r="E36" s="79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8"/>
      <c r="U36" s="3"/>
      <c r="V36" s="3"/>
      <c r="W36" s="3"/>
      <c r="X36" s="3"/>
      <c r="Y36" s="3"/>
      <c r="Z36" s="3"/>
    </row>
    <row r="37" ht="13.5" customHeight="1" spans="1:26">
      <c r="A37" s="73"/>
      <c r="B37" s="74"/>
      <c r="C37" s="78"/>
      <c r="D37" s="76"/>
      <c r="E37" s="79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8"/>
      <c r="U37" s="3"/>
      <c r="V37" s="3"/>
      <c r="W37" s="3"/>
      <c r="X37" s="3"/>
      <c r="Y37" s="3"/>
      <c r="Z37" s="3"/>
    </row>
    <row r="38" ht="13.5" customHeight="1" spans="1:26">
      <c r="A38" s="73"/>
      <c r="B38" s="80"/>
      <c r="C38" s="81"/>
      <c r="D38" s="82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5"/>
      <c r="U38" s="3"/>
      <c r="V38" s="3"/>
      <c r="W38" s="3"/>
      <c r="X38" s="3"/>
      <c r="Y38" s="3"/>
      <c r="Z38" s="3"/>
    </row>
    <row r="39" ht="13.5" customHeight="1" spans="1:26">
      <c r="A39" s="68" t="s">
        <v>301</v>
      </c>
      <c r="B39" s="86" t="s">
        <v>302</v>
      </c>
      <c r="C39" s="87"/>
      <c r="D39" s="88"/>
      <c r="E39" s="89"/>
      <c r="F39" s="90" t="s">
        <v>62</v>
      </c>
      <c r="G39" s="90" t="s">
        <v>255</v>
      </c>
      <c r="H39" s="90" t="s">
        <v>62</v>
      </c>
      <c r="I39" s="90" t="s">
        <v>62</v>
      </c>
      <c r="J39" s="90" t="s">
        <v>254</v>
      </c>
      <c r="K39" s="90"/>
      <c r="L39" s="90"/>
      <c r="M39" s="90"/>
      <c r="N39" s="90"/>
      <c r="O39" s="90"/>
      <c r="P39" s="90"/>
      <c r="Q39" s="90"/>
      <c r="R39" s="90"/>
      <c r="S39" s="90"/>
      <c r="T39" s="91"/>
      <c r="U39" s="3"/>
      <c r="V39" s="3"/>
      <c r="W39" s="3"/>
      <c r="X39" s="3"/>
      <c r="Y39" s="3"/>
      <c r="Z39" s="3"/>
    </row>
    <row r="40" ht="13.5" customHeight="1" spans="1:26">
      <c r="A40" s="73"/>
      <c r="B40" s="92" t="s">
        <v>303</v>
      </c>
      <c r="C40" s="20"/>
      <c r="D40" s="15"/>
      <c r="E40" s="93"/>
      <c r="F40" s="94" t="s">
        <v>325</v>
      </c>
      <c r="G40" s="94" t="s">
        <v>325</v>
      </c>
      <c r="H40" s="94" t="s">
        <v>325</v>
      </c>
      <c r="I40" s="94" t="s">
        <v>325</v>
      </c>
      <c r="J40" s="94" t="s">
        <v>325</v>
      </c>
      <c r="K40" s="94"/>
      <c r="L40" s="94"/>
      <c r="M40" s="94"/>
      <c r="N40" s="94"/>
      <c r="O40" s="94"/>
      <c r="P40" s="94"/>
      <c r="Q40" s="94"/>
      <c r="R40" s="94"/>
      <c r="S40" s="94"/>
      <c r="T40" s="95"/>
      <c r="U40" s="3"/>
      <c r="V40" s="3"/>
      <c r="W40" s="3"/>
      <c r="X40" s="3"/>
      <c r="Y40" s="3"/>
      <c r="Z40" s="3"/>
    </row>
    <row r="41" ht="66" customHeight="1" spans="1:26">
      <c r="A41" s="73"/>
      <c r="B41" s="96" t="s">
        <v>304</v>
      </c>
      <c r="C41" s="20"/>
      <c r="D41" s="15"/>
      <c r="E41" s="97"/>
      <c r="F41" s="98">
        <v>46260</v>
      </c>
      <c r="G41" s="98">
        <v>46260</v>
      </c>
      <c r="H41" s="98">
        <v>46260</v>
      </c>
      <c r="I41" s="98">
        <v>46260</v>
      </c>
      <c r="J41" s="98">
        <v>46260</v>
      </c>
      <c r="K41" s="98"/>
      <c r="L41" s="98"/>
      <c r="M41" s="98"/>
      <c r="N41" s="98"/>
      <c r="O41" s="98"/>
      <c r="P41" s="98"/>
      <c r="Q41" s="98"/>
      <c r="R41" s="98"/>
      <c r="S41" s="98"/>
      <c r="T41" s="99"/>
      <c r="U41" s="3"/>
      <c r="V41" s="3"/>
      <c r="W41" s="3"/>
      <c r="X41" s="3"/>
      <c r="Y41" s="3"/>
      <c r="Z41" s="3"/>
    </row>
    <row r="42" ht="79.5" customHeight="1" spans="1:26">
      <c r="A42" s="100"/>
      <c r="B42" s="101" t="s">
        <v>305</v>
      </c>
      <c r="C42" s="102"/>
      <c r="D42" s="103"/>
      <c r="E42" s="104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6"/>
      <c r="U42" s="3"/>
      <c r="V42" s="3"/>
      <c r="W42" s="3"/>
      <c r="X42" s="3"/>
      <c r="Y42" s="3"/>
      <c r="Z42" s="3"/>
    </row>
    <row r="43" ht="12" customHeight="1" spans="1:26">
      <c r="A43" s="107"/>
      <c r="B43" s="38"/>
      <c r="C43" s="3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 spans="1:26">
      <c r="A44" s="3"/>
      <c r="B44" s="38"/>
      <c r="C44" s="3"/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 spans="1:26">
      <c r="A45" s="3"/>
      <c r="B45" s="38"/>
      <c r="C45" s="3"/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 spans="1:26">
      <c r="A46" s="3"/>
      <c r="B46" s="38"/>
      <c r="C46" s="3"/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 spans="1:26">
      <c r="A47" s="3"/>
      <c r="B47" s="38"/>
      <c r="C47" s="3"/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 spans="1:26">
      <c r="A48" s="3"/>
      <c r="B48" s="38"/>
      <c r="C48" s="3"/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 spans="1:26">
      <c r="A49" s="3"/>
      <c r="B49" s="38"/>
      <c r="C49" s="3"/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 spans="1:26">
      <c r="A50" s="3"/>
      <c r="B50" s="38"/>
      <c r="C50" s="3"/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>
      <c r="A51" s="3"/>
      <c r="B51" s="38"/>
      <c r="C51" s="3"/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 spans="1:26">
      <c r="A52" s="3"/>
      <c r="B52" s="38"/>
      <c r="C52" s="3"/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>
      <c r="A53" s="3"/>
      <c r="B53" s="38"/>
      <c r="C53" s="3"/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 spans="1:26">
      <c r="A54" s="3"/>
      <c r="B54" s="38"/>
      <c r="C54" s="3"/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 spans="1:26">
      <c r="A55" s="3"/>
      <c r="B55" s="38"/>
      <c r="C55" s="3"/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>
      <c r="A56" s="3"/>
      <c r="B56" s="38"/>
      <c r="C56" s="3"/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 spans="1:26">
      <c r="A57" s="3"/>
      <c r="B57" s="38"/>
      <c r="C57" s="3"/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>
      <c r="A58" s="3"/>
      <c r="B58" s="38"/>
      <c r="C58" s="3"/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 spans="1:26">
      <c r="A59" s="3"/>
      <c r="B59" s="38"/>
      <c r="C59" s="3"/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 spans="1:26">
      <c r="A60" s="3"/>
      <c r="B60" s="38"/>
      <c r="C60" s="3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 spans="1:26">
      <c r="A61" s="3"/>
      <c r="B61" s="38"/>
      <c r="C61" s="3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 spans="1:26">
      <c r="A62" s="3"/>
      <c r="B62" s="38"/>
      <c r="C62" s="3"/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 spans="1:26">
      <c r="A63" s="3"/>
      <c r="B63" s="38"/>
      <c r="C63" s="3"/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 spans="1:26">
      <c r="A64" s="3"/>
      <c r="B64" s="38"/>
      <c r="C64" s="3"/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 spans="1:26">
      <c r="A65" s="3"/>
      <c r="B65" s="38"/>
      <c r="C65" s="3"/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 spans="1:26">
      <c r="A66" s="3"/>
      <c r="B66" s="38"/>
      <c r="C66" s="3"/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 spans="1:26">
      <c r="A67" s="3"/>
      <c r="B67" s="38"/>
      <c r="C67" s="3"/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 spans="1:26">
      <c r="A68" s="3"/>
      <c r="B68" s="38"/>
      <c r="C68" s="3"/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 spans="1:26">
      <c r="A69" s="3"/>
      <c r="B69" s="38"/>
      <c r="C69" s="3"/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 spans="1:26">
      <c r="A70" s="3"/>
      <c r="B70" s="38"/>
      <c r="C70" s="3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 spans="1:26">
      <c r="A71" s="3"/>
      <c r="B71" s="38"/>
      <c r="C71" s="3"/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 spans="1:26">
      <c r="A72" s="3"/>
      <c r="B72" s="38"/>
      <c r="C72" s="3"/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 spans="1:26">
      <c r="A73" s="3"/>
      <c r="B73" s="38"/>
      <c r="C73" s="3"/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 spans="1:26">
      <c r="A74" s="3"/>
      <c r="B74" s="38"/>
      <c r="C74" s="3"/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 spans="1:26">
      <c r="A75" s="3"/>
      <c r="B75" s="38"/>
      <c r="C75" s="3"/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 spans="1:26">
      <c r="A76" s="3"/>
      <c r="B76" s="38"/>
      <c r="C76" s="3"/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 spans="1:26">
      <c r="A77" s="3"/>
      <c r="B77" s="38"/>
      <c r="C77" s="3"/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 spans="1:26">
      <c r="A78" s="3"/>
      <c r="B78" s="38"/>
      <c r="C78" s="3"/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 spans="1:26">
      <c r="A79" s="3"/>
      <c r="B79" s="38"/>
      <c r="C79" s="3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 spans="1:26">
      <c r="A80" s="3"/>
      <c r="B80" s="38"/>
      <c r="C80" s="3"/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 spans="1:26">
      <c r="A81" s="3"/>
      <c r="B81" s="38"/>
      <c r="C81" s="3"/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 spans="1:26">
      <c r="A82" s="3"/>
      <c r="B82" s="38"/>
      <c r="C82" s="3"/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 spans="1:26">
      <c r="A83" s="3"/>
      <c r="B83" s="38"/>
      <c r="C83" s="3"/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 spans="1:26">
      <c r="A84" s="3"/>
      <c r="B84" s="38"/>
      <c r="C84" s="3"/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 spans="1:26">
      <c r="A85" s="3"/>
      <c r="B85" s="38"/>
      <c r="C85" s="3"/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 spans="1:26">
      <c r="A86" s="3"/>
      <c r="B86" s="38"/>
      <c r="C86" s="3"/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 spans="1:26">
      <c r="A87" s="3"/>
      <c r="B87" s="38"/>
      <c r="C87" s="3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 spans="1:26">
      <c r="A88" s="3"/>
      <c r="B88" s="38"/>
      <c r="C88" s="3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 spans="1:26">
      <c r="A89" s="3"/>
      <c r="B89" s="38"/>
      <c r="C89" s="3"/>
      <c r="D89" s="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 spans="1:26">
      <c r="A90" s="3"/>
      <c r="B90" s="38"/>
      <c r="C90" s="3"/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 spans="1:26">
      <c r="A91" s="3"/>
      <c r="B91" s="38"/>
      <c r="C91" s="3"/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 spans="1:26">
      <c r="A92" s="3"/>
      <c r="B92" s="38"/>
      <c r="C92" s="3"/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 spans="1:26">
      <c r="A93" s="3"/>
      <c r="B93" s="38"/>
      <c r="C93" s="3"/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 spans="1:26">
      <c r="A94" s="3"/>
      <c r="B94" s="38"/>
      <c r="C94" s="3"/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 spans="1:26">
      <c r="A95" s="3"/>
      <c r="B95" s="38"/>
      <c r="C95" s="3"/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 spans="1:26">
      <c r="A96" s="3"/>
      <c r="B96" s="38"/>
      <c r="C96" s="3"/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 spans="1:26">
      <c r="A97" s="3"/>
      <c r="B97" s="38"/>
      <c r="C97" s="3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 spans="1:26">
      <c r="A98" s="3"/>
      <c r="B98" s="38"/>
      <c r="C98" s="3"/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 spans="1:26">
      <c r="A99" s="3"/>
      <c r="B99" s="38"/>
      <c r="C99" s="3"/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 spans="1:26">
      <c r="A100" s="3"/>
      <c r="B100" s="38"/>
      <c r="C100" s="3"/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 spans="1:26">
      <c r="A101" s="3"/>
      <c r="B101" s="38"/>
      <c r="C101" s="3"/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 spans="1:26">
      <c r="A102" s="3"/>
      <c r="B102" s="38"/>
      <c r="C102" s="3"/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 spans="1:26">
      <c r="A103" s="3"/>
      <c r="B103" s="38"/>
      <c r="C103" s="3"/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 spans="1:26">
      <c r="A104" s="3"/>
      <c r="B104" s="38"/>
      <c r="C104" s="3"/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 spans="1:26">
      <c r="A105" s="3"/>
      <c r="B105" s="38"/>
      <c r="C105" s="3"/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 spans="1:26">
      <c r="A106" s="3"/>
      <c r="B106" s="38"/>
      <c r="C106" s="3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 spans="1:26">
      <c r="A107" s="3"/>
      <c r="B107" s="38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 spans="1:26">
      <c r="A108" s="3"/>
      <c r="B108" s="38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 spans="1:26">
      <c r="A109" s="3"/>
      <c r="B109" s="38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 spans="1:26">
      <c r="A110" s="3"/>
      <c r="B110" s="38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 spans="1:26">
      <c r="A111" s="3"/>
      <c r="B111" s="38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 spans="1:26">
      <c r="A112" s="3"/>
      <c r="B112" s="38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 spans="1:26">
      <c r="A113" s="3"/>
      <c r="B113" s="38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 spans="1:26">
      <c r="A114" s="3"/>
      <c r="B114" s="38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 spans="1:26">
      <c r="A115" s="3"/>
      <c r="B115" s="38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 spans="1:26">
      <c r="A116" s="3"/>
      <c r="B116" s="38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 spans="1:26">
      <c r="A117" s="3"/>
      <c r="B117" s="38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 spans="1:26">
      <c r="A118" s="3"/>
      <c r="B118" s="38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 spans="1:26">
      <c r="A119" s="3"/>
      <c r="B119" s="38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 spans="1:26">
      <c r="A120" s="3"/>
      <c r="B120" s="38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 spans="1:26">
      <c r="A121" s="3"/>
      <c r="B121" s="38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 spans="1:26">
      <c r="A122" s="3"/>
      <c r="B122" s="38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 spans="1:26">
      <c r="A123" s="3"/>
      <c r="B123" s="38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 spans="1:26">
      <c r="A124" s="3"/>
      <c r="B124" s="38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 spans="1:26">
      <c r="A125" s="3"/>
      <c r="B125" s="38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 spans="1:26">
      <c r="A126" s="3"/>
      <c r="B126" s="38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 spans="1:26">
      <c r="A127" s="3"/>
      <c r="B127" s="38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 spans="1:26">
      <c r="A128" s="3"/>
      <c r="B128" s="38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 spans="1:26">
      <c r="A129" s="3"/>
      <c r="B129" s="38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 spans="1:26">
      <c r="A130" s="3"/>
      <c r="B130" s="38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 spans="1:26">
      <c r="A131" s="3"/>
      <c r="B131" s="38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 spans="1:26">
      <c r="A132" s="3"/>
      <c r="B132" s="38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 spans="1:26">
      <c r="A133" s="3"/>
      <c r="B133" s="38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 spans="1:26">
      <c r="A134" s="3"/>
      <c r="B134" s="38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 spans="1:26">
      <c r="A135" s="3"/>
      <c r="B135" s="38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 spans="1:26">
      <c r="A136" s="3"/>
      <c r="B136" s="38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 spans="1:26">
      <c r="A137" s="3"/>
      <c r="B137" s="38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 spans="1:26">
      <c r="A138" s="3"/>
      <c r="B138" s="38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 spans="1:26">
      <c r="A139" s="3"/>
      <c r="B139" s="38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 spans="1:26">
      <c r="A140" s="3"/>
      <c r="B140" s="38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 spans="1:26">
      <c r="A141" s="3"/>
      <c r="B141" s="38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 spans="1:26">
      <c r="A142" s="3"/>
      <c r="B142" s="38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 spans="1:26">
      <c r="A143" s="3"/>
      <c r="B143" s="38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 spans="1:26">
      <c r="A144" s="3"/>
      <c r="B144" s="38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 spans="1:26">
      <c r="A145" s="3"/>
      <c r="B145" s="38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 spans="1:26">
      <c r="A146" s="3"/>
      <c r="B146" s="38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 spans="1:26">
      <c r="A147" s="3"/>
      <c r="B147" s="38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 spans="1:26">
      <c r="A148" s="3"/>
      <c r="B148" s="38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 spans="1:26">
      <c r="A149" s="3"/>
      <c r="B149" s="38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 spans="1:26">
      <c r="A150" s="3"/>
      <c r="B150" s="38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 spans="1:26">
      <c r="A151" s="3"/>
      <c r="B151" s="38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 spans="1:26">
      <c r="A152" s="3"/>
      <c r="B152" s="38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 spans="1:26">
      <c r="A153" s="3"/>
      <c r="B153" s="38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 spans="1:26">
      <c r="A154" s="3"/>
      <c r="B154" s="38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 spans="1:26">
      <c r="A155" s="3"/>
      <c r="B155" s="38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 spans="1:26">
      <c r="A156" s="3"/>
      <c r="B156" s="38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 spans="1:26">
      <c r="A157" s="3"/>
      <c r="B157" s="38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 spans="1:26">
      <c r="A158" s="3"/>
      <c r="B158" s="38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 spans="1:26">
      <c r="A159" s="3"/>
      <c r="B159" s="38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 spans="1:26">
      <c r="A160" s="3"/>
      <c r="B160" s="38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 spans="1:26">
      <c r="A161" s="3"/>
      <c r="B161" s="38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 spans="1:26">
      <c r="A162" s="3"/>
      <c r="B162" s="38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 spans="1:26">
      <c r="A163" s="3"/>
      <c r="B163" s="38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 spans="1:26">
      <c r="A164" s="3"/>
      <c r="B164" s="38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 spans="1:26">
      <c r="A165" s="3"/>
      <c r="B165" s="38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 spans="1:26">
      <c r="A166" s="3"/>
      <c r="B166" s="38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 spans="1:26">
      <c r="A167" s="3"/>
      <c r="B167" s="38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 spans="1:26">
      <c r="A168" s="3"/>
      <c r="B168" s="38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 spans="1:26">
      <c r="A169" s="3"/>
      <c r="B169" s="38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 spans="1:26">
      <c r="A170" s="3"/>
      <c r="B170" s="38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 spans="1:26">
      <c r="A171" s="3"/>
      <c r="B171" s="38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 spans="1:26">
      <c r="A172" s="3"/>
      <c r="B172" s="38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 spans="1:26">
      <c r="A173" s="3"/>
      <c r="B173" s="38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 spans="1:26">
      <c r="A174" s="3"/>
      <c r="B174" s="38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 spans="1:26">
      <c r="A175" s="3"/>
      <c r="B175" s="38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 spans="1:26">
      <c r="A176" s="3"/>
      <c r="B176" s="38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 spans="1:26">
      <c r="A177" s="3"/>
      <c r="B177" s="38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 spans="1:26">
      <c r="A178" s="3"/>
      <c r="B178" s="38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 spans="1:26">
      <c r="A179" s="3"/>
      <c r="B179" s="38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 spans="1:26">
      <c r="A180" s="3"/>
      <c r="B180" s="38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 spans="1:26">
      <c r="A181" s="3"/>
      <c r="B181" s="38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 spans="1:26">
      <c r="A182" s="3"/>
      <c r="B182" s="38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 spans="1:26">
      <c r="A183" s="3"/>
      <c r="B183" s="38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 spans="1:26">
      <c r="A184" s="3"/>
      <c r="B184" s="38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 spans="1:26">
      <c r="A185" s="3"/>
      <c r="B185" s="38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 spans="1:26">
      <c r="A186" s="3"/>
      <c r="B186" s="38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 spans="1:26">
      <c r="A187" s="3"/>
      <c r="B187" s="38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 spans="1:26">
      <c r="A188" s="3"/>
      <c r="B188" s="38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 spans="1:26">
      <c r="A189" s="3"/>
      <c r="B189" s="38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 spans="1:26">
      <c r="A190" s="3"/>
      <c r="B190" s="38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 spans="1:26">
      <c r="A191" s="3"/>
      <c r="B191" s="38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 spans="1:26">
      <c r="A192" s="3"/>
      <c r="B192" s="38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 spans="1:26">
      <c r="A193" s="3"/>
      <c r="B193" s="38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 spans="1:26">
      <c r="A194" s="3"/>
      <c r="B194" s="38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 spans="1:26">
      <c r="A195" s="3"/>
      <c r="B195" s="38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 spans="1:26">
      <c r="A196" s="3"/>
      <c r="B196" s="38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 spans="1:26">
      <c r="A197" s="3"/>
      <c r="B197" s="38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 spans="1:26">
      <c r="A198" s="3"/>
      <c r="B198" s="38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 spans="1:26">
      <c r="A199" s="3"/>
      <c r="B199" s="38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 spans="1:26">
      <c r="A200" s="3"/>
      <c r="B200" s="38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 spans="1:26">
      <c r="A201" s="3"/>
      <c r="B201" s="38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 spans="1:26">
      <c r="A202" s="3"/>
      <c r="B202" s="38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 spans="1:26">
      <c r="A203" s="3"/>
      <c r="B203" s="38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 spans="1:26">
      <c r="A204" s="3"/>
      <c r="B204" s="38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 spans="1:26">
      <c r="A205" s="3"/>
      <c r="B205" s="38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 spans="1:26">
      <c r="A206" s="3"/>
      <c r="B206" s="38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 spans="1:26">
      <c r="A207" s="3"/>
      <c r="B207" s="38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 spans="1:26">
      <c r="A208" s="3"/>
      <c r="B208" s="38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 spans="1:26">
      <c r="A209" s="3"/>
      <c r="B209" s="38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 spans="1:26">
      <c r="A210" s="3"/>
      <c r="B210" s="38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 spans="1:26">
      <c r="A211" s="3"/>
      <c r="B211" s="38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 spans="1:26">
      <c r="A212" s="3"/>
      <c r="B212" s="38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 spans="1:26">
      <c r="A213" s="3"/>
      <c r="B213" s="38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 spans="1:26">
      <c r="A214" s="3"/>
      <c r="B214" s="38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 spans="1:26">
      <c r="A215" s="3"/>
      <c r="B215" s="38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 spans="1:26">
      <c r="A216" s="3"/>
      <c r="B216" s="38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 spans="1:26">
      <c r="A217" s="3"/>
      <c r="B217" s="38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 spans="1:26">
      <c r="A218" s="3"/>
      <c r="B218" s="38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 spans="1:26">
      <c r="A219" s="3"/>
      <c r="B219" s="38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 spans="1:26">
      <c r="A220" s="3"/>
      <c r="B220" s="38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 spans="1:26">
      <c r="A221" s="3"/>
      <c r="B221" s="38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 spans="1:26">
      <c r="A222" s="3"/>
      <c r="B222" s="38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 spans="1:26">
      <c r="A223" s="3"/>
      <c r="B223" s="38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 spans="1:26">
      <c r="A224" s="3"/>
      <c r="B224" s="38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 spans="1:26">
      <c r="A225" s="3"/>
      <c r="B225" s="38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 spans="1:26">
      <c r="A226" s="3"/>
      <c r="B226" s="38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 spans="1:26">
      <c r="A227" s="3"/>
      <c r="B227" s="38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 spans="1:26">
      <c r="A228" s="3"/>
      <c r="B228" s="38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 spans="1:26">
      <c r="A229" s="3"/>
      <c r="B229" s="38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 spans="1:26">
      <c r="A230" s="3"/>
      <c r="B230" s="38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 spans="1:26">
      <c r="A231" s="3"/>
      <c r="B231" s="38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 spans="1:26">
      <c r="A232" s="3"/>
      <c r="B232" s="38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 spans="1:26">
      <c r="A233" s="3"/>
      <c r="B233" s="38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 spans="1:26">
      <c r="A234" s="3"/>
      <c r="B234" s="38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 spans="1:26">
      <c r="A235" s="3"/>
      <c r="B235" s="38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 spans="1:26">
      <c r="A236" s="3"/>
      <c r="B236" s="38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 spans="1:26">
      <c r="A237" s="3"/>
      <c r="B237" s="38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 spans="1:26">
      <c r="A238" s="3"/>
      <c r="B238" s="38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 spans="1:26">
      <c r="A239" s="3"/>
      <c r="B239" s="38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 spans="1:26">
      <c r="A240" s="3"/>
      <c r="B240" s="38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 spans="1:26">
      <c r="A241" s="3"/>
      <c r="B241" s="38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 spans="1:26">
      <c r="A242" s="3"/>
      <c r="B242" s="38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D19:E19"/>
    <mergeCell ref="B39:D39"/>
    <mergeCell ref="B40:D40"/>
    <mergeCell ref="B41:D41"/>
    <mergeCell ref="B42:D42"/>
  </mergeCells>
  <dataValidations count="3">
    <dataValidation type="list" allowBlank="1" showInputMessage="1" showErrorMessage="1" prompt=" - " sqref="F39:T39">
      <formula1>"N,A,B"</formula1>
    </dataValidation>
    <dataValidation type="list" allowBlank="1" showInputMessage="1" showErrorMessage="1" prompt=" - " sqref="F40:T40">
      <formula1>"P,F"</formula1>
    </dataValidation>
    <dataValidation type="list" allowBlank="1" showInputMessage="1" showErrorMessage="1" prompt=" - " sqref="F10:T38">
      <formula1>"O"</formula1>
    </dataValidation>
  </dataValidations>
  <pageMargins left="0.7" right="0.7" top="0.75" bottom="0.75" header="0" footer="0"/>
  <pageSetup paperSize="1" orientation="landscape"/>
  <headerFooter>
    <oddFooter>&amp;L 02ae-BM/PM/HDCV/FSOFT v2/1&amp;CInternal use&amp;R&amp;P/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37</vt:i4>
      </vt:variant>
    </vt:vector>
  </HeadingPairs>
  <TitlesOfParts>
    <vt:vector size="37" baseType="lpstr">
      <vt:lpstr>Guideline</vt:lpstr>
      <vt:lpstr>Cover</vt:lpstr>
      <vt:lpstr>Functions</vt:lpstr>
      <vt:lpstr>Statistics</vt:lpstr>
      <vt:lpstr>Example</vt:lpstr>
      <vt:lpstr>AIToolService</vt:lpstr>
      <vt:lpstr>AmenityService</vt:lpstr>
      <vt:lpstr>Auth-Login</vt:lpstr>
      <vt:lpstr>Auth-Register</vt:lpstr>
      <vt:lpstr>Auth-VerifyOtp</vt:lpstr>
      <vt:lpstr>Auth-ResetPwd</vt:lpstr>
      <vt:lpstr>Auth-ChangePwd</vt:lpstr>
      <vt:lpstr>BookingNotif-Created</vt:lpstr>
      <vt:lpstr>BookingNotif-Approved</vt:lpstr>
      <vt:lpstr>Conv-GetOrCreate</vt:lpstr>
      <vt:lpstr>Conv-Query</vt:lpstr>
      <vt:lpstr>Dashboard-Stats</vt:lpstr>
      <vt:lpstr>Dashboard-Listing</vt:lpstr>
      <vt:lpstr>DataSeeder-Admin</vt:lpstr>
      <vt:lpstr>Contract-CRUD-1</vt:lpstr>
      <vt:lpstr>Contract-CRUD-2</vt:lpstr>
      <vt:lpstr>Contract-Signing-1</vt:lpstr>
      <vt:lpstr>Contract-Signing-2</vt:lpstr>
      <vt:lpstr>Contract-Share</vt:lpstr>
      <vt:lpstr>Contract-Calendar</vt:lpstr>
      <vt:lpstr>Listing-CRUD-1</vt:lpstr>
      <vt:lpstr>Listing-CRUD-2</vt:lpstr>
      <vt:lpstr>Listing-Query</vt:lpstr>
      <vt:lpstr>Listing-Report</vt:lpstr>
      <vt:lpstr>Listing-Share-1</vt:lpstr>
      <vt:lpstr>Listing-Share-2</vt:lpstr>
      <vt:lpstr>WalletService</vt:lpstr>
      <vt:lpstr>PrimaryBooking</vt:lpstr>
      <vt:lpstr>ReviewService</vt:lpstr>
      <vt:lpstr>MessageService</vt:lpstr>
      <vt:lpstr>FavoriteListService</vt:lpstr>
      <vt:lpstr>TransactionService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Hoang Anh</dc:creator>
  <cp:lastModifiedBy>dangk</cp:lastModifiedBy>
  <dcterms:created xsi:type="dcterms:W3CDTF">2007-10-09T09:39:00Z</dcterms:created>
  <dcterms:modified xsi:type="dcterms:W3CDTF">2026-09-22T01:42:37Z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C9F9188E28434D73BBF968F2B4205D77_12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