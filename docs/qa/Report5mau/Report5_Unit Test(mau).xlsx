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22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" sheetId="1" r:id="rId4"/>
    <sheet state="visible" name="Cover" sheetId="2" r:id="rId5"/>
    <sheet state="visible" name="Functions" sheetId="3" r:id="rId6"/>
    <sheet state="visible" name="Statistics" sheetId="4" r:id="rId7"/>
    <sheet state="visible" name="Example" sheetId="5" r:id="rId8"/>
    <sheet state="visible" name="AIToolService" sheetId="6" r:id="rId9"/>
    <sheet state="visible" name="AmenityService" sheetId="7" r:id="rId10"/>
    <sheet state="visible" name="Auth-Login" sheetId="8" r:id="rId11"/>
    <sheet state="visible" name="Auth-Register" sheetId="9" r:id="rId12"/>
    <sheet state="visible" name="Auth-VerifyOtp" sheetId="10" r:id="rId13"/>
    <sheet state="visible" name="Auth-ResetPwd" sheetId="11" r:id="rId14"/>
    <sheet state="visible" name="Auth-ChangePwd" sheetId="12" r:id="rId15"/>
    <sheet state="visible" name="BookingNotif-Created" sheetId="13" r:id="rId16"/>
    <sheet state="visible" name="BookingNotif-Approved" sheetId="14" r:id="rId17"/>
    <sheet state="visible" name="Conv-GetOrCreate" sheetId="15" r:id="rId18"/>
    <sheet state="visible" name="Conv-Query" sheetId="16" r:id="rId19"/>
    <sheet state="visible" name="Dashboard-Stats" sheetId="17" r:id="rId20"/>
    <sheet state="visible" name="Dashboard-Listing" sheetId="18" r:id="rId21"/>
    <sheet state="visible" name="DataSeeder-Admin" sheetId="19" r:id="rId22"/>
    <sheet state="visible" name="Contract-CRUD-1" sheetId="20" r:id="rId23"/>
    <sheet state="visible" name="Contract-CRUD-2" sheetId="21" r:id="rId24"/>
    <sheet state="visible" name="Contract-Signing-1" sheetId="22" r:id="rId25"/>
    <sheet state="visible" name="Contract-Signing-2" sheetId="23" r:id="rId26"/>
    <sheet state="visible" name="Contract-Share" sheetId="24" r:id="rId27"/>
    <sheet state="visible" name="Contract-Calendar" sheetId="25" r:id="rId28"/>
    <sheet state="visible" name="Listing-CRUD-1" sheetId="26" r:id="rId29"/>
    <sheet state="visible" name="Listing-CRUD-2" sheetId="27" r:id="rId30"/>
    <sheet state="visible" name="Listing-Query" sheetId="28" r:id="rId31"/>
    <sheet state="visible" name="Listing-Report" sheetId="29" r:id="rId32"/>
    <sheet state="visible" name="Listing-Share-1" sheetId="30" r:id="rId33"/>
    <sheet state="visible" name="Listing-Share-2" sheetId="31" r:id="rId34"/>
    <sheet state="visible" name="WalletService" sheetId="32" r:id="rId35"/>
    <sheet state="visible" name="PrimaryBooking" sheetId="33" r:id="rId36"/>
    <sheet state="visible" name="ReviewService" sheetId="34" r:id="rId37"/>
    <sheet state="visible" name="MessageService" sheetId="35" r:id="rId38"/>
    <sheet state="visible" name="FavoriteListService" sheetId="36" r:id="rId39"/>
    <sheet state="visible" name="TransactionService" sheetId="37" r:id="rId40"/>
  </sheets>
  <definedNames>
    <definedName localSheetId="3" name="Z_BE54E0AD_3725_4423_92D7_4F1C045BE1BC_.wvu.PrintArea">Statistics!$A:$I</definedName>
    <definedName localSheetId="3" name="Z_2C0D9096_8D85_462A_A9B5_0B488ADB4269_.wvu.PrintArea">Statistics!$A:$I</definedName>
    <definedName name="ACTION">#REF!</definedName>
    <definedName localSheetId="3" name="Z_6F1DCD5D_5DAC_4817_BF40_2B66F6F593E6_.wvu.PrintArea">Statistics!$A:$I</definedName>
  </definedNames>
  <calcPr/>
  <extLst>
    <ext uri="GoogleSheetsCustomDataVersion2">
      <go:sheetsCustomData xmlns:go="http://customooxmlschemas.google.com/" r:id="rId41" roundtripDataChecksum="bNno98axFrds7tTKTSUMOewnNip08AE7dFIkQrPhE5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*A: Add
  M: Modify
  D: Delete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
Not mandatory
======</t>
      </text>
    </comment>
    <comment authorId="0" ref="A5">
      <text>
        <t xml:space="preserve">Not mandatory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Not mandatory
======</t>
      </text>
    </comment>
    <comment authorId="0" ref="A5">
      <text>
        <t xml:space="preserve">Not mandatory
======</t>
      </text>
    </comment>
  </commentList>
</comments>
</file>

<file path=xl/sharedStrings.xml><?xml version="1.0" encoding="utf-8"?>
<sst xmlns="http://schemas.openxmlformats.org/spreadsheetml/2006/main" count="3158" uniqueCount="777">
  <si>
    <t>Guideline to make and understand Unit Test Case</t>
  </si>
  <si>
    <t>UNIT TEST DOCUMENT</t>
  </si>
  <si>
    <t>1. Overview</t>
  </si>
  <si>
    <t xml:space="preserve"> - In the template, Unit test cases are based on functions. Each sheet presents test cases for one function.</t>
  </si>
  <si>
    <t>Function List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</si>
  <si>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Cover</t>
    </r>
    <r>
      <rPr>
        <rFont val="Tahoma"/>
        <color theme="1"/>
        <sz val="10.0"/>
      </rPr>
      <t>: General information of the project and Unit Test cases</t>
    </r>
  </si>
  <si>
    <t>Project Name</t>
  </si>
  <si>
    <t xml:space="preserve"> AI-powered Shared Business Space Platform with Time-based Subleasing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</si>
  <si>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FunctionList</t>
    </r>
    <r>
      <rPr>
        <rFont val="Tahoma"/>
        <color theme="1"/>
        <sz val="10.0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</si>
  <si>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t>Creator</t>
  </si>
  <si>
    <t>KietNT</t>
  </si>
  <si>
    <r>
      <rPr>
        <rFont val="Tahoma"/>
        <color theme="1"/>
        <sz val="10.0"/>
      </rPr>
      <t xml:space="preserve">     + Click on Function link to open the related Test cases of the function.  
     </t>
    </r>
    <r>
      <rPr>
        <rFont val="Tahoma"/>
        <i/>
        <color theme="1"/>
        <sz val="10.0"/>
      </rPr>
      <t>Note:</t>
    </r>
    <r>
      <rPr>
        <rFont val="Tahoma"/>
        <color theme="1"/>
        <sz val="10.0"/>
      </rPr>
      <t xml:space="preserve"> You should create new Function sheet before creating the link</t>
    </r>
  </si>
  <si>
    <t>Project Code</t>
  </si>
  <si>
    <t>SU26SE038</t>
  </si>
  <si>
    <t>Issue Date</t>
  </si>
  <si>
    <r>
      <rPr>
        <rFont val="Tahoma"/>
        <color theme="1"/>
        <sz val="10.0"/>
      </rPr>
      <t xml:space="preserve"> - </t>
    </r>
    <r>
      <rPr>
        <rFont val="Tahoma"/>
        <b/>
        <color theme="1"/>
        <sz val="10.0"/>
      </rPr>
      <t>Test Report</t>
    </r>
    <r>
      <rPr>
        <rFont val="Tahoma"/>
        <color theme="1"/>
        <sz val="10.0"/>
      </rPr>
      <t>: provive the overview results of Functions Unit test: Test coverage, Test successful coverage 
    (Summary, for normal/abnormal/boundary cases)</t>
    </r>
  </si>
  <si>
    <t xml:space="preserve">     Note:  Should check the formula of "Sub Total" if you add more functions</t>
  </si>
  <si>
    <t>Document Code</t>
  </si>
  <si>
    <t>Version</t>
  </si>
  <si>
    <t>2. Content in Test function sheet</t>
  </si>
  <si>
    <t>2.1 Combination of test cases.</t>
  </si>
  <si>
    <t xml:space="preserve">Normal number of Test cases/KLOC 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</si>
  <si>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</si>
  <si>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>Record of change</t>
  </si>
  <si>
    <t xml:space="preserve"> - If the number of Unit TC does not meet the requirement, creator should explain the reasons.</t>
  </si>
  <si>
    <t>Test Environment Setup Description</t>
  </si>
  <si>
    <t>1. Server
   - Local development machine or CI/CD runner.
   - .NET SDK installed.
   - The test server does not need to be started for service-layer unit tests.
2. Database
   - A real database is not required for most unit tests.
   - Repository and UnitOfWork dependencies are mocked.
   - If integration tests are added later, SQL Server or an in-memory database can be configured.
3. Web Browser
   - Not required for current unit tests.
   - Browsers are only needed for manual UI/API testing or end-to-end testing.
4. Operating System
   - Windows, Linux, or macOS can be used.
   - The current project environment is Windows with PowerShell.
5. Runtime and Framework
   - .NET SDK compatible with the project target framework.
   - ASP.NET Core runtime for web/API execution when needed.
6. Testing Framework
   - xUnit is used to define and execute test cases.
   - Test cases are marked with [Fact] or [Theory].
7. Mocking Framework
   - Moq is used to mock dependencies such as repositories, services, and UnitOfWork.
8. Assertion Library
   - FluentAssertions is used to verify expected results in a readable format.
9. Application Configuration
   - Unit tests should provide required configuration values through mocked options or test-specific setup.
   - Production appsettings files are not required for most unit tests.
10. External Services
   - Email service, PayOS payment gateway, Cloudinary, Fal AI, Expo Push Notification, and Turnstile should be mocked.
   - No real external API calls should be made during unit testing.
11. Source Code and Test Projects
   - Production projects:
     FlexiSpace.Application
     FlexiSpace.Domain
     FlexiSpace.Infrastructure
     FlexiSpace.Web
   - Test projects:
     FlexiSpace.Application.Tests
     FlexiSpace.Domain.Tests
     FlexiSpace.Infrastructure.Tests
     FlexiSpace.Web.Tests
12. Test Execution Command
   - Tests can be executed using:
     dotnet test FlexiSpace_CapstoneProject.sln</t>
  </si>
  <si>
    <t>Effective Date</t>
  </si>
  <si>
    <t xml:space="preserve"> - If the number of  'Normal number test cases/KLOC' item in FunctionList sheet is not recorded, the number in 'Lack of test cases' is not calculated.</t>
  </si>
  <si>
    <t>Change Item</t>
  </si>
  <si>
    <t>*A,D,M</t>
  </si>
  <si>
    <t>Change description</t>
  </si>
  <si>
    <t>Reference</t>
  </si>
  <si>
    <t xml:space="preserve"> 2.2 Condition and confirmation of Test cases.</t>
  </si>
  <si>
    <t>1</t>
  </si>
  <si>
    <t>A</t>
  </si>
  <si>
    <t>Add information to unit test document</t>
  </si>
  <si>
    <t>Cover, Function</t>
  </si>
  <si>
    <t xml:space="preserve"> Each test case is the combination of condition and confirmation.</t>
  </si>
  <si>
    <t>a. Condition:</t>
  </si>
  <si>
    <t>No</t>
  </si>
  <si>
    <t xml:space="preserve">        - Condition is combination of precondition and values of inputs.</t>
  </si>
  <si>
    <t>Requirement
Name</t>
  </si>
  <si>
    <t>UNIT TEST REPORT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</si>
  <si>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</si>
  <si>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</si>
  <si>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</si>
  <si>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</si>
  <si>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</si>
  <si>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</si>
  <si>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</si>
  <si>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</si>
  <si>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>REQ-AI-001 AI Image Generation</t>
  </si>
  <si>
    <t>AIToolService</t>
  </si>
  <si>
    <t>GenerateImageAsync</t>
  </si>
  <si>
    <t xml:space="preserve">                . Normal values are values of inputs used mainly and usually to ensure the function works.</t>
  </si>
  <si>
    <t>FUNC-AI-001</t>
  </si>
  <si>
    <t>AIToolServiceTests</t>
  </si>
  <si>
    <t>Generates AI image, uploads result, charges wallet, and stores image history.</t>
  </si>
  <si>
    <t>User wallet, AI provider, Cloudinary service, and unit of work are initialized.</t>
  </si>
  <si>
    <t xml:space="preserve">                . Boundary values are limited values that contain upper and lower values.</t>
  </si>
  <si>
    <t>REQ-AMN-001 Amenity Management</t>
  </si>
  <si>
    <t>AmenityService</t>
  </si>
  <si>
    <t>GetAllAmenitiesBySpaceIdAsync</t>
  </si>
  <si>
    <t>FUNC-AMN-001</t>
  </si>
  <si>
    <t>AmenityServiceTests</t>
  </si>
  <si>
    <t>Retrieves amenities assigned to a specific space.</t>
  </si>
  <si>
    <t>Space repository and amenity repository are available.</t>
  </si>
  <si>
    <t xml:space="preserve">                . Abnormal values are non-expected values. And normally it processes exception cases.   </t>
  </si>
  <si>
    <t xml:space="preserve"> </t>
  </si>
  <si>
    <t>REQ-AUTH-001 Authentication</t>
  </si>
  <si>
    <t>AuthService</t>
  </si>
  <si>
    <t>LoginAsync</t>
  </si>
  <si>
    <t>FUNC-AUTH-001</t>
  </si>
  <si>
    <t xml:space="preserve">        - For examples:</t>
  </si>
  <si>
    <t>AuthServiceTests</t>
  </si>
  <si>
    <t>Reviewer/Approver</t>
  </si>
  <si>
    <t>Authenticates user credentials and returns login result.</t>
  </si>
  <si>
    <t>User repository, password hasher, JWT provider, and Turnstile service are configured.</t>
  </si>
  <si>
    <t xml:space="preserve">            Input value belongs to 5&lt;= input &lt;=10.</t>
  </si>
  <si>
    <t>REQ-AUTH-002 User Registration</t>
  </si>
  <si>
    <t>RegisterAsync</t>
  </si>
  <si>
    <t>FUNC-AUTH-002</t>
  </si>
  <si>
    <t>Registers a new user and sends verification OTP.</t>
  </si>
  <si>
    <t>Email service, OTP repository, and user repository are initialized.</t>
  </si>
  <si>
    <t xml:space="preserve">               . 6,7,8,9 are normal values.</t>
  </si>
  <si>
    <t xml:space="preserve">               . 5, 10 are boundary values.</t>
  </si>
  <si>
    <t>REQ-AUTH-003 OTP Verification</t>
  </si>
  <si>
    <t>VerifyOtpAsync</t>
  </si>
  <si>
    <t>FUNC-AUTH-003</t>
  </si>
  <si>
    <t>Verifies OTP and activates the user account.</t>
  </si>
  <si>
    <t>OTP data must exist for the target user.</t>
  </si>
  <si>
    <t xml:space="preserve">               . -1, 11,... are abnormal values.   </t>
  </si>
  <si>
    <t>Notes</t>
  </si>
  <si>
    <t>REQ-AUTH-004 Password Recovery</t>
  </si>
  <si>
    <t>SendPasswordOtpAsync / ResetPasswordAsync</t>
  </si>
  <si>
    <t>FUNC-AUTH-004</t>
  </si>
  <si>
    <t xml:space="preserve">b. Confirmation: </t>
  </si>
  <si>
    <t>Sends password reset OTP and updates password after successful validation.</t>
  </si>
  <si>
    <t>User email must exist and OTP service must be available.</t>
  </si>
  <si>
    <t xml:space="preserve">        - It is combination of expected result to check output of each function. 
          If the results are the same with confirmation, the test case is passed, other case it is failed. </t>
  </si>
  <si>
    <t>REQ-AUTH-005 Password Change</t>
  </si>
  <si>
    <t>ChangePasswordAsync</t>
  </si>
  <si>
    <t>FUNC-AUTH-005</t>
  </si>
  <si>
    <t>Changes current user password after validating the current password.</t>
  </si>
  <si>
    <t xml:space="preserve">        - Confirmation can include:</t>
  </si>
  <si>
    <t>Current user context and password hasher are initialized.</t>
  </si>
  <si>
    <t xml:space="preserve">                + Output result of the function.</t>
  </si>
  <si>
    <t>REQ-BOOK-001 Booking Notification</t>
  </si>
  <si>
    <t>BookingRequestCreatedNotificationHandler</t>
  </si>
  <si>
    <t>Handle</t>
  </si>
  <si>
    <t>FUNC-NOTI-001</t>
  </si>
  <si>
    <t>BookingNotificationHandlerTests</t>
  </si>
  <si>
    <t>Creates notification when a booking request is created.</t>
  </si>
  <si>
    <t>Notification service and booking event payload are available.</t>
  </si>
  <si>
    <t xml:space="preserve">                + Output log messages in log file.</t>
  </si>
  <si>
    <t xml:space="preserve">                + Output screen message...</t>
  </si>
  <si>
    <t>REQ-BOOK-002 Booking Approval Notification</t>
  </si>
  <si>
    <t>BookingRequestApprovedNotificationHandler</t>
  </si>
  <si>
    <t>FUNC-NOTI-002</t>
  </si>
  <si>
    <t>Creates notification when a booking request is approved.</t>
  </si>
  <si>
    <t>Notification service and approved booking event payload are available.</t>
  </si>
  <si>
    <t>c. Type of test cases and result:</t>
  </si>
  <si>
    <t xml:space="preserve">        - Type of test case: It includes normal, boundary and abnormal test cases. User selects the type based on the type of input data.</t>
  </si>
  <si>
    <t>REQ-CONV-001 Conversation Management</t>
  </si>
  <si>
    <t>ConversationService</t>
  </si>
  <si>
    <t>GetOrCreateConversationAsync</t>
  </si>
  <si>
    <t>Function code</t>
  </si>
  <si>
    <t>FUNC-CONV-001</t>
  </si>
  <si>
    <t>ConversationServiceTests</t>
  </si>
  <si>
    <t>Passed</t>
  </si>
  <si>
    <t>Gets an existing conversation or creates a new one for participants.</t>
  </si>
  <si>
    <t>Failed</t>
  </si>
  <si>
    <t>Conversation repository and unit of work are initialized.</t>
  </si>
  <si>
    <t>Untested</t>
  </si>
  <si>
    <t>N</t>
  </si>
  <si>
    <r>
      <rPr>
        <rFont val="Tahoma"/>
        <color theme="1"/>
        <sz val="10.0"/>
      </rPr>
      <t xml:space="preserve">        - Test case result: the actual output results comparing with the Confirmation.
                 </t>
    </r>
    <r>
      <rPr>
        <rFont val="Tahoma"/>
        <b/>
        <color theme="1"/>
        <sz val="10.0"/>
      </rPr>
      <t>P</t>
    </r>
    <r>
      <rPr>
        <rFont val="Tahoma"/>
        <color theme="1"/>
        <sz val="10.0"/>
      </rPr>
      <t xml:space="preserve"> for Passed and </t>
    </r>
    <r>
      <rPr>
        <rFont val="Tahoma"/>
        <b/>
        <color theme="1"/>
        <sz val="10.0"/>
      </rPr>
      <t>F</t>
    </r>
    <r>
      <rPr>
        <rFont val="Tahoma"/>
        <color theme="1"/>
        <sz val="10.0"/>
      </rPr>
      <t xml:space="preserve"> for Failed cases.
          It can 'OK' or 'NG' (it depends on habit of the teams or customers)</t>
    </r>
  </si>
  <si>
    <t>B</t>
  </si>
  <si>
    <t>Total Test Cases</t>
  </si>
  <si>
    <t>REQ-CONV-002 Conversation Query</t>
  </si>
  <si>
    <t>GetConversationsByUserIdAsync / GetConversationByParticipantsAsync</t>
  </si>
  <si>
    <t>FUNC-CONV-002</t>
  </si>
  <si>
    <t>Retrieves conversations by user or participant pair.</t>
  </si>
  <si>
    <t>Conversation repository and mapper are available.</t>
  </si>
  <si>
    <t xml:space="preserve"> 2.3. Other items:</t>
  </si>
  <si>
    <t>REQ-DASH-001 Dashboard Statistics</t>
  </si>
  <si>
    <t>DashboardService</t>
  </si>
  <si>
    <t>GetDashboardStatsAsync</t>
  </si>
  <si>
    <t>FUNC-DASH-001</t>
  </si>
  <si>
    <t>DashboardServiceTests</t>
  </si>
  <si>
    <t>Aggregates dashboard statistics for the system.</t>
  </si>
  <si>
    <t>Required repositories must be initialized</t>
  </si>
  <si>
    <t xml:space="preserve"> - Function Code: it is ID of the function and updated automatically according to FunctionList sheet.</t>
  </si>
  <si>
    <t>REQ-DASH-002 Listing Dashboard</t>
  </si>
  <si>
    <t>GetListingOverviewAsync</t>
  </si>
  <si>
    <t>FUNC-DASH-002</t>
  </si>
  <si>
    <t xml:space="preserve"> - Function Name: it is name  of the function and updated automatically according to FunctionList sheet.</t>
  </si>
  <si>
    <t>Builds listing overview chart data for an owner.</t>
  </si>
  <si>
    <t>Current user context and listing statistics repository are available.</t>
  </si>
  <si>
    <t xml:space="preserve"> - Created By: Name of creator.</t>
  </si>
  <si>
    <t>REQ-SEED-001 Admin Seeding</t>
  </si>
  <si>
    <t>DataSeederService</t>
  </si>
  <si>
    <t>SeedAdminAccountAsync</t>
  </si>
  <si>
    <t>FUNC-SEED-001</t>
  </si>
  <si>
    <t>DataSeederServiceTests</t>
  </si>
  <si>
    <t>Creates default admin account when it does not exist.</t>
  </si>
  <si>
    <t>Admin email/password configuration and user repository are available.</t>
  </si>
  <si>
    <t xml:space="preserve"> - Executed By: Name of person who executes the unit test</t>
  </si>
  <si>
    <t>REQ-CONTRACT-001 Contract Management</t>
  </si>
  <si>
    <t>ContractService</t>
  </si>
  <si>
    <t>CreateContractAsync / UpdateContractAsync / DeleteContractAsync</t>
  </si>
  <si>
    <t>FUNC-CONTRACT-001</t>
  </si>
  <si>
    <t>ContractServiceTests</t>
  </si>
  <si>
    <t>Creates, updates, and deletes draft contracts.</t>
  </si>
  <si>
    <t>Contract repository, current user context, mapper, and unit of work are initialized</t>
  </si>
  <si>
    <t xml:space="preserve"> - Lines of code: Number of Code line of the function.</t>
  </si>
  <si>
    <t>REQ-CONTRACT-002 Contract Signing</t>
  </si>
  <si>
    <t>StartContractSigningAsync / CancelContractSigningAsync / ContractValidateOtpAsync</t>
  </si>
  <si>
    <t>FUNC-CONTRACT-002</t>
  </si>
  <si>
    <t>Controls contract signing workflow, OTP validation, and signing state.</t>
  </si>
  <si>
    <t>Contract must exist and signing participants must be valid.</t>
  </si>
  <si>
    <t xml:space="preserve"> - Test requirement: Brief description about requirements which are tested in this function, it is not mandatory.</t>
  </si>
  <si>
    <t xml:space="preserve">         </t>
  </si>
  <si>
    <t>REQ-CONTRACT-003 Contract Sharing</t>
  </si>
  <si>
    <t>ShareContractAsync</t>
  </si>
  <si>
    <t>FUNC-CONTRACT-003</t>
  </si>
  <si>
    <t>Shares a draft contract proposal through conversation message.</t>
  </si>
  <si>
    <t>Current user must be the lessor and contract must be in draft status.</t>
  </si>
  <si>
    <t>REQ-CONTRACT-004 Contract Calendar</t>
  </si>
  <si>
    <t>GetContractCalendarBySpaceAsync</t>
  </si>
  <si>
    <t>FUNC-CONTRACT-004</t>
  </si>
  <si>
    <t>Returns calendar entries for contracts related to a space.</t>
  </si>
  <si>
    <t>Space, contract, and current user data must be available.</t>
  </si>
  <si>
    <t>REQ-LISTING-001 Listing Management</t>
  </si>
  <si>
    <t>ListingService</t>
  </si>
  <si>
    <t>CreateListingAsync / UpdateListingAsync / HardDeleteListingAsync / SoftDeleteListingAsync / RestoreListingAsync</t>
  </si>
  <si>
    <t>FUNC-LISTING-001</t>
  </si>
  <si>
    <t>ListingServiceTests</t>
  </si>
  <si>
    <t>Manages listing creation, update, deletion, restoration, and validation.</t>
  </si>
  <si>
    <t>Listing repository, space repository, wallet service, mapper, and unit of work are initialized.</t>
  </si>
  <si>
    <t>REQ-LISTING-002 Listing Query</t>
  </si>
  <si>
    <t>GetListingByIdAsync / GetAllListingsAsync / GetListingsByCurrentUserAsync / GetListingsByUserIdAsync</t>
  </si>
  <si>
    <t>FUNC-LISTING-002</t>
  </si>
  <si>
    <t>Retrieves listing data by ID, status, current user, or owner.</t>
  </si>
  <si>
    <t>Listing repository and mapper are available.</t>
  </si>
  <si>
    <t>REQ-LISTING-003 Listing Reports</t>
  </si>
  <si>
    <t>CreateListingReportAsync / GetListingReportsAsync / GetReportedListingsAsync / ClearListingReportsAsync</t>
  </si>
  <si>
    <t>FUNC-LISTING-003</t>
  </si>
  <si>
    <t>Creates, retrieves, groups, and clears listing reports.</t>
  </si>
  <si>
    <t>Reporter, listing, and listing report repository must be available.</t>
  </si>
  <si>
    <t>REQ-LISTING-004 Shared Listing</t>
  </si>
  <si>
    <t>CreateShareListingAsync / UpdateShareListingAsync / GetShareListingTimePolicyAsync</t>
  </si>
  <si>
    <t>FUNC-LISTING-004</t>
  </si>
  <si>
    <t>Manages shared listing creation, update, and time policy validation.</t>
  </si>
  <si>
    <t>Space ownership or share usage right must be validated.</t>
  </si>
  <si>
    <t>REQ-WALLET-001 Wallet Management</t>
  </si>
  <si>
    <t>WalletService</t>
  </si>
  <si>
    <t>GetOwnWallet / GetWalletByUserId / UpdateWalletBalance / SpendWalletBalance</t>
  </si>
  <si>
    <t>FUNC-WALLET-001</t>
  </si>
  <si>
    <t>WalletServiceTests</t>
  </si>
  <si>
    <t>Retrieves wallet data and updates wallet balance for payment operations.</t>
  </si>
  <si>
    <t>Current user, wallet repository, transaction history repository, and unit of work are initialized.</t>
  </si>
  <si>
    <t>REQ-BOOKING-001 Booking Request Management</t>
  </si>
  <si>
    <t>PrimaryBookingRequestService</t>
  </si>
  <si>
    <t>CreateBookingRequestAsync / UpdateBookingRequestAsync / UpdateStatusAsync / DeleteBookingRequestAsync</t>
  </si>
  <si>
    <t>FUNC-BOOKING-001</t>
  </si>
  <si>
    <t>PrimaryBookingRequestServiceTests</t>
  </si>
  <si>
    <t>Manages booking request lifecycle and status transitions.</t>
  </si>
  <si>
    <t>Listing, current user, booking repository, mapper, and unit of work are available.</t>
  </si>
  <si>
    <t>REQ-REVIEW-001 Review Management</t>
  </si>
  <si>
    <t>ReviewService</t>
  </si>
  <si>
    <t>GetAllAsync / GetByUserIdAsync / GetBySpaceIdAsync / CreateAsync / DeleteAsync</t>
  </si>
  <si>
    <t>FUNC-REVIEW-001</t>
  </si>
  <si>
    <t>ReviewServiceTests</t>
  </si>
  <si>
    <t>Retrieves, creates, and deletes reviews for spaces or users.</t>
  </si>
  <si>
    <t>Current user, review repository, booking/contract validation data, and mapper are available.</t>
  </si>
  <si>
    <t>REQ-MSG-001 Message Management</t>
  </si>
  <si>
    <t>MessageService</t>
  </si>
  <si>
    <t>GetMessagesAsync / SaveMessageAsync / UpdateMessagesToReadAsync</t>
  </si>
  <si>
    <t>FUNC-MSG-001</t>
  </si>
  <si>
    <t>MessageServiceTests</t>
  </si>
  <si>
    <t>Retrieves, saves, and marks conversation messages as read.</t>
  </si>
  <si>
    <t>Message repository and mapper are available.</t>
  </si>
  <si>
    <t>REQ-FAV-001 Favorite List Management</t>
  </si>
  <si>
    <t>FavoriteListService</t>
  </si>
  <si>
    <t>AddListingsAsync / GetByUserIdAsync / RemoveListingAsync / GetListingDetailAsync</t>
  </si>
  <si>
    <t>FUNC-FAV-001</t>
  </si>
  <si>
    <t>FavoriteListServiceTests</t>
  </si>
  <si>
    <t>Adds, retrieves, and removes listings from a user favorite list; retrieves favorite listing detail.</t>
  </si>
  <si>
    <t>Favorite list repository, listing repository, and current user context are available.</t>
  </si>
  <si>
    <t>REQ-TXN-001 Transaction Management</t>
  </si>
  <si>
    <t>TransactionService</t>
  </si>
  <si>
    <t>CreateTransactionAsync</t>
  </si>
  <si>
    <t>FUNC-TXN-001</t>
  </si>
  <si>
    <t>TransactionServiceTests</t>
  </si>
  <si>
    <t>Creates a PayOS payment transaction for wallet top-up.</t>
  </si>
  <si>
    <t>HttpContextAccessor and PayOS gateway are configured.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</si>
  <si>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</si>
  <si>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</si>
  <si>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</si>
  <si>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</si>
  <si>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</si>
  <si>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</si>
  <si>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</si>
  <si>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</si>
  <si>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</si>
  <si>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&lt;Developer Name&gt;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</si>
  <si>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</si>
  <si>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</si>
  <si>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</si>
  <si>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</si>
  <si>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</si>
  <si>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N/A/B</t>
  </si>
  <si>
    <t>UTCID01</t>
  </si>
  <si>
    <t>UTCID02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</si>
  <si>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</si>
  <si>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</si>
  <si>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</si>
  <si>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</si>
  <si>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</si>
  <si>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</si>
  <si>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</si>
  <si>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</si>
  <si>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</si>
  <si>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Condition</t>
  </si>
  <si>
    <t xml:space="preserve">Precondition </t>
  </si>
  <si>
    <t>a</t>
  </si>
  <si>
    <t>O</t>
  </si>
  <si>
    <t>b</t>
  </si>
  <si>
    <t>c</t>
  </si>
  <si>
    <t>Confirm</t>
  </si>
  <si>
    <t>Return</t>
  </si>
  <si>
    <t xml:space="preserve">list </t>
  </si>
  <si>
    <t>null</t>
  </si>
  <si>
    <t>size = 0</t>
  </si>
  <si>
    <t>{-1/2}</t>
  </si>
  <si>
    <t>{1,1}</t>
  </si>
  <si>
    <t>{1,-3}</t>
  </si>
  <si>
    <t>Exception</t>
  </si>
  <si>
    <t>Log message</t>
  </si>
  <si>
    <t>Verify AI image generation: wallet balance gating, AI provider call, Cloudinary upload, payment, and history logging.</t>
  </si>
  <si>
    <t>"please input a&gt;= -1"</t>
  </si>
  <si>
    <t>Result</t>
  </si>
  <si>
    <t>Type(N : Normal, A : Abnormal, B : Boundary)</t>
  </si>
  <si>
    <t>UTCID03</t>
  </si>
  <si>
    <t>UTCID04</t>
  </si>
  <si>
    <t>UTCID05</t>
  </si>
  <si>
    <t>UTCID06</t>
  </si>
  <si>
    <t>Passed/Failed</t>
  </si>
  <si>
    <t>FalAiService, PictureURL, wallet service, history repository mocks initialized</t>
  </si>
  <si>
    <t>Executed Date</t>
  </si>
  <si>
    <t>Wallet / AI provider state</t>
  </si>
  <si>
    <t>Wallet found, Balance=5000, AI+Cloudinary succeed, wallet spend succeeds</t>
  </si>
  <si>
    <t>GetOwnWallet returns IsSuccess=false (wallet not found)</t>
  </si>
  <si>
    <t>Defect ID</t>
  </si>
  <si>
    <t>Wallet found, Balance=1999 (below 2000 minimum)</t>
  </si>
  <si>
    <t>Wallet ok, FalAiService.GenerateInpaintingAsync returns empty string</t>
  </si>
  <si>
    <t>Wallet ok, AI+upload succeed, SpendWalletBalance returns IsSuccess=false ("wallet locked")</t>
  </si>
  <si>
    <t>GetOwnWallet throws InvalidOperationException("service unavailable")</t>
  </si>
  <si>
    <t>IsSuccess=true, Data=Cloudinary URL; history AddAsync called once (UserId/Prompt/ResultImageUrl); SaveChangesAsync once</t>
  </si>
  <si>
    <t>IsSuccess=false, Message="Không tìm thấy ví của bạn hoặc bạn chưa đăng nhập."; AI service never called</t>
  </si>
  <si>
    <t>IsSuccess=false, Message="Số dư ví không đủ. Cần tối thiểu 2000 để sử dụng tính năng AI."; AI service never called</t>
  </si>
  <si>
    <t>IsSuccess=false, Message="Không thể sinh ảnh từ AI."; SpendWalletBalance never called</t>
  </si>
  <si>
    <t>IsSuccess=false, Message="Đã xảy ra lỗi khi thanh toán: wallet locked"; history AddAsync never called</t>
  </si>
  <si>
    <t>IsSuccess=false, Message="Lỗi hệ thống: service unavailable"</t>
  </si>
  <si>
    <t>Verify amenities retrieval for a space under various space/amenity repository states.</t>
  </si>
  <si>
    <t>P</t>
  </si>
  <si>
    <t>Space repository and amenity repository mocks are initialized</t>
  </si>
  <si>
    <t>spaceId lookup</t>
  </si>
  <si>
    <t>Space not found</t>
  </si>
  <si>
    <t>Space found (Id=123)</t>
  </si>
  <si>
    <t>Space repository throws InvalidOperationException("Db failure")</t>
  </si>
  <si>
    <t>Amenity repository result</t>
  </si>
  <si>
    <t>Empty list</t>
  </si>
  <si>
    <t>2 amenities (Id=1,2 / Quantity=2,5)</t>
  </si>
  <si>
    <t>null (repository returns null)</t>
  </si>
  <si>
    <t>1 amenity matching spaceId filter</t>
  </si>
  <si>
    <t>IsSuccess=false, IsNotFound=true, Message contains "Không tìm thấy mặt bằng với ID đã cho.", Data=null</t>
  </si>
  <si>
    <t>IsSuccess=true, Data empty, Message contains "Không có tiện ích nào cho mặt bằng này."</t>
  </si>
  <si>
    <t>IsSuccess=true, Data has 2 items mapped correctly (Id, SpaceId, Quantity)</t>
  </si>
  <si>
    <t>IsSuccess=true, Data has 1 item, SpaceId matches filter</t>
  </si>
  <si>
    <t>IsSuccess=false, Message contains "Lỗi khi lấy danh sách tiện ích: Db failure", Data=null</t>
  </si>
  <si>
    <t>Verify login flow: CAPTCHA verification, account lookup, credential match.</t>
  </si>
  <si>
    <t>Verify registration flow: duplicate email handling, OTP dispatch, unverified account re-registration.</t>
  </si>
  <si>
    <t>Turnstile, user repository, JWT provider mocks are initialized</t>
  </si>
  <si>
    <t>Turnstile verified=true, email/OTP/user repository mocks initialized</t>
  </si>
  <si>
    <t>Turnstile token / account lookup</t>
  </si>
  <si>
    <t>invalid-token (verification fails)</t>
  </si>
  <si>
    <t>Existing account state for request.Email</t>
  </si>
  <si>
    <t>Active account already exists (IsActive=true)</t>
  </si>
  <si>
    <t>No account exists</t>
  </si>
  <si>
    <t>valid-token; account not found for email</t>
  </si>
  <si>
    <t>Unverified account exists (IsActive=false)</t>
  </si>
  <si>
    <t>valid-token; account found, password matches, Active/IsActive=true</t>
  </si>
  <si>
    <t>IsSuccess=false, Message contains "Email này đã được sử dụng hệ thống"</t>
  </si>
  <si>
    <t>IsSuccess=true, Message contains "Đăng ký thành công", new User added (IsActive=false), OTP cached, ResendOtpEmailAsync called once</t>
  </si>
  <si>
    <t>IsSuccess=true, existing account fields updated (UserName/Name/Phone/Password hash), AddAsync never called, UpdateAsync called once, OTP email resent once</t>
  </si>
  <si>
    <t>Verify OTP code validation and account activation.</t>
  </si>
  <si>
    <t>IsSuccess=false, Message contains "Xác thực CAPTCHA thất bại", Data=null</t>
  </si>
  <si>
    <t>IsSuccess=false, Message contains "Tài khoản hoặc mật khẩu không chính xác", Data=null</t>
  </si>
  <si>
    <t>IsSuccess=true, Message="Đăng nhập thành công.", Data.AccessToken="generated-jwt-token", Data.Message contains UserId</t>
  </si>
  <si>
    <t>OTP cached under key OTP:Register:{email}</t>
  </si>
  <si>
    <t>OTP code entered vs cached</t>
  </si>
  <si>
    <t>Entered "000000" != cached "123456"</t>
  </si>
  <si>
    <t>Entered code matches cached code, account exists (IsActive=false)</t>
  </si>
  <si>
    <t>IsSuccess=false, Message contains "Mã OTP không chính xác hoặc đã hết hạn"</t>
  </si>
  <si>
    <t>IsSuccess=true, Message contains "Xác thực OTP thành công", Data.AccessToken="otp-token", account.IsActive=true, OTP cache entry removed</t>
  </si>
  <si>
    <t>Verify password reset OTP dispatch, email normalization, and OTP-based password update.</t>
  </si>
  <si>
    <t>OTP cache key OTP:Password:{email} set/removed per scenario</t>
  </si>
  <si>
    <t>Input state</t>
  </si>
  <si>
    <t>SendPasswordOtpAsync: email not found in user repository</t>
  </si>
  <si>
    <t>SendPasswordOtpAsync: email " User@Email.com " (whitespace/casing), user exists</t>
  </si>
  <si>
    <t>ResetPasswordAsync: cache entry empty/removed, entered "000000"</t>
  </si>
  <si>
    <t>ResetPasswordAsync: entered code "123456" matches cached code, account exists</t>
  </si>
  <si>
    <t>IsSuccess=false, Message contains "Email"; ResendOtpEmailAsync never called</t>
  </si>
  <si>
    <t>IsSuccess=true; cache key normalized to "OTP:Password:user@email.com" holds 6-char OTP; email sent once</t>
  </si>
  <si>
    <t>IsSuccess=true, Message contains "Đặt lại mật khẩu thành công", account.Password re-hashed to NewPassword, OTP cache entry removed</t>
  </si>
  <si>
    <t>Verify current password validation and password change.</t>
  </si>
  <si>
    <t>Verify booking-created notification is sent to the lessor, guarded by empty LessorId, and exceptions are swallowed.</t>
  </si>
  <si>
    <t>Account found by email with hashed current password</t>
  </si>
  <si>
    <t>Current password provided</t>
  </si>
  <si>
    <t>"WrongPassword!" (does not match stored hash)</t>
  </si>
  <si>
    <t>"CurrentPassword1!" (matches stored hash)</t>
  </si>
  <si>
    <t>NotificationService mock initialized</t>
  </si>
  <si>
    <t>Event payload</t>
  </si>
  <si>
    <t>LessorId = " " (blank)</t>
  </si>
  <si>
    <t>Valid LessorId="lessor-1", NotificationService.CreateAsync succeeds</t>
  </si>
  <si>
    <t>Valid LessorId, NotificationService.CreateAsync throws InvalidOperationException("notification failed")</t>
  </si>
  <si>
    <t>CreateAsync never called</t>
  </si>
  <si>
    <t>CreateAsync called once with ("lessor-1", "Yeu cau dat cho moi", "Co nguoi vua gui yeu cau dat cho cho Space A.", Booking, "10")</t>
  </si>
  <si>
    <t>Handle does not throw (exception swallowed)</t>
  </si>
  <si>
    <t>IsSuccess=false, Message contains "Mật khẩu hiện tại không chính xác"</t>
  </si>
  <si>
    <t>IsSuccess=true, Message contains "Đổi mật khẩu thành công", account.Password re-hashed to NewPassword</t>
  </si>
  <si>
    <t>Verify booking-approved notification is sent to the lessee, guarded by empty LesseeId.</t>
  </si>
  <si>
    <t>LesseeId = "" (empty)</t>
  </si>
  <si>
    <t>Valid LesseeId="lessee-1", NotificationService.CreateAsync succeeds</t>
  </si>
  <si>
    <t>CreateAsync called once with ("lessee-1", "Yeu cau dat cho da duoc duyet", "Yeu cau dat cho cua ban cho space #30 da duoc nguoi cho thue chap thuan.", Booking, "10")</t>
  </si>
  <si>
    <t>Verify conversation lookup/creation between lessor and lessee.</t>
  </si>
  <si>
    <t>Conversation repository mock initialized</t>
  </si>
  <si>
    <t>Existing conversation for (lessorId, lesseeId)</t>
  </si>
  <si>
    <t>Conversation already exists</t>
  </si>
  <si>
    <t>No conversation exists (null)</t>
  </si>
  <si>
    <t>Repository throws InvalidOperationException("Db failure")</t>
  </si>
  <si>
    <t>IsSuccess=true, Data=existing conversation.Id, Message contains "đã tồn tại", AddAsync/SaveChangesAsync never called</t>
  </si>
  <si>
    <t>IsSuccess=true, Data=new non-empty Id, Message contains "mới đã được tạo", AddAsync+SaveChangesAsync called once</t>
  </si>
  <si>
    <t>Throws Exception with message containing "Lỗi khi lấy hoặc tạo cuộc trò chuyện: Db failure"</t>
  </si>
  <si>
    <t>Verify conversation queries by user and by participant pair.</t>
  </si>
  <si>
    <t>Conversation repository / mapper mocks initialized</t>
  </si>
  <si>
    <t>Query type / repository result</t>
  </si>
  <si>
    <t>GetConversationsByUserIdAsync("user-1") -&gt; repository returns 1 conversation</t>
  </si>
  <si>
    <t>GetConversationByParticipantsAsync(lessor,lessee) -&gt; repository returns null (not found)</t>
  </si>
  <si>
    <t>GetConversationByParticipantsAsync(lessor,lessee) -&gt; repository throws InvalidOperationException("Db failure")</t>
  </si>
  <si>
    <t>IsSuccess=true, Data equivalent to mapped ConversationResp list, Message="Lấy danh sách cuộc trò chuyện thành công."</t>
  </si>
  <si>
    <t>IsSuccess=false, IsNotFound=true, Data=null, Message contains "Không tìm thấy"</t>
  </si>
  <si>
    <t>IsSuccess=false, Message="Db failure"</t>
  </si>
  <si>
    <t>Verify dashboard statistics aggregation from wallets and transaction histories.</t>
  </si>
  <si>
    <t>Wallet repository and transaction history repository mocks initialized</t>
  </si>
  <si>
    <t>Repository result</t>
  </si>
  <si>
    <t>Wallets=[150000,250000]; Histories: listing(-50000), AI(-2000)x2, other(-10000, ignored)</t>
  </si>
  <si>
    <t>Wallet repository throws Exception("Database connection failed")</t>
  </si>
  <si>
    <t>Verify default admin account seeding based on configuration.</t>
  </si>
  <si>
    <t>Verify owner listing overview chart aggregation: totals, view/booking trends, contract and expiry trends.</t>
  </si>
  <si>
    <t>User repository mock initialized</t>
  </si>
  <si>
    <t>AdminAccount configuration / existing admin</t>
  </si>
  <si>
    <t>Configuration empty (missing Email/Password)</t>
  </si>
  <si>
    <t>Valid configuration, admin with same email already exists</t>
  </si>
  <si>
    <t>Valid configuration, no admin account exists (null)</t>
  </si>
  <si>
    <t>Listing/ListingViewDailyStat/PrimaryBookingRequest/Contract repository mocks initialized</t>
  </si>
  <si>
    <t>Current user / data state</t>
  </si>
  <si>
    <t>Current user id = " " (blank, not registered)</t>
  </si>
  <si>
    <t>Owner "owner-1" with 3 listings (Available/Expired/Available), view stats, 1 booking request, 2 active contracts; rangeDays=7, futureDays=3</t>
  </si>
  <si>
    <t>Owner "owner-1", ListingRepository.GetAllAsync throws InvalidOperationException("Overview failure")</t>
  </si>
  <si>
    <t>IsSuccess=true, TotalWalletBalance=400000, TotalListingSpent=50000, TotalListingCount=1, TotalAiImageSpent=4000, TotalAiImageCount=2, TotalSpent=54000, Message="Lấy dữ liệu dashboard thành công."</t>
  </si>
  <si>
    <t>GetAsync/AddAsync/SaveChangesAsync never called</t>
  </si>
  <si>
    <t>IsSuccess=false, Data=null, Message contains "Lỗi khi tải dữ liệu dashboard: Database connection failed"</t>
  </si>
  <si>
    <t>AddAsync never called, SaveChangesAsync never called</t>
  </si>
  <si>
    <t>AddAsync called once with Email/Name/Phone/Role=ADMIN/IsActive=true, SaveChangesAsync called once</t>
  </si>
  <si>
    <t>IsSuccess=false, Message="Register first!"; ListingRepository.GetAllAsync never called</t>
  </si>
  <si>
    <t>IsSuccess=true; TotalListings=3, ActiveListings=2, SignedContracts=2, ExpiredListings=1; NewListingsTrend/ActiveInteractionTrend have 7 points; SignedContractsTrend has 6; ExpiredTrend has 10 (mixed past/future)</t>
  </si>
  <si>
    <t>IsSuccess=false, Message contains "Overview failure"</t>
  </si>
  <si>
    <t>F</t>
  </si>
  <si>
    <t>Verify contract creation, update, and deletion — part 1: creation validation, retrieval by id/list, snapshot check.</t>
  </si>
  <si>
    <t>Space/Booking/Conversation/Profile/User repository mocks initialized</t>
  </si>
  <si>
    <t>Action / lookup state</t>
  </si>
  <si>
    <t>CreateContractAsync: request.Duration = 0 (invalid)</t>
  </si>
  <si>
    <t>CreateContractAsync: valid request, space/booking/conversation found, both profiles verified</t>
  </si>
  <si>
    <t>CreateContractAsync: ContractRepository.AddAsync throws InvalidOperationException("Create contract failure")</t>
  </si>
  <si>
    <t>GetAllContractsAsync: contracts include Lessor/Lessee navigation, current user = lessor-1</t>
  </si>
  <si>
    <t>GetAllContractsAsync: repository GetAllAsync throws InvalidOperationException("Get contracts failure")</t>
  </si>
  <si>
    <t>GetContractByIdAsync: current user (lessee-1) is a participant</t>
  </si>
  <si>
    <t>GetContractByIdAsync: current user ("other-user") is not a participant</t>
  </si>
  <si>
    <t>GetContractByIdAsync: repository GetAsync throws InvalidOperationException("Get contract failure")</t>
  </si>
  <si>
    <t>GetContractSnapshotByIdAsync: contract found but ContractSnapshot="" (not yet signed)</t>
  </si>
  <si>
    <t>Verify contract creation, update, and deletion — part 2: update, delete, deactivation of expired contracts, private helper branches.</t>
  </si>
  <si>
    <t>IsSuccess=false, Message contains "Thời hạn", AddAsync never called</t>
  </si>
  <si>
    <t>IsSuccess=true, Data populated (Lessor/Lessee number cards, names, addresses), EndDate=StartDate+1 month, ContractVerification+1 schedule created, AddAsync+CommitTransactionAsync once</t>
  </si>
  <si>
    <t>IsSuccess=false, Message="Create contract failure", RollbackTransactionAsync called once</t>
  </si>
  <si>
    <t>IsSuccess=true, Data equivalent to responses, LessorNickName/LesseeNickName populated</t>
  </si>
  <si>
    <t>IsSuccess=false, Message="Get contracts failure" or "Get contract failure" (repository exception)</t>
  </si>
  <si>
    <t>Contract repository mock initialized; current user context varies</t>
  </si>
  <si>
    <t>IsSuccess=true, Data equivalent to response, nick names populated</t>
  </si>
  <si>
    <t>IsSuccess=false, Message contains "không có quyền"</t>
  </si>
  <si>
    <t>UpdateContractAsync: Draft contract owned by current user (lessor-1), valid request</t>
  </si>
  <si>
    <t>IsSuccess=false, Message contains "chưa được ký"</t>
  </si>
  <si>
    <t>UpdateContractAsync: contract not found</t>
  </si>
  <si>
    <t>UpdateContractAsync: repository GetAsync throws InvalidOperationException("Update contract failure")</t>
  </si>
  <si>
    <t>DeleteContractAsync: contract not found</t>
  </si>
  <si>
    <t>DeleteContractAsync: Draft contract owned by current user</t>
  </si>
  <si>
    <t>DeleteContractAsync: contract Status=Active (not Draft)</t>
  </si>
  <si>
    <t>DeleteContractAsync: repository GetAsync throws InvalidOperationException("Delete contract failure")</t>
  </si>
  <si>
    <t>DeactivateExpiredContractsAsync: repository returns empty list</t>
  </si>
  <si>
    <t>DeactivateExpiredContractsAsync: 2 Active contracts with EndDate in the past</t>
  </si>
  <si>
    <t>DeactivateExpiredContractsAsync: repository GetAllAsync throws InvalidOperationException("Deactivate failure")</t>
  </si>
  <si>
    <t>Private helpers (CalculateEndDate, PopulateContractParticipantProfilesAsync, SyncContractSchedules, ResetSigningSession) invoked via reflection with boundary/unverified-profile inputs</t>
  </si>
  <si>
    <t>Verify contract signing workflow — part 1: start signing and cancel signing, including guard conditions.</t>
  </si>
  <si>
    <t>Contract exists with ContractVerification and schedule as needed per case</t>
  </si>
  <si>
    <t>IsSuccess=true, ContractSchedules count=1, EndDate recalculated, Lessor/Lessee Name refreshed, UpdateAsync+SaveChangesAsync once</t>
  </si>
  <si>
    <t>Action / contract state</t>
  </si>
  <si>
    <t>StartContractSigningAsync: Draft contract, current user=lessor-1, matching participants</t>
  </si>
  <si>
    <t>IsSuccess=false, IsNotFound=true (UpdateAsync/RemoveByIdAsync never called), Message contains "Không tìm thấy" where applicable</t>
  </si>
  <si>
    <t>StartContractSigningAsync: contract not found</t>
  </si>
  <si>
    <t>IsSuccess=false, Message="Update contract failure" / "Delete contract failure" / "Deactivate failure" (repository exception)</t>
  </si>
  <si>
    <t>StartContractSigningAsync: current user=lessee-1 (not the Lessor)</t>
  </si>
  <si>
    <t>IsSuccess=true, SaveChangesAsync called once</t>
  </si>
  <si>
    <t>StartContractSigningAsync: request LesseeId does not match contract.LesseeId</t>
  </si>
  <si>
    <t>IsSuccess=false, RemoveByIdAsync never called</t>
  </si>
  <si>
    <t>StartContractSigningAsync: contract Status=Active (not Draft)</t>
  </si>
  <si>
    <t>IsSuccess=true, Data=0, UpdateAsync never called</t>
  </si>
  <si>
    <t>StartContractSigningAsync: repository GetAsync throws InvalidOperationException("Start signing failure")</t>
  </si>
  <si>
    <t>IsSuccess=true, Data=2, contracts set Status=Expired/IsActive=false/UpdatedBy="SystemBackgroundWorker", UpdateAsync x2</t>
  </si>
  <si>
    <t>CancelContractSigningAsync: Signing contract with PreSignSnapshot/Hash, lessor already agreed</t>
  </si>
  <si>
    <t>CalculateEndDate correct per DurationUnit; unverified-profile path returns verification error message; schedules synced correctly</t>
  </si>
  <si>
    <t>CancelContractSigningAsync: contract not found</t>
  </si>
  <si>
    <t>CancelContractSigningAsync: current user=lessee-1 (not the Lessor)</t>
  </si>
  <si>
    <t>CancelContractSigningAsync: contract Status=Draft (not Signing)</t>
  </si>
  <si>
    <t>CancelContractSigningAsync: repository GetAsync throws InvalidOperationException("Cancel signing failure")</t>
  </si>
  <si>
    <t>IsSuccess=true, Status=Signing, PreSignSnapshot set (excludes ContractVerification/CreatedAt/UpdatedAt), PreSignHash length=64, UpdateAsync+SaveChangesAsync once</t>
  </si>
  <si>
    <t>IsSuccess=false, IsNotFound=true</t>
  </si>
  <si>
    <t>IsSuccess=false (permission/state mismatch)</t>
  </si>
  <si>
    <t>IsSuccess=false, Message="Start signing failure"</t>
  </si>
  <si>
    <t>IsSuccess=true, Status=Draft, PreSignSnapshot/Hash cleared, ContractVerification.IsLessorAgreed=false, LessorSignedAt=null, UpdateAsync+SaveChangesAsync once</t>
  </si>
  <si>
    <t>IsSuccess=false, Message="Cancel signing failure"</t>
  </si>
  <si>
    <t>Verify contract signing workflow — part 2: full cancel, integrity verification, OTP validation, OTP dispatch.</t>
  </si>
  <si>
    <t>Verify contract sharing via conversation message: existence, ownership, status, and rollback on failure.</t>
  </si>
  <si>
    <t>Contract exists with signing/verification state as needed per case</t>
  </si>
  <si>
    <t>CancelContractAsync: Draft contract, current user=lessor-1 (owner)</t>
  </si>
  <si>
    <t>VerifyContractIntegrityAsync: current computed PostSignHash equals stored hash</t>
  </si>
  <si>
    <t>VerifyContractIntegrityAsync: current computed PostSignHash differs from stored hash</t>
  </si>
  <si>
    <t>ContractValidateOtpAsync: cached OTP "123456", entered "123456" but PreSignHash recomputed mismatches stored</t>
  </si>
  <si>
    <t>ContractValidateOtpAsync: cached OTP "123456", entered "000000" (wrong OTP)</t>
  </si>
  <si>
    <t>ContractValidateOtpAsync: current user=lessee-1 (last signer), correct OTP, PreSignHash matches, listing Available/EntireSpace</t>
  </si>
  <si>
    <t>SendContractOtpAsync: contract Status=Draft (no active signing session)</t>
  </si>
  <si>
    <t>SendContractOtpAsync: Signing contract, ContractVerification found (not yet agreed), user email found</t>
  </si>
  <si>
    <t>SendContractOtpAsync: ContractVerification.IsLessorAgreed already true</t>
  </si>
  <si>
    <t>Contract/Conversation/Message repository mocks initialized</t>
  </si>
  <si>
    <t>Contract lookup / state</t>
  </si>
  <si>
    <t>Contract not found (null)</t>
  </si>
  <si>
    <t>Current user=lessee-1, not the Lessor of Draft contract</t>
  </si>
  <si>
    <t>Contract Status=Signing (not Draft)</t>
  </si>
  <si>
    <t>Contract Draft, owned by current user (lessor-1), conversation found</t>
  </si>
  <si>
    <t>IsSuccess=true, Status=Cancelled, UpdateAsync+SaveChangesAsync once</t>
  </si>
  <si>
    <t>IsSuccess=true, Data.IsTampered=false, OldPostSignHash=NewPostSignHash, IsMatched=true</t>
  </si>
  <si>
    <t>IsSuccess=true, Data.IsTampered=true, NewPostSignHash != OldPostSignHash, IsMatched=false</t>
  </si>
  <si>
    <t>Repository GetAsync throws InvalidOperationException("Share failure")</t>
  </si>
  <si>
    <t>IsSuccess=false, Status reverted to Draft, PreSignSnapshot/Hash cleared, UpdateAsync+SaveChangesAsync once</t>
  </si>
  <si>
    <t>IsSuccess=false, Message contains "không hợp lệ", or email never sent (guard condition)</t>
  </si>
  <si>
    <t>IsSuccess=true, Status=Active/IsActive=true, ContractSnapshot/PostSignHash set, IsLesseeAgreed=true, Listing→Occupied, SpaceUsageRight AddAsync once</t>
  </si>
  <si>
    <t>IsSuccess=false, Message contains "phien ky", ProfileRepository/EmailService never called</t>
  </si>
  <si>
    <t>IsSuccess=true, Data=true, OTP cached (6 chars), email sent once</t>
  </si>
  <si>
    <t>IsSuccess=false, Message contains "Không tìm thấy", Message.AddAsync never called</t>
  </si>
  <si>
    <t>IsSuccess=false, Message.AddAsync never called</t>
  </si>
  <si>
    <t>IsSuccess=true, Data=mapped MessageResponse, Message.AddAsync once (ContractProposal type), Conversation UpdateAsync once, CommitTransactionAsync once</t>
  </si>
  <si>
    <t>IsSuccess=false, Message contains "Share failure", RollbackTransactionAsync called once</t>
  </si>
  <si>
    <t>Verify contract calendar entries returned for owner vs lessee viewpoints.</t>
  </si>
  <si>
    <t>Space/Contract repository mocks initialized; date range from=to=2026-08-03</t>
  </si>
  <si>
    <t>Current user role / contract set</t>
  </si>
  <si>
    <t>Current user = space owner (lessor-1); 1 active contract on space 10</t>
  </si>
  <si>
    <t>Current user = lessee-1 (participant, not owner); 2 active contracts on space 10 (lessee-1 and lessee-2)</t>
  </si>
  <si>
    <t>Verify listing lifecycle — part 1: creation validation, view-count tracking, update.</t>
  </si>
  <si>
    <t>Wallet service / space / listing repository mocks initialized</t>
  </si>
  <si>
    <t>Action / dependency state</t>
  </si>
  <si>
    <t>CreateListingAsync: WalletService.SpendWalletBalance fails ("Balance not enough")</t>
  </si>
  <si>
    <t>CreateListingAsync: wallet ok, space not found</t>
  </si>
  <si>
    <t>CreateListingAsync: wallet ok, valid space owned by current user, no conflicts</t>
  </si>
  <si>
    <t>CreateListingAsync: AllowedEndTime=start+30d but PriceUnit=PerYear (exceeds period)</t>
  </si>
  <si>
    <t>CreateListingAsync: AllowedStartTime = null</t>
  </si>
  <si>
    <t>CreateListingAsync: AllowedStartTime = yesterday (past)</t>
  </si>
  <si>
    <t>CreateListingAsync: AllowedStartTime == AllowedEndTime</t>
  </si>
  <si>
    <t>CreateListingAsync: Price = 0</t>
  </si>
  <si>
    <t>IncreaseViewCountAsync: listing exists (viewCount=7), no daily stat for today</t>
  </si>
  <si>
    <t>IsSuccess=true, Data contains single entry, ContractId=7, DisplayLabel="Tenant - Office"</t>
  </si>
  <si>
    <t>IncreaseViewCountAsync: listing exists, daily stat for today exists (ViewCount=3)</t>
  </si>
  <si>
    <t>IsSuccess=true, Data has 2 entries (ContractId 7,8), DisplayLabels "Tenant One - Office"/"Tenant Two - Retail"</t>
  </si>
  <si>
    <t>IncreaseViewCountAsync: listing not found</t>
  </si>
  <si>
    <t>IncreaseViewCountAsync: repository GetAsync throws InvalidOperationException("View failure")</t>
  </si>
  <si>
    <t>UpdateListingAsync: listing not found</t>
  </si>
  <si>
    <t>UpdateListingAsync: listing exists, owned by current user, valid space, no conflicts</t>
  </si>
  <si>
    <t>UpdateListingAsync: repository GetAsync throws InvalidOperationException("Update listing failure")</t>
  </si>
  <si>
    <t>Verify listing lifecycle — part 2: hard/soft delete, ban, restore, renewal, and expiry deactivation.</t>
  </si>
  <si>
    <t>Listing / banner repository mocks initialized</t>
  </si>
  <si>
    <t>IsSuccess=false, Message="Balance not enough", space lookup &amp; AddAsync never called</t>
  </si>
  <si>
    <t>HardDeleteListingAsync: listing exists (Id=5)</t>
  </si>
  <si>
    <t>IsSuccess=false, Message contains "Không tìm thấy" (space/listing), AddAsync never called</t>
  </si>
  <si>
    <t>HardDeleteListingAsync: listing not found</t>
  </si>
  <si>
    <t>AcceptOrCancelListingAsync: Status=Ban without a CancelReason</t>
  </si>
  <si>
    <t>IsSuccess=true, Data=mapped response, listing.CreatorId=current user, IsActive=true, Status=Available, ListingType=EntireSpace, AddAsync called once</t>
  </si>
  <si>
    <t>AcceptOrCancelListingAsync: Status=Ban with CancelReason="Fraud"; 2 related reports exist</t>
  </si>
  <si>
    <t>IsSuccess=false, Message contains "PerMonth", AddAsync never called</t>
  </si>
  <si>
    <t>AcceptOrCancelListingAsync: repository GetAsync throws InvalidOperationException("Accept failure")</t>
  </si>
  <si>
    <t>SoftDeleteListingAsync: listing exists with an associated active Banner</t>
  </si>
  <si>
    <t>IsSuccess=true, viewCount=8, ListingViewDailyStat added or updated, UpdateAsync+SaveChangesAsync once</t>
  </si>
  <si>
    <t>SoftDeleteListingAsync: repository GetAsync throws InvalidOperationException("Db failure")</t>
  </si>
  <si>
    <t>IsSuccess=false, IsNotFound=true, Message="Không tìm thấy listing với Id đã cho.", UpdateAsync/SaveChangesAsync never called</t>
  </si>
  <si>
    <t>GetSoftDeletedListingsAsync: repository returns 2 listings with IsDeleted=true (Entire+Shared type)</t>
  </si>
  <si>
    <t>RestoreListingAsync: listing exists with IsDeleted=true, IsActive=false</t>
  </si>
  <si>
    <t>IsSuccess=false, Message="View failure" / "Update listing failure" (repository exception)</t>
  </si>
  <si>
    <t>RestoreListingAsync: listing not found</t>
  </si>
  <si>
    <t>RenewExpiredListingAsync: listing Status=Expired, owned by current user, wallet spend succeeds</t>
  </si>
  <si>
    <t>IsSuccess=true, Data=mapped response, UpdatedAt set, UpdateAsync+SaveChangesAsync once</t>
  </si>
  <si>
    <t>RenewExpiredListingAsync: repository GetAsync throws InvalidOperationException("Renew failure")</t>
  </si>
  <si>
    <t>DeactivateExpiredListingsAsync: 1 listing past its posting period, 1 still active</t>
  </si>
  <si>
    <t>DeactivateExpiredListingsAsync: repository GetAllAsync throws InvalidOperationException("Deactivate listing failure")</t>
  </si>
  <si>
    <t>IsSuccess=true, Message contains "listing", RemoveByIdAsync(5)+SaveChangesAsync once</t>
  </si>
  <si>
    <t>IsSuccess=false (not found / missing reason / update guard), Update-side action never called</t>
  </si>
  <si>
    <t>IsSuccess=true, listing.Status=Ban/IsActive=false, all reports marked IsBanned=true (UpdateAsync x2), listing UpdateAsync once</t>
  </si>
  <si>
    <t>IsSuccess=false, Message="Accept failure" / "Db failure" / "Renew failure" / "Deactivate listing failure" (repository exception)</t>
  </si>
  <si>
    <t>IsSuccess=true, listing &amp; banner IsDeleted=true/IsActive=false, banner.UpdatedBy=current user, Banner UpdateAsync once</t>
  </si>
  <si>
    <t>IsSuccess=true, Data equivalent to mapped ShareListingResponse list</t>
  </si>
  <si>
    <t>IsSuccess=true, Data=mapped response, listing.IsDeleted=false/IsActive=true, UpdateAsync once</t>
  </si>
  <si>
    <t>IsSuccess=true, listing.Status=Available/IsActive=true/priorityLevel=75/durationInDays=14, WalletService.SpendWalletBalance called once, UpdateAsync once, or Status=Expired for a lapsed listing (background deactivation)</t>
  </si>
  <si>
    <t>Verify listing retrieval by ID, status filter, current user, and owner userId.</t>
  </si>
  <si>
    <t>Verify listing report creation, detail breakdown, listing report queries, and clearing.</t>
  </si>
  <si>
    <t>Listing repository / cache / mapper mocks initialized</t>
  </si>
  <si>
    <t>Action / input state</t>
  </si>
  <si>
    <t>GetListingByIdAsync: listing not found (Id=99)</t>
  </si>
  <si>
    <t>GetListingByIdAsync: listing exists (Id=5)</t>
  </si>
  <si>
    <t>GetListingByIdAsync: repository GetAsync throws InvalidOperationException("Get listing failure")</t>
  </si>
  <si>
    <t>Listing / listing report repository mocks initialized</t>
  </si>
  <si>
    <t>GetAllListingsAsync: status=null; repo has Available/Occupied/Expired listings mixed</t>
  </si>
  <si>
    <t>CreateListingReportAsync: current user id empty (not logged in)</t>
  </si>
  <si>
    <t>GetAllListingsAsync: repository GetAllWithSortAsync throws InvalidOperationException("Get all listing failure")</t>
  </si>
  <si>
    <t>CreateListingReportAsync: user-1 logged in, listing exists, reasons=[FakeInformation, PriceMismatch]</t>
  </si>
  <si>
    <t>GetListingsByCurrentUserAsync: status=Expired; current user="user-1"</t>
  </si>
  <si>
    <t>GetListingReportDetailAsync: 2 reports for ListingId=5 with overlapping reasons</t>
  </si>
  <si>
    <t>GetListingsByCurrentUserAsync: status=null; user-1 has Available/Occupied/Expired/Hidden listings mixed</t>
  </si>
  <si>
    <t>GetListingReportsAsync: listing exists; 2 reports with different CreatedAt</t>
  </si>
  <si>
    <t>GetListingsByUserIdAsync: userId="user-1", status=null; mixed statuses</t>
  </si>
  <si>
    <t>GetListingReportsAsync: listing not found (Id=99)</t>
  </si>
  <si>
    <t>GetListingsByUserIdAsync: userId=" " (whitespace)</t>
  </si>
  <si>
    <t>GetReportedListingsAsync: 3 reports across 2 listings (one banned)</t>
  </si>
  <si>
    <t>Verify shared-listing workflow — part 1: time policy lookup, share creation gating and validation.</t>
  </si>
  <si>
    <t>ClearListingReportsAsync: listing exists with 2 reports</t>
  </si>
  <si>
    <t>ClearListingReportsAsync: listingId=0 (invalid)</t>
  </si>
  <si>
    <t>ClearListingReportsAsync: listing exists but has 0 reports</t>
  </si>
  <si>
    <t>Space / listing / wallet / usage-right repository mocks initialized</t>
  </si>
  <si>
    <t>GetShareListingTimePolicyAsync: current user id blank</t>
  </si>
  <si>
    <t>GetShareListingTimePolicyAsync: space not found</t>
  </si>
  <si>
    <t>GetShareListingTimePolicyAsync: current user owns the space</t>
  </si>
  <si>
    <t>IsSuccess=false, Message contains "Không tìm thấy listing"</t>
  </si>
  <si>
    <t>GetShareListingTimePolicyAsync: lessee has active Platform contract (CanShare=true) covering the period</t>
  </si>
  <si>
    <t>IsSuccess=true, Data=mapped response, cache SetAsync called once</t>
  </si>
  <si>
    <t>GetShareListingTimePolicyAsync: repository throws InvalidOperationException("Policy failure")</t>
  </si>
  <si>
    <t>IsSuccess=false, Message="Get listing failure" / "Get all listing failure" (repository exception)</t>
  </si>
  <si>
    <t>IsSuccess=false, Message contains "đăng nhập", AddAsync never called</t>
  </si>
  <si>
    <t>CreateShareListingAsync: WalletService.SpendWalletBalance fails</t>
  </si>
  <si>
    <t>IsSuccess=true, Data equivalent to mapped list (Available only)</t>
  </si>
  <si>
    <t>IsSuccess=true, Data=mapped response, Message contains "thành công", AddAsync called once</t>
  </si>
  <si>
    <t>CreateShareListingAsync: ShareSpaceDetailMaxSubRenter=0 (invalid)</t>
  </si>
  <si>
    <t>IsSuccess=true, Data equivalent to filtered/mapped response (current user Expired only)</t>
  </si>
  <si>
    <t>IsSuccess=true, TotalReportCount=2, ReasonBreakdown contains FakeInformation=2 and Other=1</t>
  </si>
  <si>
    <t>CreateShareListingAsync: ShareSpaceDetailAvailabilitiesTimes empty</t>
  </si>
  <si>
    <t>IsSuccess=true, filtered listings contain only Ids {1,2,3} (excludes Hidden and other user)</t>
  </si>
  <si>
    <t>IsSuccess=true, Data equivalent to mapped responses ordered newest-first</t>
  </si>
  <si>
    <t>CreateShareListingAsync: availability StartTime(17:00) after EndTime(9:00)</t>
  </si>
  <si>
    <t>IsSuccess=true, filtered listings contain only Ids {1,2} (Available/Occupied only)</t>
  </si>
  <si>
    <t>IsSuccess=false, GetAllAsync/GetAsync never called (not found / invalid id guard)</t>
  </si>
  <si>
    <t>CreateShareListingAsync: valid request, current user is space owner</t>
  </si>
  <si>
    <t>IsSuccess=false, Message="UserId is required.", GetAllWithSortAsync never called</t>
  </si>
  <si>
    <t>IsSuccess=true, grouped by ListingId; listing 5 ReportCount=2/IsBanned=true; listing 6 present separately</t>
  </si>
  <si>
    <t>IsSuccess=true, Data=2 (count removed), RemoveRangeAsync+SaveChangesAsync once</t>
  </si>
  <si>
    <t>IsSuccess=true, Data=0, RemoveRangeAsync never called</t>
  </si>
  <si>
    <t>Verify shared-listing workflow — part 2: renter share-right creation, overlap conflict, update, and private helper branches.</t>
  </si>
  <si>
    <t>IsSuccess=false, Message="Register first!", SpaceRepository.GetAsync never called</t>
  </si>
  <si>
    <t>IsSuccess=true, Data.IsLocked=false</t>
  </si>
  <si>
    <t>IsSuccess=true, Data.IsLocked=true, ContractId=99, Source=Platform</t>
  </si>
  <si>
    <t>IsSuccess=false, Message="Policy failure"</t>
  </si>
  <si>
    <t>IsSuccess=false, Message="Balance not enough", AddAsync never called</t>
  </si>
  <si>
    <t>IsSuccess=false, AddAsync never called</t>
  </si>
  <si>
    <t>IsSuccess=true, listing.CreatorId=owner, ListingType=SharedSpace, Status=Available, ShareSpaceDetail.MaxSubRenter=2, 1 availability time, AddAsync+CommitTransactionAsync once</t>
  </si>
  <si>
    <t>Space usage right / listing repository mocks initialized</t>
  </si>
  <si>
    <t>CreateShareListingAsync: current user has active PrimaryRenter SpaceUsageRight with CanShare=true</t>
  </si>
  <si>
    <t>CreateShareListingAsync: existing SharedSpace listing has overlapping availability time slot</t>
  </si>
  <si>
    <t>CreateShareListingAsync: WalletService.SpendWalletBalance throws InvalidOperationException("Share create failure")</t>
  </si>
  <si>
    <t>UpdateShareListingAsync: listing not found</t>
  </si>
  <si>
    <t>UpdateShareListingAsync: existing listing ListingType=EntireSpace (not SharedSpace)</t>
  </si>
  <si>
    <t>UpdateShareListingAsync: existing SharedSpace listing, valid request, owner match</t>
  </si>
  <si>
    <t>UpdateShareListingAsync: repository GetAsync throws InvalidOperationException("Share update failure")</t>
  </si>
  <si>
    <t>Private helper branches (ValidatePriceUnitWithinListingPeriod, ValidateShareAvailabilityTime, IsAvailabilityOverlapped, DescribeDateOverlap, GetMaxPriceUnitForListingPeriod, ParseReasons) invoked via reflection with boundary inputs</t>
  </si>
  <si>
    <t>IsSuccess=true, listing.CreatorId=renter, SpaceUsageRightRepository.GetAllAsync once, AddAsync once</t>
  </si>
  <si>
    <t>IsSuccess=false, Message contains "#9" and "10:00", AddAsync never called</t>
  </si>
  <si>
    <t>IsSuccess=false, Message="Share create failure", RollbackTransactionAsync once</t>
  </si>
  <si>
    <t>IsSuccess=false, UpdateAsync never called</t>
  </si>
  <si>
    <t>IsSuccess=false, Message contains "SharedSpace", UpdateAsync never called</t>
  </si>
  <si>
    <t>IsSuccess=true, ShareSpaceDetail rebuilt (MaxSubRenter=2, 1 availability time), UpdateAsync+CommitTransactionAsync once</t>
  </si>
  <si>
    <t>IsSuccess=false, Message="Share update failure", RollbackTransactionAsync once</t>
  </si>
  <si>
    <t>All branch outputs match expected values (error messages, overlap booleans, parsed reasons)</t>
  </si>
  <si>
    <t>Verify wallet retrieval and balance update/spend operations including boundary (floor at zero) and error handling.</t>
  </si>
  <si>
    <t>Wallet / transaction history repository mocks initialized</t>
  </si>
  <si>
    <t>GetAllWallet: repository returns 1 wallet</t>
  </si>
  <si>
    <t>GetOwnWallet: current user id empty (not authenticated)</t>
  </si>
  <si>
    <t>GetOwnWallet: wallet exists for current user</t>
  </si>
  <si>
    <t>GetOwnWallet: wallet not found for current user</t>
  </si>
  <si>
    <t>GetWalletByUserId: wallet not found for user-1</t>
  </si>
  <si>
    <t>GetWalletByUserId: wallet exists for user-1</t>
  </si>
  <si>
    <t>GetWalletByUserId: userId="" (empty)</t>
  </si>
  <si>
    <t>SpendWalletBalance: current user empty</t>
  </si>
  <si>
    <t>SpendWalletBalance(100): wallet not found</t>
  </si>
  <si>
    <t>SpendWalletBalance(100): wallet balance=50 (insufficient)</t>
  </si>
  <si>
    <t>SpendWalletBalance(-30): wallet balance=100 (sufficient)</t>
  </si>
  <si>
    <t>UpdateWalletBalance(user-1, -100): wallet balance=20 (would go negative)</t>
  </si>
  <si>
    <t>UpdateWalletBalance("", 100): userId empty</t>
  </si>
  <si>
    <t>UpdateWalletBalance(user-1, 100): repository throws InvalidOperationException("Db failure")</t>
  </si>
  <si>
    <t>IsSuccess=true, Data equivalent to mapped wallet list</t>
  </si>
  <si>
    <t>IsSuccess=false, Message="User is not authenticated.", GetAsync never called where applicable</t>
  </si>
  <si>
    <t>IsSuccess=true, Data=mapped wallet</t>
  </si>
  <si>
    <t>IsSuccess=false, IsNotFound=true, Message="Wallet not found."</t>
  </si>
  <si>
    <t>IsSuccess=false, Message="UserId is required.", GetAsync never called where applicable</t>
  </si>
  <si>
    <t>IsSuccess=false, Message="Balance not enough" or "Error updating wallet balance: Db failure", UpdateAsync never called where applicable</t>
  </si>
  <si>
    <t>IsSuccess=true, wallet.Balance=70 (100-30), UpdatedBy=user-1, TransactionHistory added (amount=-30), UpdateAsync+SaveChangesAsync once</t>
  </si>
  <si>
    <t>IsSuccess=true, wallet.Balance floored to 0 (not negative), UpdatedBy=admin-1, TransactionHistory added (amount=-100, walletAmount=0)</t>
  </si>
  <si>
    <t>Verify booking request creation validation, status transitions, event publishing, update, and deletion.</t>
  </si>
  <si>
    <t>Listing / booking repository / publisher mocks initialized</t>
  </si>
  <si>
    <t>CreateBookingRequestAsync: listing not found</t>
  </si>
  <si>
    <t>CreateBookingRequestAsync: ExpectedStartDate in the past</t>
  </si>
  <si>
    <t>CreateBookingRequestAsync: current user is the listing owner (lessor)</t>
  </si>
  <si>
    <t>CreateBookingRequestAsync: Duration=0 (invalid)</t>
  </si>
  <si>
    <t>Verify review retrieval, creation (space/user target validation, contract participation, duplicate check), and soft-delete.</t>
  </si>
  <si>
    <t>CreateBookingRequestAsync: valid request, current user=lessee-1, listing owner=lessor-1</t>
  </si>
  <si>
    <t>CreateBookingRequestAsync: repository GetAsync throws InvalidOperationException("Create failure")</t>
  </si>
  <si>
    <t>UpdateStatusAsync: booking Pending -&gt; Approved</t>
  </si>
  <si>
    <t>UpdateStatusAsync: booking Pending -&gt; Rejected without a reason</t>
  </si>
  <si>
    <t>UpdateStatusAsync: booking not found</t>
  </si>
  <si>
    <t>UpdateStatusAsync: repository GetAsync throws InvalidOperationException("Status failure")</t>
  </si>
  <si>
    <t>GetBookingRequestByIdAsync: booking not found (Id=99)</t>
  </si>
  <si>
    <t>UpdateBookingRequestAsync: Pending booking, valid request</t>
  </si>
  <si>
    <t>Review / booking / contract repository mocks initialized</t>
  </si>
  <si>
    <t>UpdateBookingRequestAsync: booking Status != Pending</t>
  </si>
  <si>
    <t>DeleteBookingRequestAsync: repository GetAsync throws InvalidOperationException("Db failure")</t>
  </si>
  <si>
    <t>GetAllAsync: reviews exist</t>
  </si>
  <si>
    <t>GetByUserIdAsync: userId=""</t>
  </si>
  <si>
    <t>GetBySpaceIdAsync: reviews exist for space</t>
  </si>
  <si>
    <t>CreateAsync: current user unauthenticated (null)</t>
  </si>
  <si>
    <t>CreateAsync: no SpaceId nor TargetUserId provided</t>
  </si>
  <si>
    <t>IsSuccess=false, Message contains "listing", Data=null</t>
  </si>
  <si>
    <t>CreateAsync: both SpaceId and TargetUserId provided</t>
  </si>
  <si>
    <t>IsSuccess=false, Message contains "quá khứ" or "chính mình", AddAsync never called (invalid duration also rejected)</t>
  </si>
  <si>
    <t>IsSuccess=true, Data=mapped response, booking fields set, Status=Pending, ExpectedEndDate=Start+Duration, AddAsync+SaveChangesAsync once, BookingRequestCreatedEvent published once</t>
  </si>
  <si>
    <t>CreateAsync: booking request not found</t>
  </si>
  <si>
    <t>IsSuccess=false, Message="Create failure" / "Status failure" / "Db failure" (repository exception)</t>
  </si>
  <si>
    <t>CreateAsync: valid space review, contract Active, current user is lessee</t>
  </si>
  <si>
    <t>IsSuccess=true, booking.Status=Approved, BookingRequestApprovedEvent published once</t>
  </si>
  <si>
    <t>CreateAsync: current user is not a contract participant</t>
  </si>
  <si>
    <t>IsSuccess=false, Message contains "lý do" or "Pending", UpdateAsync never called</t>
  </si>
  <si>
    <t>IsSuccess=false, IsNotFound=true, Message contains "Không tìm thấy" where applicable</t>
  </si>
  <si>
    <t>CreateAsync: duplicate review for same booking already exists</t>
  </si>
  <si>
    <t>IsSuccess=true, Data=mapped response, ExpectedEndDate recalculated, UpdatedAt set, UpdateAsync once</t>
  </si>
  <si>
    <t>CreateAsync: lessee reviews lessor (TargetUserId), contract Expired</t>
  </si>
  <si>
    <t>DeleteAsync: review belongs to current user</t>
  </si>
  <si>
    <t>DeleteAsync: review not found / not owned by current user</t>
  </si>
  <si>
    <t>IsSuccess=true, Data equivalent to mapped reviews</t>
  </si>
  <si>
    <t>Verify message retrieval, saving, and read-status update within a conversation.</t>
  </si>
  <si>
    <t>IsSuccess=false, Message contains "UserId"</t>
  </si>
  <si>
    <t>IsSuccess=false, Message contains "chưa đăng nhập" or "SpaceId" or "chỉ được" (Create validation guard)</t>
  </si>
  <si>
    <t>IsSuccess=false, IsNotFound=true, Message contains "không tồn tại"</t>
  </si>
  <si>
    <t>IsSuccess=true, Data=response, AddAsync called once (space review or user-target review)</t>
  </si>
  <si>
    <t>Message repository / mapper mocks initialized</t>
  </si>
  <si>
    <t>IsSuccess=false, Message contains "không có quyền" or "đã được đánh giá", AddAsync never called</t>
  </si>
  <si>
    <t>GetMessagesAsync("conversation-1", null, 20): repository returns 1 message</t>
  </si>
  <si>
    <t>GetMessagesAsync: repository throws InvalidOperationException("Db failure")</t>
  </si>
  <si>
    <t>IsSuccess=true, Data=true, review.IsDeleted=true, UpdatedBy=current user, UpdateAsync once</t>
  </si>
  <si>
    <t>SaveMessageAsync("conversation-1","user-1","Hello"): valid message</t>
  </si>
  <si>
    <t>IsSuccess=false, IsNotFound=true or Message contains "của chính mình", UpdateAsync never called</t>
  </si>
  <si>
    <t>UpdateMessagesToReadAsync: no unread messages in conversation</t>
  </si>
  <si>
    <t>UpdateMessagesToReadAsync: 2 unread messages from other senders exist</t>
  </si>
  <si>
    <t>Verify favorite-list add/remove/query behavior including auth, not-found handling, and listing detail lookup.</t>
  </si>
  <si>
    <t>Favorite list / listing repository / current user service mocks initialized</t>
  </si>
  <si>
    <t>AddListingsAsync: current user id empty</t>
  </si>
  <si>
    <t>AddListingsAsync([1,2]): only listing Id=1 exists</t>
  </si>
  <si>
    <t>AddListingsAsync([1,1,2]): both listings exist, no favorite list yet for user-1</t>
  </si>
  <si>
    <t>IsSuccess=true, Data equivalent to mapped MessageResponse list</t>
  </si>
  <si>
    <t>GetByUserIdAsync: no favorite list exists for user-1</t>
  </si>
  <si>
    <t>Throws Exception with message containing "Lỗi khi lấy tin nhắn: Db failure"</t>
  </si>
  <si>
    <t>GetListingDetailAsync: favorite exists containing the listing</t>
  </si>
  <si>
    <t>GetListingDetailAsync: favorite list exists but listing not in it</t>
  </si>
  <si>
    <t>IsSuccess=true, Data=mapped response, Message contains "Tin nhắn đã được lưu", AddAsync called once (Text type, IsRead=false), SaveChangesAsync called once</t>
  </si>
  <si>
    <t>RemoveListingAsync(2): favorite list has listings [1,2]</t>
  </si>
  <si>
    <t>Returns false, SaveChangesAsync never called</t>
  </si>
  <si>
    <t>Returns true, all messages marked IsRead=true, SaveChangesAsync called once</t>
  </si>
  <si>
    <t>IsSuccess=false, Message contains "UserId", GetAllAsync never called</t>
  </si>
  <si>
    <t>IsSuccess=false, IsNotFound=true, Message contains "2" (missing listing id), SaveChangesAsync never called</t>
  </si>
  <si>
    <t>IsSuccess=true, Data=mapped response, Message contains "Đã thêm", AddAsync called once with distinct ListingIds [1,2], SaveChangesAsync called once</t>
  </si>
  <si>
    <t>IsSuccess=false, IsNotFound=true, Message contains "chưa có danh sách"</t>
  </si>
  <si>
    <t>IsSuccess=true, Data=mapped ListingResponse</t>
  </si>
  <si>
    <t>IsSuccess=true, Data=mapped response, listing 2 removed from FavoriteListings, SaveChangesAsync called once</t>
  </si>
  <si>
    <t>Verify PayOS transaction creation: input validation, authentication, and payment gateway failure handling.</t>
  </si>
  <si>
    <t>HttpContextAccessor / PayOS gateway mocks initialized</t>
  </si>
  <si>
    <t>Request / context state</t>
  </si>
  <si>
    <t>ReturnUrl=null, CancelUrl="https://cancel.test"</t>
  </si>
  <si>
    <t>Amount=0, ReturnUrl/CancelUrl both provided</t>
  </si>
  <si>
    <t>Amount=100, URLs valid, HttpContext has no authenticated user claims</t>
  </si>
  <si>
    <t>Amount=100, valid user-1 authenticated, PayOSGateway.CreatePaymentLinkAsync throws InvalidOperationException("PayOS failed")</t>
  </si>
  <si>
    <t>Amount=100, valid user-1 authenticated, wallet found, PayOSGateway returns checkout URL</t>
  </si>
  <si>
    <t>IsSuccess=false, Message="ReturnUrl and CancelUrl are required.", Data=null</t>
  </si>
  <si>
    <t>IsSuccess=false, Message="Amount must be greater than zero."</t>
  </si>
  <si>
    <t>IsSuccess=false, Message="Invalid user ID from token"</t>
  </si>
  <si>
    <t>IsSuccess=false, Message="PayOS failed", SaveChangesAsync never called</t>
  </si>
  <si>
    <t>IsSuccess=true, Data="https://checkout.test", Transaction AddAsync called once (Status=Pending), SaveChangesAsync once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</si>
</sst>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mm/dd"/>
  </numFmts>
  <fonts count="35">
    <font>
      <sz val="11.0"/>
      <color rgb="FF000000"/>
      <name val="MS PGothic"/>
      <scheme val="minor"/>
    </font>
    <font>
      <sz val="10.0"/>
      <color theme="1"/>
      <name val="Tahoma"/>
    </font>
    <font>
      <b/>
      <sz val="18.0"/>
      <color theme="1"/>
      <name val="Tahoma"/>
    </font>
    <font>
      <b/>
      <sz val="11.0"/>
      <color theme="1"/>
      <name val="Tahoma"/>
    </font>
    <font>
      <b/>
      <sz val="26.0"/>
      <color rgb="FFFF0000"/>
      <name val="Tahoma"/>
    </font>
    <font>
      <b/>
      <sz val="12.0"/>
      <color theme="1"/>
      <name val="Tahoma"/>
    </font>
    <font>
      <b/>
      <sz val="14.0"/>
      <color theme="1"/>
      <name val="Tahoma"/>
    </font>
    <font>
      <b/>
      <sz val="20.0"/>
      <color rgb="FF000000"/>
      <name val="Tahoma"/>
    </font>
    <font/>
    <font>
      <sz val="11.0"/>
      <color theme="1"/>
      <name val="Tahoma"/>
    </font>
    <font>
      <b/>
      <sz val="10.0"/>
      <color rgb="FF000000"/>
      <name val="Tahoma"/>
    </font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theme="1"/>
      <name val="Tahoma"/>
    </font>
    <font>
      <b/>
      <sz val="10.0"/>
      <color rgb="FFFF0000"/>
      <name val="Tahoma"/>
    </font>
    <font>
      <i/>
      <sz val="10.0"/>
      <color theme="1"/>
      <name val="Calibri"/>
    </font>
    <font>
      <i/>
      <sz val="10.0"/>
      <color theme="1"/>
      <name val="Tahoma"/>
    </font>
    <font>
      <i/>
      <sz val="11.0"/>
      <color theme="1"/>
      <name val="Tahoma"/>
    </font>
    <font>
      <b/>
      <sz val="10.0"/>
      <color rgb="FFFFFFFF"/>
      <name val="Tahoma"/>
    </font>
    <font>
      <u/>
      <sz val="10.0"/>
      <color rgb="FF0000FF"/>
      <name val="Tahoma"/>
    </font>
    <font>
      <sz val="10.0"/>
      <color rgb="FF000000"/>
      <name val="Tahoma"/>
    </font>
    <font>
      <u/>
      <sz val="10.0"/>
      <color rgb="FF0000FF"/>
      <name val="Tahoma"/>
    </font>
    <font>
      <u/>
      <sz val="10.0"/>
      <color rgb="FF0000FF"/>
      <name val="Tahoma"/>
    </font>
    <font>
      <sz val="10.0"/>
      <color rgb="FFFFFFFF"/>
      <name val="Tahoma"/>
    </font>
    <font>
      <b/>
      <sz val="11.0"/>
      <color rgb="FFFFFFFF"/>
      <name val="Tahoma"/>
    </font>
    <font>
      <sz val="8.0"/>
      <color theme="1"/>
      <name val="Tahoma"/>
    </font>
    <font>
      <b/>
      <sz val="8.0"/>
      <color theme="1"/>
      <name val="Tahoma"/>
    </font>
    <font>
      <i/>
      <sz val="8.0"/>
      <color theme="1"/>
      <name val="Tahoma"/>
    </font>
    <font>
      <sz val="8.0"/>
      <color rgb="FFFFFFFF"/>
      <name val="Tahoma"/>
    </font>
    <font>
      <b/>
      <sz val="8.0"/>
      <color rgb="FFFFFFFF"/>
      <name val="Tahoma"/>
    </font>
    <font>
      <b/>
      <sz val="12.0"/>
      <color theme="1"/>
      <name val="Courier New"/>
    </font>
    <font>
      <b/>
      <sz val="8.0"/>
      <color theme="1"/>
      <name val="Courier New"/>
    </font>
    <font>
      <sz val="11.0"/>
      <color theme="1"/>
      <name val="MS PGothic"/>
    </font>
    <font>
      <sz val="8.0"/>
      <color theme="1"/>
      <name val="Courier New"/>
    </font>
    <font>
      <sz val="8.0"/>
      <color rgb="FF008000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</fills>
  <borders count="9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/>
      <right/>
      <top style="double">
        <color rgb="FF000000"/>
      </top>
      <bottom style="medium">
        <color rgb="FFFFFFFF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bottom"/>
    </xf>
    <xf borderId="1" fillId="2" fontId="2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vertical="center"/>
    </xf>
    <xf borderId="1" fillId="3" fontId="1" numFmtId="1" xfId="0" applyAlignment="1" applyBorder="1" applyFill="1" applyFont="1" applyNumberFormat="1">
      <alignment vertical="bottom"/>
    </xf>
    <xf borderId="1" fillId="3" fontId="1" numFmtId="0" xfId="0" applyAlignment="1" applyBorder="1" applyFill="1" applyFont="1">
      <alignment horizontal="left" vertical="bottom"/>
    </xf>
    <xf borderId="1" fillId="3" fontId="1" numFmtId="0" xfId="0" applyAlignment="1" applyBorder="1" applyFill="1" applyFont="1">
      <alignment horizontal="left" shrinkToFit="0" vertical="bottom" wrapText="1"/>
    </xf>
    <xf borderId="1" fillId="3" fontId="1" numFmtId="0" xfId="0" applyAlignment="1" applyBorder="1" applyFill="1" applyFont="1">
      <alignment vertical="bottom"/>
    </xf>
    <xf borderId="2" fillId="0" fontId="4" numFmtId="0" xfId="0" applyAlignment="1" applyBorder="1" applyFont="1">
      <alignment horizontal="center" vertical="center"/>
    </xf>
    <xf borderId="1" fillId="2" fontId="5" numFmtId="0" xfId="0" applyAlignment="1" applyBorder="1" applyFill="1" applyFont="1">
      <alignment horizontal="left" vertical="bottom"/>
    </xf>
    <xf borderId="1" fillId="2" fontId="6" numFmtId="0" xfId="0" applyAlignment="1" applyBorder="1" applyFill="1" applyFont="1">
      <alignment vertical="center"/>
    </xf>
    <xf borderId="2" fillId="0" fontId="7" numFmtId="0" xfId="0" applyAlignment="1" applyBorder="1" applyFont="1">
      <alignment horizontal="center" vertical="center"/>
    </xf>
    <xf borderId="3" fillId="0" fontId="8" numFmtId="0" xfId="0" applyAlignment="1" applyBorder="1" applyFont="1">
      <alignment vertical="center"/>
    </xf>
    <xf borderId="4" fillId="0" fontId="8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left" vertical="bottom"/>
    </xf>
    <xf borderId="1" fillId="2" fontId="9" numFmtId="0" xfId="0" applyAlignment="1" applyBorder="1" applyFill="1" applyFont="1">
      <alignment vertical="center"/>
    </xf>
    <xf borderId="1" fillId="3" fontId="7" numFmtId="0" xfId="0" applyAlignment="1" applyBorder="1" applyFill="1" applyFont="1">
      <alignment horizontal="left" vertical="bottom"/>
    </xf>
    <xf borderId="1" fillId="3" fontId="10" numFmtId="0" xfId="0" applyAlignment="1" applyBorder="1" applyFill="1" applyFont="1">
      <alignment horizontal="left" vertical="bottom"/>
    </xf>
    <xf borderId="1" fillId="3" fontId="11" numFmtId="0" xfId="0" applyAlignment="1" applyBorder="1" applyFill="1" applyFont="1">
      <alignment horizontal="left" vertical="bottom"/>
    </xf>
    <xf borderId="0" fillId="0" fontId="12" numFmtId="0" xfId="0" applyAlignment="1" applyFont="1">
      <alignment horizontal="left" vertical="bottom"/>
    </xf>
    <xf borderId="5" fillId="3" fontId="13" numFmtId="0" xfId="0" applyAlignment="1" applyBorder="1" applyFill="1" applyFont="1">
      <alignment horizontal="left" vertical="bottom"/>
    </xf>
    <xf borderId="1" fillId="2" fontId="1" numFmtId="0" xfId="0" applyAlignment="1" applyBorder="1" applyFill="1" applyFont="1">
      <alignment horizontal="left" shrinkToFit="0" vertical="bottom" wrapText="1"/>
    </xf>
    <xf borderId="1" fillId="3" fontId="14" numFmtId="0" xfId="0" applyAlignment="1" applyBorder="1" applyFill="1" applyFont="1">
      <alignment horizontal="left" vertical="bottom"/>
    </xf>
    <xf borderId="2" fillId="0" fontId="15" numFmtId="0" xfId="0" applyAlignment="1" applyBorder="1" applyFont="1">
      <alignment horizontal="left" vertical="bottom"/>
    </xf>
    <xf borderId="4" fillId="0" fontId="1" numFmtId="0" xfId="0" applyAlignment="1" applyBorder="1" applyFont="1">
      <alignment vertical="bottom"/>
    </xf>
    <xf borderId="2" fillId="3" fontId="13" numFmtId="1" xfId="0" applyAlignment="1" applyBorder="1" applyFill="1" applyFont="1" applyNumberFormat="1">
      <alignment vertical="bottom"/>
    </xf>
    <xf borderId="2" fillId="0" fontId="16" numFmtId="0" xfId="0" applyAlignment="1" applyBorder="1" applyFont="1">
      <alignment horizontal="left" vertical="bottom"/>
    </xf>
    <xf borderId="6" fillId="0" fontId="8" numFmtId="0" xfId="0" applyAlignment="1" applyBorder="1" applyFont="1">
      <alignment vertical="center"/>
    </xf>
    <xf borderId="4" fillId="0" fontId="16" numFmtId="164" xfId="0" applyAlignment="1" applyBorder="1" applyFont="1" applyNumberFormat="1">
      <alignment horizontal="left" vertical="bottom"/>
    </xf>
    <xf borderId="1" fillId="2" fontId="16" numFmtId="0" xfId="0" applyAlignment="1" applyBorder="1" applyFill="1" applyFont="1">
      <alignment horizontal="left" vertical="bottom"/>
    </xf>
    <xf borderId="1" fillId="2" fontId="17" numFmtId="0" xfId="0" applyAlignment="1" applyBorder="1" applyFill="1" applyFont="1">
      <alignment vertical="center"/>
    </xf>
    <xf borderId="5" fillId="3" fontId="13" numFmtId="0" xfId="0" applyAlignment="1" applyBorder="1" applyFill="1" applyFont="1">
      <alignment vertical="center"/>
    </xf>
    <xf borderId="2" fillId="3" fontId="16" numFmtId="0" xfId="0" applyAlignment="1" applyBorder="1" applyFill="1" applyFont="1">
      <alignment horizontal="left" vertical="bottom"/>
    </xf>
    <xf borderId="2" fillId="0" fontId="16" numFmtId="0" xfId="0" applyAlignment="1" applyBorder="1" applyFont="1">
      <alignment horizontal="left" vertical="center"/>
    </xf>
    <xf borderId="4" fillId="0" fontId="16" numFmtId="0" xfId="0" applyAlignment="1" applyBorder="1" applyFont="1">
      <alignment horizontal="left" vertical="bottom"/>
    </xf>
    <xf borderId="0" fillId="0" fontId="13" numFmtId="0" xfId="0" applyAlignment="1" applyFont="1">
      <alignment vertical="bottom"/>
    </xf>
    <xf borderId="0" fillId="0" fontId="11" numFmtId="0" xfId="0" applyAlignment="1" applyFont="1">
      <alignment horizontal="left" vertical="bottom"/>
    </xf>
    <xf borderId="1" fillId="2" fontId="13" numFmtId="0" xfId="0" applyAlignment="1" applyBorder="1" applyFill="1" applyFont="1">
      <alignment horizontal="left" vertical="bottom"/>
    </xf>
    <xf borderId="1" fillId="2" fontId="5" numFmtId="0" xfId="0" applyAlignment="1" applyBorder="1" applyFill="1" applyFont="1">
      <alignment vertical="center"/>
    </xf>
    <xf borderId="2" fillId="3" fontId="13" numFmtId="1" xfId="0" applyAlignment="1" applyBorder="1" applyFill="1" applyFont="1" applyNumberFormat="1">
      <alignment horizontal="left" vertical="bottom"/>
    </xf>
    <xf borderId="7" fillId="3" fontId="16" numFmtId="0" xfId="0" applyAlignment="1" applyBorder="1" applyFill="1" applyFont="1">
      <alignment horizontal="left" vertical="bottom"/>
    </xf>
    <xf borderId="8" fillId="3" fontId="16" numFmtId="0" xfId="0" applyAlignment="1" applyBorder="1" applyFill="1" applyFont="1">
      <alignment horizontal="left" vertical="bottom"/>
    </xf>
    <xf borderId="9" fillId="3" fontId="16" numFmtId="0" xfId="0" applyAlignment="1" applyBorder="1" applyFill="1" applyFont="1">
      <alignment horizontal="left" vertical="bottom"/>
    </xf>
    <xf borderId="0" fillId="0" fontId="13" numFmtId="0" xfId="0" applyAlignment="1" applyFont="1">
      <alignment horizontal="left" vertical="bottom"/>
    </xf>
    <xf borderId="2" fillId="3" fontId="13" numFmtId="1" xfId="0" applyAlignment="1" applyBorder="1" applyFill="1" applyFont="1" applyNumberFormat="1">
      <alignment shrinkToFit="0" vertical="center" wrapText="1"/>
    </xf>
    <xf borderId="2" fillId="3" fontId="16" numFmtId="0" xfId="0" applyAlignment="1" applyBorder="1" applyFill="1" applyFont="1">
      <alignment horizontal="left" shrinkToFit="0" vertical="top" wrapText="1"/>
    </xf>
    <xf borderId="1" fillId="3" fontId="1" numFmtId="0" xfId="0" applyAlignment="1" applyBorder="1" applyFill="1" applyFont="1">
      <alignment shrinkToFit="0" vertical="bottom" wrapText="1"/>
    </xf>
    <xf borderId="10" fillId="4" fontId="18" numFmtId="15" xfId="0" applyAlignment="1" applyBorder="1" applyFill="1" applyFont="1" applyNumberFormat="1">
      <alignment horizontal="center" vertical="center"/>
    </xf>
    <xf borderId="11" fillId="4" fontId="18" numFmtId="0" xfId="0" applyAlignment="1" applyBorder="1" applyFill="1" applyFont="1">
      <alignment horizontal="center" vertical="center"/>
    </xf>
    <xf borderId="12" fillId="4" fontId="18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1" fillId="3" fontId="11" numFmtId="1" xfId="0" applyAlignment="1" applyBorder="1" applyFill="1" applyFont="1" applyNumberFormat="1">
      <alignment vertical="bottom"/>
    </xf>
    <xf borderId="13" fillId="0" fontId="16" numFmtId="164" xfId="0" applyAlignment="1" applyBorder="1" applyFont="1" applyNumberFormat="1">
      <alignment horizontal="center" shrinkToFit="0" vertical="top" wrapText="1"/>
    </xf>
    <xf borderId="14" fillId="0" fontId="1" numFmtId="49" xfId="0" applyAlignment="1" applyBorder="1" applyFont="1" applyNumberFormat="1">
      <alignment horizontal="center" vertical="top"/>
    </xf>
    <xf borderId="14" fillId="0" fontId="1" numFmtId="0" xfId="0" applyAlignment="1" applyBorder="1" applyFont="1">
      <alignment vertical="top"/>
    </xf>
    <xf borderId="14" fillId="0" fontId="1" numFmtId="0" xfId="0" applyAlignment="1" applyBorder="1" applyFont="1">
      <alignment horizontal="center" vertical="top"/>
    </xf>
    <xf borderId="1" fillId="3" fontId="1" numFmtId="1" xfId="0" applyAlignment="1" applyBorder="1" applyFill="1" applyFont="1" applyNumberFormat="1">
      <alignment vertical="center"/>
    </xf>
    <xf borderId="15" fillId="0" fontId="16" numFmtId="0" xfId="0" applyAlignment="1" applyBorder="1" applyFont="1">
      <alignment shrinkToFit="0" vertical="top" wrapText="1"/>
    </xf>
    <xf borderId="1" fillId="3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vertical="top"/>
    </xf>
    <xf borderId="1" fillId="3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vertical="center"/>
    </xf>
    <xf borderId="13" fillId="0" fontId="1" numFmtId="15" xfId="0" applyAlignment="1" applyBorder="1" applyFont="1" applyNumberFormat="1">
      <alignment vertical="top"/>
    </xf>
    <xf borderId="14" fillId="0" fontId="1" numFmtId="49" xfId="0" applyAlignment="1" applyBorder="1" applyFont="1" applyNumberFormat="1">
      <alignment vertical="top"/>
    </xf>
    <xf borderId="15" fillId="0" fontId="1" numFmtId="0" xfId="0" applyAlignment="1" applyBorder="1" applyFont="1">
      <alignment vertical="top"/>
    </xf>
    <xf borderId="10" fillId="5" fontId="18" numFmtId="1" xfId="0" applyAlignment="1" applyBorder="1" applyFill="1" applyFont="1" applyNumberFormat="1">
      <alignment horizontal="center" vertical="center"/>
    </xf>
    <xf borderId="16" fillId="5" fontId="18" numFmtId="1" xfId="0" applyAlignment="1" applyBorder="1" applyFill="1" applyFont="1" applyNumberFormat="1">
      <alignment horizontal="center" shrinkToFit="0" vertical="center" wrapText="1"/>
    </xf>
    <xf borderId="16" fillId="5" fontId="18" numFmtId="1" xfId="0" applyAlignment="1" applyBorder="1" applyFill="1" applyFont="1" applyNumberFormat="1">
      <alignment horizontal="center" vertical="center"/>
    </xf>
    <xf borderId="17" fillId="3" fontId="7" numFmtId="0" xfId="0" applyAlignment="1" applyBorder="1" applyFill="1" applyFont="1">
      <alignment horizontal="center" vertical="bottom"/>
    </xf>
    <xf borderId="11" fillId="5" fontId="18" numFmtId="0" xfId="0" applyAlignment="1" applyBorder="1" applyFill="1" applyFont="1">
      <alignment horizontal="center" vertical="center"/>
    </xf>
    <xf borderId="18" fillId="0" fontId="8" numFmtId="0" xfId="0" applyAlignment="1" applyBorder="1" applyFont="1">
      <alignment vertical="center"/>
    </xf>
    <xf borderId="11" fillId="5" fontId="18" numFmtId="0" xfId="0" applyAlignment="1" applyBorder="1" applyFill="1" applyFont="1">
      <alignment horizontal="center" shrinkToFit="0" vertical="center" wrapText="1"/>
    </xf>
    <xf borderId="19" fillId="0" fontId="8" numFmtId="0" xfId="0" applyAlignment="1" applyBorder="1" applyFont="1">
      <alignment vertical="center"/>
    </xf>
    <xf borderId="20" fillId="5" fontId="18" numFmtId="0" xfId="0" applyAlignment="1" applyBorder="1" applyFill="1" applyFont="1">
      <alignment horizontal="center" vertical="center"/>
    </xf>
    <xf borderId="12" fillId="5" fontId="18" numFmtId="0" xfId="0" applyAlignment="1" applyBorder="1" applyFill="1" applyFont="1">
      <alignment horizontal="center" vertical="center"/>
    </xf>
    <xf borderId="1" fillId="3" fontId="13" numFmtId="0" xfId="0" applyAlignment="1" applyBorder="1" applyFill="1" applyFont="1">
      <alignment horizontal="center" vertical="bottom"/>
    </xf>
    <xf borderId="1" fillId="3" fontId="13" numFmtId="0" xfId="0" applyAlignment="1" applyBorder="1" applyFill="1" applyFont="1">
      <alignment vertical="bottom"/>
    </xf>
    <xf borderId="13" fillId="3" fontId="1" numFmtId="1" xfId="0" applyAlignment="1" applyBorder="1" applyFill="1" applyFont="1" applyNumberFormat="1">
      <alignment horizontal="center" vertical="center"/>
    </xf>
    <xf borderId="1" fillId="3" fontId="1" numFmtId="15" xfId="0" applyAlignment="1" applyBorder="1" applyFill="1" applyFont="1" applyNumberFormat="1">
      <alignment vertical="bottom"/>
    </xf>
    <xf borderId="21" fillId="3" fontId="1" numFmtId="1" xfId="0" applyAlignment="1" applyBorder="1" applyFill="1" applyFont="1" applyNumberFormat="1">
      <alignment vertical="center"/>
    </xf>
    <xf borderId="14" fillId="3" fontId="1" numFmtId="49" xfId="0" applyAlignment="1" applyBorder="1" applyFill="1" applyFont="1" applyNumberFormat="1">
      <alignment horizontal="left" vertical="center"/>
    </xf>
    <xf borderId="14" fillId="3" fontId="1" numFmtId="49" xfId="0" applyAlignment="1" applyBorder="1" applyFill="1" applyFont="1" applyNumberFormat="1">
      <alignment horizontal="left" shrinkToFit="0" vertical="center" wrapText="1"/>
    </xf>
    <xf borderId="14" fillId="3" fontId="19" numFmtId="0" xfId="0" applyAlignment="1" applyBorder="1" applyFill="1" applyFont="1">
      <alignment horizontal="left" vertical="center"/>
    </xf>
    <xf borderId="14" fillId="3" fontId="20" numFmtId="0" xfId="0" applyAlignment="1" applyBorder="1" applyFill="1" applyFont="1">
      <alignment horizontal="left" vertical="center"/>
    </xf>
    <xf borderId="15" fillId="3" fontId="1" numFmtId="0" xfId="0" applyAlignment="1" applyBorder="1" applyFill="1" applyFont="1">
      <alignment horizontal="left" vertical="center"/>
    </xf>
    <xf borderId="5" fillId="3" fontId="13" numFmtId="0" xfId="0" applyAlignment="1" applyBorder="1" applyFill="1" applyFont="1">
      <alignment horizontal="left" vertical="center"/>
    </xf>
    <xf borderId="2" fillId="3" fontId="13" numFmtId="0" xfId="0" applyAlignment="1" applyBorder="1" applyFill="1" applyFont="1">
      <alignment horizontal="left" vertical="bottom"/>
    </xf>
    <xf borderId="2" fillId="3" fontId="1" numFmtId="0" xfId="0" applyAlignment="1" applyBorder="1" applyFill="1" applyFont="1">
      <alignment horizontal="center" readingOrder="0" vertical="bottom"/>
    </xf>
    <xf borderId="22" fillId="0" fontId="1" numFmtId="15" xfId="0" applyAlignment="1" applyBorder="1" applyFont="1" applyNumberFormat="1">
      <alignment vertical="top"/>
    </xf>
    <xf borderId="23" fillId="0" fontId="1" numFmtId="49" xfId="0" applyAlignment="1" applyBorder="1" applyFont="1" applyNumberFormat="1">
      <alignment vertical="top"/>
    </xf>
    <xf borderId="2" fillId="3" fontId="13" numFmtId="0" xfId="0" applyAlignment="1" applyBorder="1" applyFill="1" applyFont="1">
      <alignment horizontal="center" vertical="bottom"/>
    </xf>
    <xf borderId="23" fillId="0" fontId="1" numFmtId="0" xfId="0" applyAlignment="1" applyBorder="1" applyFont="1">
      <alignment vertical="top"/>
    </xf>
    <xf borderId="24" fillId="0" fontId="1" numFmtId="0" xfId="0" applyAlignment="1" applyBorder="1" applyFont="1">
      <alignment vertical="top"/>
    </xf>
    <xf borderId="2" fillId="3" fontId="16" numFmtId="165" xfId="0" applyAlignment="1" applyBorder="1" applyFill="1" applyFont="1" applyNumberFormat="1">
      <alignment horizontal="left" vertical="top"/>
    </xf>
    <xf borderId="2" fillId="3" fontId="16" numFmtId="0" xfId="0" applyAlignment="1" applyBorder="1" applyFill="1" applyFont="1">
      <alignment vertical="top"/>
    </xf>
    <xf borderId="14" fillId="3" fontId="1" numFmtId="0" xfId="0" applyAlignment="1" applyBorder="1" applyFill="1" applyFont="1">
      <alignment horizontal="left" vertical="center"/>
    </xf>
    <xf borderId="1" fillId="3" fontId="11" numFmtId="0" xfId="0" applyAlignment="1" applyBorder="1" applyFill="1" applyFont="1">
      <alignment vertical="bottom"/>
    </xf>
    <xf borderId="1" fillId="3" fontId="12" numFmtId="0" xfId="0" applyAlignment="1" applyBorder="1" applyFill="1" applyFont="1">
      <alignment vertical="bottom"/>
    </xf>
    <xf borderId="16" fillId="4" fontId="18" numFmtId="0" xfId="0" applyAlignment="1" applyBorder="1" applyFill="1" applyFont="1">
      <alignment horizontal="center" vertical="bottom"/>
    </xf>
    <xf borderId="11" fillId="4" fontId="18" numFmtId="0" xfId="0" applyAlignment="1" applyBorder="1" applyFill="1" applyFont="1">
      <alignment horizontal="center" vertical="bottom"/>
    </xf>
    <xf borderId="11" fillId="4" fontId="18" numFmtId="0" xfId="0" applyAlignment="1" applyBorder="1" applyFill="1" applyFont="1">
      <alignment horizontal="center" shrinkToFit="0" vertical="bottom" wrapText="1"/>
    </xf>
    <xf borderId="20" fillId="4" fontId="18" numFmtId="0" xfId="0" applyAlignment="1" applyBorder="1" applyFill="1" applyFont="1">
      <alignment horizontal="center" vertical="bottom"/>
    </xf>
    <xf borderId="12" fillId="4" fontId="18" numFmtId="0" xfId="0" applyAlignment="1" applyBorder="1" applyFill="1" applyFont="1">
      <alignment horizontal="center" shrinkToFit="0" vertical="bottom" wrapText="1"/>
    </xf>
    <xf borderId="19" fillId="3" fontId="1" numFmtId="0" xfId="0" applyAlignment="1" applyBorder="1" applyFill="1" applyFont="1">
      <alignment vertical="bottom"/>
    </xf>
    <xf borderId="21" fillId="3" fontId="1" numFmtId="0" xfId="0" applyAlignment="1" applyBorder="1" applyFill="1" applyFont="1">
      <alignment horizontal="center" vertical="bottom"/>
    </xf>
    <xf borderId="14" fillId="3" fontId="21" numFmtId="49" xfId="0" applyAlignment="1" applyBorder="1" applyFill="1" applyFont="1" applyNumberFormat="1">
      <alignment vertical="bottom"/>
    </xf>
    <xf borderId="14" fillId="3" fontId="1" numFmtId="0" xfId="0" applyAlignment="1" applyBorder="1" applyFill="1" applyFont="1">
      <alignment horizontal="center" vertical="bottom"/>
    </xf>
    <xf borderId="15" fillId="3" fontId="1" numFmtId="0" xfId="0" applyAlignment="1" applyBorder="1" applyFill="1" applyFont="1">
      <alignment horizontal="center" vertical="bottom"/>
    </xf>
    <xf borderId="25" fillId="0" fontId="1" numFmtId="0" xfId="0" applyAlignment="1" applyBorder="1" applyFont="1">
      <alignment vertical="center"/>
    </xf>
    <xf borderId="22" fillId="3" fontId="1" numFmtId="1" xfId="0" applyAlignment="1" applyBorder="1" applyFill="1" applyFont="1" applyNumberFormat="1">
      <alignment horizontal="center" vertical="center"/>
    </xf>
    <xf borderId="26" fillId="3" fontId="1" numFmtId="1" xfId="0" applyAlignment="1" applyBorder="1" applyFill="1" applyFont="1" applyNumberFormat="1">
      <alignment vertical="center"/>
    </xf>
    <xf borderId="23" fillId="3" fontId="1" numFmtId="49" xfId="0" applyAlignment="1" applyBorder="1" applyFill="1" applyFont="1" applyNumberFormat="1">
      <alignment horizontal="left" vertical="center"/>
    </xf>
    <xf borderId="23" fillId="3" fontId="1" numFmtId="49" xfId="0" applyAlignment="1" applyBorder="1" applyFill="1" applyFont="1" applyNumberFormat="1">
      <alignment horizontal="left" shrinkToFit="0" vertical="center" wrapText="1"/>
    </xf>
    <xf borderId="23" fillId="3" fontId="22" numFmtId="0" xfId="0" applyAlignment="1" applyBorder="1" applyFill="1" applyFont="1">
      <alignment horizontal="left" vertical="center"/>
    </xf>
    <xf borderId="23" fillId="3" fontId="1" numFmtId="0" xfId="0" applyAlignment="1" applyBorder="1" applyFill="1" applyFont="1">
      <alignment horizontal="left" vertical="center"/>
    </xf>
    <xf borderId="24" fillId="3" fontId="1" numFmtId="0" xfId="0" applyAlignment="1" applyBorder="1" applyFill="1" applyFont="1">
      <alignment horizontal="left" vertical="center"/>
    </xf>
    <xf borderId="26" fillId="4" fontId="23" numFmtId="0" xfId="0" applyAlignment="1" applyBorder="1" applyFill="1" applyFont="1">
      <alignment horizontal="center" vertical="bottom"/>
    </xf>
    <xf borderId="1" fillId="4" fontId="24" numFmtId="0" xfId="0" applyAlignment="1" applyBorder="1" applyFill="1" applyFont="1">
      <alignment vertical="center"/>
    </xf>
    <xf borderId="23" fillId="4" fontId="23" numFmtId="0" xfId="0" applyAlignment="1" applyBorder="1" applyFill="1" applyFont="1">
      <alignment horizontal="center" vertical="bottom"/>
    </xf>
    <xf borderId="1" fillId="3" fontId="13" numFmtId="0" xfId="0" applyAlignment="1" applyBorder="1" applyFill="1" applyFont="1">
      <alignment horizontal="left" vertical="bottom"/>
    </xf>
    <xf borderId="1" fillId="3" fontId="13" numFmtId="2" xfId="0" applyAlignment="1" applyBorder="1" applyFill="1" applyFont="1" applyNumberFormat="1">
      <alignment horizontal="right" shrinkToFit="0" vertical="bottom" wrapText="1"/>
    </xf>
    <xf borderId="1" fillId="3" fontId="20" numFmtId="0" xfId="0" applyAlignment="1" applyBorder="1" applyFill="1" applyFont="1">
      <alignment horizontal="center" shrinkToFit="0" vertical="bottom" wrapText="1"/>
    </xf>
    <xf borderId="27" fillId="0" fontId="25" numFmtId="0" xfId="0" applyAlignment="1" applyBorder="1" applyFont="1">
      <alignment vertical="bottom"/>
    </xf>
    <xf borderId="27" fillId="0" fontId="26" numFmtId="0" xfId="0" applyAlignment="1" applyBorder="1" applyFont="1">
      <alignment horizontal="left" vertical="bottom"/>
    </xf>
    <xf borderId="0" fillId="0" fontId="25" numFmtId="0" xfId="0" applyAlignment="1" applyFont="1">
      <alignment vertical="bottom"/>
    </xf>
    <xf borderId="0" fillId="0" fontId="25" numFmtId="0" xfId="0" applyAlignment="1" applyFont="1">
      <alignment horizontal="right" vertical="bottom"/>
    </xf>
    <xf borderId="28" fillId="3" fontId="26" numFmtId="0" xfId="0" applyAlignment="1" applyBorder="1" applyFill="1" applyFont="1">
      <alignment horizontal="left" shrinkToFit="0" vertical="bottom" wrapText="1"/>
    </xf>
    <xf borderId="29" fillId="0" fontId="8" numFmtId="0" xfId="0" applyAlignment="1" applyBorder="1" applyFont="1">
      <alignment vertical="center"/>
    </xf>
    <xf borderId="30" fillId="3" fontId="27" numFmtId="49" xfId="0" applyAlignment="1" applyBorder="1" applyFill="1" applyFont="1" applyNumberFormat="1">
      <alignment horizontal="left" shrinkToFit="0" vertical="bottom" wrapText="1"/>
    </xf>
    <xf borderId="31" fillId="0" fontId="8" numFmtId="0" xfId="0" applyAlignment="1" applyBorder="1" applyFont="1">
      <alignment vertical="center"/>
    </xf>
    <xf borderId="32" fillId="0" fontId="8" numFmtId="0" xfId="0" applyAlignment="1" applyBorder="1" applyFont="1">
      <alignment vertical="center"/>
    </xf>
    <xf borderId="33" fillId="3" fontId="26" numFmtId="0" xfId="0" applyAlignment="1" applyBorder="1" applyFill="1" applyFont="1">
      <alignment horizontal="left" shrinkToFit="0" vertical="bottom" wrapText="1"/>
    </xf>
    <xf borderId="34" fillId="0" fontId="8" numFmtId="0" xfId="0" applyAlignment="1" applyBorder="1" applyFont="1">
      <alignment vertical="center"/>
    </xf>
    <xf borderId="35" fillId="0" fontId="8" numFmtId="0" xfId="0" applyAlignment="1" applyBorder="1" applyFont="1">
      <alignment vertical="center"/>
    </xf>
    <xf borderId="30" fillId="3" fontId="25" numFmtId="49" xfId="0" applyAlignment="1" applyBorder="1" applyFill="1" applyFont="1" applyNumberFormat="1">
      <alignment horizontal="center" shrinkToFit="0" vertical="bottom" wrapText="1"/>
    </xf>
    <xf borderId="36" fillId="0" fontId="8" numFmtId="0" xfId="0" applyAlignment="1" applyBorder="1" applyFont="1">
      <alignment vertical="center"/>
    </xf>
    <xf borderId="0" fillId="0" fontId="25" numFmtId="49" xfId="0" applyAlignment="1" applyFont="1" applyNumberFormat="1">
      <alignment vertical="bottom"/>
    </xf>
    <xf borderId="37" fillId="3" fontId="26" numFmtId="0" xfId="0" applyAlignment="1" applyBorder="1" applyFill="1" applyFont="1">
      <alignment horizontal="left" shrinkToFit="0" vertical="bottom" wrapText="1"/>
    </xf>
    <xf borderId="38" fillId="3" fontId="27" numFmtId="0" xfId="0" applyAlignment="1" applyBorder="1" applyFill="1" applyFont="1">
      <alignment horizontal="left" shrinkToFit="0" vertical="bottom" wrapText="1"/>
    </xf>
    <xf borderId="39" fillId="0" fontId="8" numFmtId="0" xfId="0" applyAlignment="1" applyBorder="1" applyFont="1">
      <alignment vertical="center"/>
    </xf>
    <xf borderId="40" fillId="0" fontId="8" numFmtId="0" xfId="0" applyAlignment="1" applyBorder="1" applyFont="1">
      <alignment vertical="center"/>
    </xf>
    <xf borderId="2" fillId="3" fontId="26" numFmtId="0" xfId="0" applyAlignment="1" applyBorder="1" applyFill="1" applyFont="1">
      <alignment horizontal="left" shrinkToFit="0" vertical="bottom" wrapText="1"/>
    </xf>
    <xf borderId="41" fillId="3" fontId="27" numFmtId="0" xfId="0" applyAlignment="1" applyBorder="1" applyFill="1" applyFont="1">
      <alignment horizontal="left" shrinkToFit="0" vertical="bottom" wrapText="1"/>
    </xf>
    <xf borderId="42" fillId="0" fontId="8" numFmtId="0" xfId="0" applyAlignment="1" applyBorder="1" applyFont="1">
      <alignment vertical="center"/>
    </xf>
    <xf borderId="43" fillId="3" fontId="27" numFmtId="0" xfId="0" applyAlignment="1" applyBorder="1" applyFill="1" applyFont="1">
      <alignment shrinkToFit="0" vertical="bottom" wrapText="1"/>
    </xf>
    <xf borderId="44" fillId="3" fontId="27" numFmtId="0" xfId="0" applyAlignment="1" applyBorder="1" applyFill="1" applyFont="1">
      <alignment shrinkToFit="0" vertical="bottom" wrapText="1"/>
    </xf>
    <xf borderId="2" fillId="3" fontId="27" numFmtId="0" xfId="0" applyAlignment="1" applyBorder="1" applyFill="1" applyFont="1">
      <alignment horizontal="center" shrinkToFit="0" vertical="bottom" wrapText="1"/>
    </xf>
    <xf borderId="8" fillId="3" fontId="27" numFmtId="0" xfId="0" applyAlignment="1" applyBorder="1" applyFill="1" applyFont="1">
      <alignment horizontal="left" shrinkToFit="0" vertical="bottom" wrapText="1"/>
    </xf>
    <xf borderId="2" fillId="3" fontId="25" numFmtId="0" xfId="0" applyAlignment="1" applyBorder="1" applyFill="1" applyFont="1">
      <alignment horizontal="center" shrinkToFit="0" vertical="bottom" wrapText="1"/>
    </xf>
    <xf borderId="45" fillId="0" fontId="8" numFmtId="0" xfId="0" applyAlignment="1" applyBorder="1" applyFont="1">
      <alignment vertical="center"/>
    </xf>
    <xf borderId="2" fillId="3" fontId="27" numFmtId="0" xfId="0" applyAlignment="1" applyBorder="1" applyFill="1" applyFont="1">
      <alignment horizontal="left" shrinkToFit="0" vertical="bottom" wrapText="1"/>
    </xf>
    <xf borderId="37" fillId="3" fontId="26" numFmtId="0" xfId="0" applyAlignment="1" applyBorder="1" applyFill="1" applyFont="1">
      <alignment horizontal="center" vertical="center"/>
    </xf>
    <xf borderId="2" fillId="3" fontId="26" numFmtId="0" xfId="0" applyAlignment="1" applyBorder="1" applyFill="1" applyFont="1">
      <alignment horizontal="center" shrinkToFit="0" vertical="center" wrapText="1"/>
    </xf>
    <xf borderId="46" fillId="3" fontId="26" numFmtId="0" xfId="0" applyAlignment="1" applyBorder="1" applyFill="1" applyFont="1">
      <alignment horizontal="center" shrinkToFit="0" vertical="center" wrapText="1"/>
    </xf>
    <xf borderId="47" fillId="3" fontId="25" numFmtId="0" xfId="0" applyAlignment="1" applyBorder="1" applyFill="1" applyFont="1">
      <alignment horizontal="center" vertical="center"/>
    </xf>
    <xf borderId="48" fillId="0" fontId="8" numFmtId="0" xfId="0" applyAlignment="1" applyBorder="1" applyFont="1">
      <alignment vertical="center"/>
    </xf>
    <xf borderId="49" fillId="3" fontId="25" numFmtId="0" xfId="0" applyAlignment="1" applyBorder="1" applyFill="1" applyFont="1">
      <alignment horizontal="center" vertical="center"/>
    </xf>
    <xf borderId="50" fillId="0" fontId="8" numFmtId="0" xfId="0" applyAlignment="1" applyBorder="1" applyFont="1">
      <alignment vertical="center"/>
    </xf>
    <xf borderId="51" fillId="3" fontId="25" numFmtId="0" xfId="0" applyAlignment="1" applyBorder="1" applyFill="1" applyFont="1">
      <alignment horizontal="center" vertical="center"/>
    </xf>
    <xf borderId="52" fillId="0" fontId="8" numFmtId="0" xfId="0" applyAlignment="1" applyBorder="1" applyFont="1">
      <alignment vertical="center"/>
    </xf>
    <xf borderId="53" fillId="0" fontId="25" numFmtId="0" xfId="0" applyAlignment="1" applyBorder="1" applyFont="1">
      <alignment vertical="bottom"/>
    </xf>
    <xf borderId="0" fillId="0" fontId="26" numFmtId="0" xfId="0" applyAlignment="1" applyFont="1">
      <alignment horizontal="left" vertical="bottom"/>
    </xf>
    <xf borderId="54" fillId="4" fontId="28" numFmtId="0" xfId="0" applyAlignment="1" applyBorder="1" applyFill="1" applyFont="1">
      <alignment vertical="bottom"/>
    </xf>
    <xf borderId="55" fillId="4" fontId="29" numFmtId="0" xfId="0" applyAlignment="1" applyBorder="1" applyFill="1" applyFont="1">
      <alignment horizontal="left" vertical="bottom"/>
    </xf>
    <xf borderId="55" fillId="4" fontId="28" numFmtId="0" xfId="0" applyAlignment="1" applyBorder="1" applyFill="1" applyFont="1">
      <alignment vertical="bottom"/>
    </xf>
    <xf borderId="55" fillId="4" fontId="28" numFmtId="0" xfId="0" applyAlignment="1" applyBorder="1" applyFill="1" applyFont="1">
      <alignment horizontal="right" vertical="bottom"/>
    </xf>
    <xf borderId="55" fillId="4" fontId="29" numFmtId="0" xfId="0" applyAlignment="1" applyBorder="1" applyFill="1" applyFont="1">
      <alignment textRotation="180" vertical="top"/>
    </xf>
    <xf borderId="56" fillId="4" fontId="29" numFmtId="0" xfId="0" applyAlignment="1" applyBorder="1" applyFill="1" applyFont="1">
      <alignment textRotation="180" vertical="top"/>
    </xf>
    <xf borderId="0" fillId="0" fontId="26" numFmtId="0" xfId="0" applyAlignment="1" applyFont="1">
      <alignment vertical="bottom"/>
    </xf>
    <xf borderId="57" fillId="4" fontId="29" numFmtId="0" xfId="0" applyAlignment="1" applyBorder="1" applyFill="1" applyFont="1">
      <alignment vertical="center"/>
    </xf>
    <xf borderId="7" fillId="3" fontId="26" numFmtId="0" xfId="0" applyAlignment="1" applyBorder="1" applyFill="1" applyFont="1">
      <alignment horizontal="left" vertical="top"/>
    </xf>
    <xf borderId="8" fillId="3" fontId="25" numFmtId="0" xfId="0" applyAlignment="1" applyBorder="1" applyFill="1" applyFont="1">
      <alignment horizontal="center" vertical="top"/>
    </xf>
    <xf borderId="9" fillId="3" fontId="25" numFmtId="0" xfId="0" applyAlignment="1" applyBorder="1" applyFill="1" applyFont="1">
      <alignment horizontal="right" vertical="top"/>
    </xf>
    <xf borderId="58" fillId="6" fontId="27" numFmtId="0" xfId="0" applyAlignment="1" applyBorder="1" applyFill="1" applyFont="1">
      <alignment horizontal="right" vertical="bottom"/>
    </xf>
    <xf borderId="5" fillId="0" fontId="30" numFmtId="0" xfId="0" applyAlignment="1" applyBorder="1" applyFont="1">
      <alignment horizontal="center" vertical="bottom"/>
    </xf>
    <xf borderId="59" fillId="0" fontId="30" numFmtId="0" xfId="0" applyAlignment="1" applyBorder="1" applyFont="1">
      <alignment horizontal="center" vertical="bottom"/>
    </xf>
    <xf borderId="60" fillId="4" fontId="29" numFmtId="0" xfId="0" applyAlignment="1" applyBorder="1" applyFill="1" applyFont="1">
      <alignment vertical="center"/>
    </xf>
    <xf borderId="1" fillId="6" fontId="27" numFmtId="0" xfId="0" applyAlignment="1" applyBorder="1" applyFill="1" applyFont="1">
      <alignment horizontal="right" vertical="bottom"/>
    </xf>
    <xf borderId="0" fillId="0" fontId="25" numFmtId="0" xfId="0" applyAlignment="1" applyFont="1">
      <alignment vertical="top"/>
    </xf>
    <xf borderId="1" fillId="6" fontId="25" numFmtId="0" xfId="0" applyAlignment="1" applyBorder="1" applyFill="1" applyFont="1">
      <alignment horizontal="right" vertical="bottom"/>
    </xf>
    <xf borderId="0" fillId="0" fontId="31" numFmtId="0" xfId="0" applyAlignment="1" applyFont="1">
      <alignment horizontal="center" vertical="bottom"/>
    </xf>
    <xf borderId="61" fillId="3" fontId="26" numFmtId="0" xfId="0" applyAlignment="1" applyBorder="1" applyFill="1" applyFont="1">
      <alignment horizontal="left" vertical="top"/>
    </xf>
    <xf borderId="62" fillId="3" fontId="25" numFmtId="0" xfId="0" applyAlignment="1" applyBorder="1" applyFill="1" applyFont="1">
      <alignment horizontal="center" vertical="top"/>
    </xf>
    <xf borderId="63" fillId="3" fontId="25" numFmtId="0" xfId="0" applyAlignment="1" applyBorder="1" applyFill="1" applyFont="1">
      <alignment horizontal="right" vertical="top"/>
    </xf>
    <xf borderId="64" fillId="6" fontId="25" numFmtId="0" xfId="0" applyAlignment="1" applyBorder="1" applyFill="1" applyFont="1">
      <alignment horizontal="right" vertical="bottom"/>
    </xf>
    <xf borderId="65" fillId="0" fontId="30" numFmtId="0" xfId="0" applyAlignment="1" applyBorder="1" applyFont="1">
      <alignment horizontal="center" vertical="bottom"/>
    </xf>
    <xf borderId="66" fillId="0" fontId="30" numFmtId="0" xfId="0" applyAlignment="1" applyBorder="1" applyFont="1">
      <alignment horizontal="center" vertical="bottom"/>
    </xf>
    <xf borderId="57" fillId="4" fontId="29" numFmtId="0" xfId="0" applyAlignment="1" applyBorder="1" applyFill="1" applyFont="1">
      <alignment vertical="top"/>
    </xf>
    <xf borderId="67" fillId="3" fontId="26" numFmtId="0" xfId="0" applyAlignment="1" applyBorder="1" applyFill="1" applyFont="1">
      <alignment vertical="bottom"/>
    </xf>
    <xf borderId="43" fillId="3" fontId="26" numFmtId="0" xfId="0" applyAlignment="1" applyBorder="1" applyFill="1" applyFont="1">
      <alignment vertical="bottom"/>
    </xf>
    <xf borderId="68" fillId="3" fontId="25" numFmtId="0" xfId="0" applyAlignment="1" applyBorder="1" applyFill="1" applyFont="1">
      <alignment horizontal="right" vertical="bottom"/>
    </xf>
    <xf borderId="69" fillId="6" fontId="25" numFmtId="0" xfId="0" applyAlignment="1" applyBorder="1" applyFill="1" applyFont="1">
      <alignment horizontal="left" vertical="bottom"/>
    </xf>
    <xf borderId="70" fillId="0" fontId="30" numFmtId="0" xfId="0" applyAlignment="1" applyBorder="1" applyFont="1">
      <alignment horizontal="center" vertical="bottom"/>
    </xf>
    <xf borderId="71" fillId="0" fontId="30" numFmtId="0" xfId="0" applyAlignment="1" applyBorder="1" applyFont="1">
      <alignment horizontal="center" vertical="bottom"/>
    </xf>
    <xf borderId="60" fillId="4" fontId="29" numFmtId="0" xfId="0" applyAlignment="1" applyBorder="1" applyFill="1" applyFont="1">
      <alignment vertical="top"/>
    </xf>
    <xf borderId="7" fillId="3" fontId="26" numFmtId="0" xfId="0" applyAlignment="1" applyBorder="1" applyFill="1" applyFont="1">
      <alignment horizontal="right" vertical="bottom"/>
    </xf>
    <xf borderId="8" fillId="3" fontId="25" numFmtId="0" xfId="0" applyAlignment="1" applyBorder="1" applyFill="1" applyFont="1">
      <alignment vertical="bottom"/>
    </xf>
    <xf borderId="9" fillId="3" fontId="25" numFmtId="0" xfId="0" applyAlignment="1" applyBorder="1" applyFill="1" applyFont="1">
      <alignment horizontal="right" vertical="bottom"/>
    </xf>
    <xf borderId="5" fillId="6" fontId="25" numFmtId="0" xfId="0" applyAlignment="1" applyBorder="1" applyFill="1" applyFont="1">
      <alignment horizontal="left" vertical="bottom"/>
    </xf>
    <xf borderId="7" fillId="3" fontId="26" numFmtId="0" xfId="0" applyAlignment="1" applyBorder="1" applyFill="1" applyFont="1">
      <alignment vertical="bottom"/>
    </xf>
    <xf borderId="8" fillId="3" fontId="32" numFmtId="0" xfId="0" applyAlignment="1" applyBorder="1" applyFill="1" applyFont="1">
      <alignment vertical="bottom"/>
    </xf>
    <xf borderId="5" fillId="6" fontId="25" numFmtId="0" xfId="0" applyAlignment="1" applyBorder="1" applyFill="1" applyFont="1">
      <alignment vertical="bottom"/>
    </xf>
    <xf borderId="72" fillId="3" fontId="26" numFmtId="0" xfId="0" applyAlignment="1" applyBorder="1" applyFill="1" applyFont="1">
      <alignment vertical="bottom"/>
    </xf>
    <xf borderId="58" fillId="3" fontId="25" numFmtId="0" xfId="0" applyAlignment="1" applyBorder="1" applyFill="1" applyFont="1">
      <alignment vertical="bottom"/>
    </xf>
    <xf borderId="73" fillId="3" fontId="25" numFmtId="0" xfId="0" applyAlignment="1" applyBorder="1" applyFill="1" applyFont="1">
      <alignment horizontal="right" vertical="bottom"/>
    </xf>
    <xf borderId="74" fillId="6" fontId="25" numFmtId="0" xfId="0" applyAlignment="1" applyBorder="1" applyFill="1" applyFont="1">
      <alignment horizontal="left" vertical="bottom"/>
    </xf>
    <xf borderId="75" fillId="0" fontId="30" numFmtId="0" xfId="0" applyAlignment="1" applyBorder="1" applyFont="1">
      <alignment horizontal="center" vertical="bottom"/>
    </xf>
    <xf borderId="76" fillId="0" fontId="30" numFmtId="0" xfId="0" applyAlignment="1" applyBorder="1" applyFont="1">
      <alignment horizontal="center" vertical="bottom"/>
    </xf>
    <xf borderId="77" fillId="4" fontId="18" numFmtId="15" xfId="0" applyAlignment="1" applyBorder="1" applyFill="1" applyFont="1" applyNumberFormat="1">
      <alignment horizontal="center" vertical="center"/>
    </xf>
    <xf borderId="78" fillId="0" fontId="25" numFmtId="0" xfId="0" applyAlignment="1" applyBorder="1" applyFont="1">
      <alignment horizontal="left" vertical="bottom"/>
    </xf>
    <xf borderId="79" fillId="4" fontId="29" numFmtId="0" xfId="0" applyAlignment="1" applyBorder="1" applyFill="1" applyFont="1">
      <alignment horizontal="left" vertical="bottom"/>
    </xf>
    <xf borderId="80" fillId="0" fontId="8" numFmtId="0" xfId="0" applyAlignment="1" applyBorder="1" applyFont="1">
      <alignment vertical="center"/>
    </xf>
    <xf borderId="79" fillId="4" fontId="28" numFmtId="0" xfId="0" applyAlignment="1" applyBorder="1" applyFill="1" applyFont="1">
      <alignment vertical="bottom"/>
    </xf>
    <xf borderId="81" fillId="0" fontId="8" numFmtId="0" xfId="0" applyAlignment="1" applyBorder="1" applyFont="1">
      <alignment vertical="center"/>
    </xf>
    <xf borderId="79" fillId="4" fontId="28" numFmtId="0" xfId="0" applyAlignment="1" applyBorder="1" applyFill="1" applyFont="1">
      <alignment horizontal="right" vertical="bottom"/>
    </xf>
    <xf borderId="82" fillId="0" fontId="25" numFmtId="0" xfId="0" applyAlignment="1" applyBorder="1" applyFont="1">
      <alignment horizontal="left" vertical="bottom"/>
    </xf>
    <xf borderId="79" fillId="4" fontId="29" numFmtId="0" xfId="0" applyAlignment="1" applyBorder="1" applyFill="1" applyFont="1">
      <alignment textRotation="180" vertical="top"/>
    </xf>
    <xf borderId="82" fillId="0" fontId="33" numFmtId="0" xfId="0" applyAlignment="1" applyBorder="1" applyFont="1">
      <alignment horizontal="center" vertical="bottom"/>
    </xf>
    <xf borderId="83" fillId="4" fontId="29" numFmtId="0" xfId="0" applyAlignment="1" applyBorder="1" applyFill="1" applyFont="1">
      <alignment textRotation="180" vertical="top"/>
    </xf>
    <xf borderId="67" fillId="3" fontId="26" numFmtId="0" xfId="0" applyAlignment="1" applyBorder="1" applyFill="1" applyFont="1">
      <alignment horizontal="left" vertical="top"/>
    </xf>
    <xf borderId="84" fillId="0" fontId="33" numFmtId="0" xfId="0" applyAlignment="1" applyBorder="1" applyFont="1">
      <alignment horizontal="center" vertical="bottom"/>
    </xf>
    <xf borderId="43" fillId="3" fontId="25" numFmtId="0" xfId="0" applyAlignment="1" applyBorder="1" applyFill="1" applyFont="1">
      <alignment horizontal="center" vertical="top"/>
    </xf>
    <xf borderId="68" fillId="3" fontId="25" numFmtId="0" xfId="0" applyAlignment="1" applyBorder="1" applyFill="1" applyFont="1">
      <alignment horizontal="right" vertical="top"/>
    </xf>
    <xf borderId="85" fillId="4" fontId="29" numFmtId="0" xfId="0" applyAlignment="1" applyBorder="1" applyFill="1" applyFont="1">
      <alignment vertical="top"/>
    </xf>
    <xf borderId="70" fillId="0" fontId="5" numFmtId="0" xfId="0" applyAlignment="1" applyBorder="1" applyFont="1">
      <alignment horizontal="center" vertical="bottom"/>
    </xf>
    <xf borderId="2" fillId="0" fontId="25" numFmtId="0" xfId="0" applyAlignment="1" applyBorder="1" applyFont="1">
      <alignment horizontal="left" vertical="bottom"/>
    </xf>
    <xf borderId="5" fillId="0" fontId="34" numFmtId="0" xfId="0" applyAlignment="1" applyBorder="1" applyFont="1">
      <alignment horizontal="left" vertical="bottom"/>
    </xf>
    <xf borderId="5" fillId="0" fontId="33" numFmtId="0" xfId="0" applyAlignment="1" applyBorder="1" applyFont="1">
      <alignment horizontal="center" vertical="bottom"/>
    </xf>
    <xf borderId="71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9" fillId="0" fontId="33" numFmtId="0" xfId="0" applyAlignment="1" applyBorder="1" applyFont="1">
      <alignment horizontal="center" vertical="bottom"/>
    </xf>
    <xf borderId="2" fillId="0" fontId="25" numFmtId="0" xfId="0" applyAlignment="1" applyBorder="1" applyFont="1">
      <alignment horizontal="left" vertical="top"/>
    </xf>
    <xf borderId="59" fillId="0" fontId="5" numFmtId="0" xfId="0" applyAlignment="1" applyBorder="1" applyFont="1">
      <alignment horizontal="center" vertical="bottom"/>
    </xf>
    <xf borderId="5" fillId="0" fontId="25" numFmtId="0" xfId="0" applyAlignment="1" applyBorder="1" applyFont="1">
      <alignment vertical="bottom"/>
    </xf>
    <xf borderId="5" fillId="0" fontId="25" numFmtId="166" xfId="0" applyAlignment="1" applyBorder="1" applyFont="1" applyNumberFormat="1">
      <alignment textRotation="255" vertical="top"/>
    </xf>
    <xf borderId="59" fillId="0" fontId="25" numFmtId="166" xfId="0" applyAlignment="1" applyBorder="1" applyFont="1" applyNumberFormat="1">
      <alignment textRotation="255" vertical="top"/>
    </xf>
    <xf borderId="86" fillId="4" fontId="29" numFmtId="0" xfId="0" applyAlignment="1" applyBorder="1" applyFill="1" applyFont="1">
      <alignment vertical="top"/>
    </xf>
    <xf borderId="87" fillId="0" fontId="25" numFmtId="0" xfId="0" applyAlignment="1" applyBorder="1" applyFont="1">
      <alignment horizontal="left" vertical="top"/>
    </xf>
    <xf borderId="88" fillId="0" fontId="8" numFmtId="0" xfId="0" applyAlignment="1" applyBorder="1" applyFont="1">
      <alignment vertical="center"/>
    </xf>
    <xf borderId="89" fillId="0" fontId="8" numFmtId="0" xfId="0" applyAlignment="1" applyBorder="1" applyFont="1">
      <alignment vertical="center"/>
    </xf>
    <xf borderId="65" fillId="0" fontId="25" numFmtId="0" xfId="0" applyAlignment="1" applyBorder="1" applyFont="1">
      <alignment vertical="bottom"/>
    </xf>
    <xf borderId="65" fillId="0" fontId="25" numFmtId="0" xfId="0" applyAlignment="1" applyBorder="1" applyFont="1">
      <alignment textRotation="255" vertical="bottom"/>
    </xf>
    <xf borderId="66" fillId="0" fontId="25" numFmtId="0" xfId="0" applyAlignment="1" applyBorder="1" applyFont="1">
      <alignment textRotation="255" vertical="bottom"/>
    </xf>
    <xf borderId="0" fillId="0" fontId="26" numFmtId="0" xfId="0" applyAlignment="1" applyFont="1">
      <alignment horizontal="center" vertical="bottom"/>
    </xf>
    <xf borderId="65" fillId="0" fontId="5" numFmtId="0" xfId="0" applyAlignment="1" applyBorder="1" applyFont="1">
      <alignment horizontal="center" vertical="bottom"/>
    </xf>
    <xf borderId="66" fillId="0" fontId="5" numFmtId="0" xfId="0" applyAlignment="1" applyBorder="1" applyFont="1">
      <alignment horizontal="center" vertical="bottom"/>
    </xf>
    <xf borderId="8" fillId="3" fontId="9" numFmtId="0" xfId="0" applyAlignment="1" applyBorder="1" applyFill="1" applyFont="1">
      <alignment vertical="bottom"/>
    </xf>
    <xf borderId="75" fillId="0" fontId="5" numFmtId="0" xfId="0" applyAlignment="1" applyBorder="1" applyFont="1">
      <alignment horizontal="center" vertical="bottom"/>
    </xf>
    <xf borderId="76" fillId="0" fontId="5" numFmtId="0" xfId="0" applyAlignment="1" applyBorder="1" applyFont="1">
      <alignment horizontal="center" vertical="bottom"/>
    </xf>
    <xf borderId="82" fillId="0" fontId="25" numFmtId="0" xfId="0" applyAlignment="1" applyBorder="1" applyFont="1">
      <alignment horizontal="center" vertical="bottom"/>
    </xf>
    <xf borderId="84" fillId="0" fontId="25" numFmtId="0" xfId="0" applyAlignment="1" applyBorder="1" applyFont="1">
      <alignment horizontal="center" vertical="bottom"/>
    </xf>
    <xf borderId="5" fillId="0" fontId="25" numFmtId="0" xfId="0" applyAlignment="1" applyBorder="1" applyFont="1">
      <alignment horizontal="center" vertical="bottom"/>
    </xf>
    <xf borderId="59" fillId="0" fontId="25" numFmtId="0" xfId="0" applyAlignment="1" applyBorder="1" applyFont="1">
      <alignment horizontal="center" vertical="bottom"/>
    </xf>
    <xf borderId="90" fillId="4" fontId="29" numFmtId="0" xfId="0" applyAlignment="1" applyBorder="1" applyFill="1" applyFont="1">
      <alignment vertical="top"/>
    </xf>
    <xf borderId="0" fillId="0" fontId="29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customschemas.google.com/relationships/workbookmetadata" Target="metadata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  <a:r>
              <a:rPr b="1" i="0" sz="90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F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Statistics!$F$40:$H$40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000000"/>
                </a:solidFill>
                <a:latin typeface="Arial"/>
              </a:defRPr>
            </a:pPr>
            <a:r>
              <a:rPr b="1" i="0" sz="1100">
                <a:solidFill>
                  <a:srgbClr val="000000"/>
                </a:solidFill>
                <a:latin typeface="Arial"/>
              </a:rPr>
              <a:t>Passed Percent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9999FF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Statistics!$C$40:$E$40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228600</xdr:colOff>
      <xdr:row>46</xdr:row>
      <xdr:rowOff>104775</xdr:rowOff>
    </xdr:from>
    <xdr:ext cx="3714750" cy="2438400"/>
    <xdr:graphicFrame>
      <xdr:nvGraphicFramePr>
        <xdr:cNvPr descr="Chart 0" id="2312782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46</xdr:row>
      <xdr:rowOff>123825</xdr:rowOff>
    </xdr:from>
    <xdr:ext cx="4248150" cy="2409825"/>
    <xdr:graphicFrame>
      <xdr:nvGraphicFramePr>
        <xdr:cNvPr descr="Chart 1" id="725429391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0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1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2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3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4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5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6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7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8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9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0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1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2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3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4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5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6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7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28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29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30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31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32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3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9.38"/>
    <col customWidth="1" min="2" max="6" width="9.0"/>
    <col customWidth="1" min="7" max="24" width="10.0"/>
  </cols>
  <sheetData>
    <row r="1" ht="22.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6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6" t="s">
        <v>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42.0" customHeight="1">
      <c r="A6" s="23" t="s">
        <v>8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9.25" customHeight="1">
      <c r="A7" s="23" t="s">
        <v>11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0.0" customHeight="1">
      <c r="A8" s="23" t="s">
        <v>15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6.5" customHeight="1">
      <c r="A9" s="31" t="s">
        <v>16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6.5" customHeight="1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8.0" customHeight="1">
      <c r="A11" s="10" t="s">
        <v>19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39" t="s">
        <v>20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27.75" customHeight="1">
      <c r="A13" s="16" t="s">
        <v>22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3.5" customHeight="1">
      <c r="A14" s="16" t="s">
        <v>24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3.5" customHeight="1">
      <c r="A15" s="23" t="s">
        <v>28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3.5" customHeight="1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39" t="s">
        <v>33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3.5" customHeight="1">
      <c r="A18" s="16" t="s">
        <v>38</v>
      </c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3.5" customHeight="1">
      <c r="A19" s="39" t="s">
        <v>39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3.5" customHeight="1">
      <c r="A20" s="16" t="s">
        <v>41</v>
      </c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27.75" customHeight="1">
      <c r="A21" s="23" t="s">
        <v>50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3.5" customHeight="1">
      <c r="A22" s="16" t="s">
        <v>51</v>
      </c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3.5" customHeight="1">
      <c r="A23" s="16" t="s">
        <v>55</v>
      </c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3.5" customHeight="1">
      <c r="A24" s="16" t="s">
        <v>60</v>
      </c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6" t="s">
        <v>68</v>
      </c>
      <c r="B25" s="16"/>
      <c r="C25" s="16" t="s">
        <v>69</v>
      </c>
      <c r="D25" s="16" t="s">
        <v>69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3.5" customHeight="1">
      <c r="A26" s="16" t="s">
        <v>74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3.5" customHeight="1">
      <c r="A27" s="16" t="s">
        <v>79</v>
      </c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3.5" customHeight="1">
      <c r="A28" s="16" t="s">
        <v>85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3.5" customHeight="1">
      <c r="A29" s="16" t="s">
        <v>86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6" t="s">
        <v>92</v>
      </c>
      <c r="B30" s="16"/>
      <c r="C30" s="16" t="s">
        <v>69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3.5" customHeight="1">
      <c r="A31" s="39" t="s">
        <v>97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30.0" customHeight="1">
      <c r="A32" s="23" t="s">
        <v>100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3.5" customHeight="1">
      <c r="A33" s="16" t="s">
        <v>105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3.5" customHeight="1">
      <c r="A34" s="16" t="s">
        <v>107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3.5" customHeight="1">
      <c r="A35" s="16" t="s">
        <v>115</v>
      </c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3.5" customHeight="1">
      <c r="A36" s="16" t="s">
        <v>116</v>
      </c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3.5" customHeight="1">
      <c r="A37" s="39" t="s">
        <v>122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3.5" customHeight="1">
      <c r="A38" s="16" t="s">
        <v>123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42.0" customHeight="1">
      <c r="A39" s="23" t="s">
        <v>136</v>
      </c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3.5" customHeight="1">
      <c r="A40" s="23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39" t="s">
        <v>144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3.5" customHeight="1">
      <c r="A42" s="16" t="s">
        <v>152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3.5" customHeight="1">
      <c r="A43" s="16" t="s">
        <v>156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3.5" customHeight="1">
      <c r="A44" s="16" t="s">
        <v>159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3.5" customHeight="1">
      <c r="A45" s="16" t="s">
        <v>167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3.5" customHeight="1">
      <c r="A46" s="16" t="s">
        <v>175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3.5" customHeight="1">
      <c r="A47" s="16" t="s">
        <v>181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6" t="s">
        <v>182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3.5" customHeight="1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3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3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3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3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3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3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3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3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3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3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3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3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3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3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3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3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3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3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3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3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3.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3.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3.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3.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3.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3.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3.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3.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3.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3.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3.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3.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3.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3.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3.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3.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3.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3.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3.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3.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3.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3.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3.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3.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3.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3.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3.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3.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3.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3.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3.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3.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3.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3.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3.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3.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3.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3.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3.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3.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3.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3.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3.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3.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3.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3.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3.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3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3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3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3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3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3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3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3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3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3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3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3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3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3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3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3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3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3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3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3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3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3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3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3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3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3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3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3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3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3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3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3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3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3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3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3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3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3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3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3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3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3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3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3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3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3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3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3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3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3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3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3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3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3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3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3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3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3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3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3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3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3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3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3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3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3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3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3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3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3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3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3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3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3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3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3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3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3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3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3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3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3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3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3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3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3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3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3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3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3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3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3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3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3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3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3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3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3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3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3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3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3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3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3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3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3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3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3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3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3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3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3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3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3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3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3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3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3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3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3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3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3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3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3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3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3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3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3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3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3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3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3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10.0"/>
    <col customWidth="1" min="3" max="3" width="14.38"/>
    <col customWidth="1" min="4" max="4" width="26.0"/>
    <col customWidth="1" min="5" max="5" width="38.0"/>
    <col customWidth="1" min="6" max="6" width="48.13"/>
    <col customWidth="1" min="7" max="26" width="10.0"/>
  </cols>
  <sheetData>
    <row r="1" ht="12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5.75" customHeight="1">
      <c r="A2" s="9"/>
      <c r="B2" s="12" t="s">
        <v>1</v>
      </c>
      <c r="C2" s="13"/>
      <c r="D2" s="13"/>
      <c r="E2" s="13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20"/>
      <c r="B3" s="21"/>
      <c r="C3" s="3"/>
      <c r="D3" s="3"/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22" t="s">
        <v>6</v>
      </c>
      <c r="B4" s="25" t="s">
        <v>7</v>
      </c>
      <c r="C4" s="13"/>
      <c r="D4" s="14"/>
      <c r="E4" s="22" t="s">
        <v>9</v>
      </c>
      <c r="F4" s="26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2" t="s">
        <v>12</v>
      </c>
      <c r="B5" s="28" t="s">
        <v>13</v>
      </c>
      <c r="C5" s="13"/>
      <c r="D5" s="14"/>
      <c r="E5" s="22" t="s">
        <v>14</v>
      </c>
      <c r="F5" s="30">
        <v>46235.0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3" t="s">
        <v>17</v>
      </c>
      <c r="B6" s="35" t="str">
        <f>B5&amp;"_"&amp;"001"&amp;"_"&amp;"v1.0"</f>
        <v>SU26SE038_001_v1.0</v>
      </c>
      <c r="C6" s="13"/>
      <c r="D6" s="14"/>
      <c r="E6" s="22" t="s">
        <v>18</v>
      </c>
      <c r="F6" s="36">
        <v>1.0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7"/>
      <c r="B7" s="21"/>
      <c r="C7" s="3"/>
      <c r="D7" s="3"/>
      <c r="E7" s="38"/>
      <c r="F7" s="2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45" t="s">
        <v>23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49" t="s">
        <v>27</v>
      </c>
      <c r="B10" s="50" t="s">
        <v>18</v>
      </c>
      <c r="C10" s="50" t="s">
        <v>29</v>
      </c>
      <c r="D10" s="50" t="s">
        <v>30</v>
      </c>
      <c r="E10" s="50" t="s">
        <v>31</v>
      </c>
      <c r="F10" s="51" t="s">
        <v>32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26.25" customHeight="1">
      <c r="A11" s="54">
        <v>46237.0</v>
      </c>
      <c r="B11" s="55" t="s">
        <v>34</v>
      </c>
      <c r="C11" s="56"/>
      <c r="D11" s="57" t="s">
        <v>35</v>
      </c>
      <c r="E11" s="57" t="s">
        <v>36</v>
      </c>
      <c r="F11" s="59" t="s">
        <v>37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21.75" customHeight="1">
      <c r="A12" s="64"/>
      <c r="B12" s="65"/>
      <c r="C12" s="56"/>
      <c r="D12" s="56"/>
      <c r="E12" s="56"/>
      <c r="F12" s="66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9.5" customHeight="1">
      <c r="A13" s="64"/>
      <c r="B13" s="65"/>
      <c r="C13" s="56"/>
      <c r="D13" s="56"/>
      <c r="E13" s="56"/>
      <c r="F13" s="66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21.75" customHeight="1">
      <c r="A14" s="64"/>
      <c r="B14" s="65"/>
      <c r="C14" s="56"/>
      <c r="D14" s="56"/>
      <c r="E14" s="56"/>
      <c r="F14" s="66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19.5" customHeight="1">
      <c r="A15" s="64"/>
      <c r="B15" s="65"/>
      <c r="C15" s="56"/>
      <c r="D15" s="56"/>
      <c r="E15" s="56"/>
      <c r="F15" s="66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21.75" customHeight="1">
      <c r="A16" s="64"/>
      <c r="B16" s="65"/>
      <c r="C16" s="56"/>
      <c r="D16" s="56"/>
      <c r="E16" s="56"/>
      <c r="F16" s="66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19.5" customHeight="1">
      <c r="A17" s="90"/>
      <c r="B17" s="91"/>
      <c r="C17" s="93"/>
      <c r="D17" s="93"/>
      <c r="E17" s="93"/>
      <c r="F17" s="94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2.75" customHeight="1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4:D4"/>
    <mergeCell ref="B5:D5"/>
    <mergeCell ref="B6:D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35.5"/>
    <col customWidth="1" min="3" max="3" width="15.0"/>
    <col customWidth="1" min="4" max="4" width="35.75"/>
    <col customWidth="1" min="5" max="5" width="21.0"/>
    <col customWidth="1" min="6" max="6" width="28.25"/>
    <col customWidth="1" min="7" max="7" width="61.75"/>
    <col customWidth="1" min="8" max="8" width="77.13"/>
    <col customWidth="1" min="9" max="26" width="10.0"/>
  </cols>
  <sheetData>
    <row r="1" ht="12.75" customHeight="1">
      <c r="A1" s="5"/>
      <c r="B1" s="5"/>
      <c r="C1" s="5"/>
      <c r="D1" s="6"/>
      <c r="E1" s="7"/>
      <c r="F1" s="6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4.75" customHeight="1">
      <c r="A2" s="5"/>
      <c r="B2" s="5"/>
      <c r="C2" s="5"/>
      <c r="D2" s="6"/>
      <c r="E2" s="18" t="s">
        <v>4</v>
      </c>
      <c r="F2" s="18"/>
      <c r="G2" s="19"/>
      <c r="H2" s="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5"/>
      <c r="B3" s="5"/>
      <c r="C3" s="5"/>
      <c r="D3" s="6"/>
      <c r="E3" s="7"/>
      <c r="F3" s="24"/>
      <c r="G3" s="24"/>
      <c r="H3" s="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27" t="s">
        <v>6</v>
      </c>
      <c r="B4" s="13"/>
      <c r="C4" s="13"/>
      <c r="D4" s="29"/>
      <c r="E4" s="34" t="str">
        <f>Cover!B4</f>
        <v> AI-powered Shared Business Space Platform with Time-based Subleasing</v>
      </c>
      <c r="F4" s="13"/>
      <c r="G4" s="13"/>
      <c r="H4" s="1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4.25" customHeight="1">
      <c r="A5" s="27" t="s">
        <v>12</v>
      </c>
      <c r="B5" s="13"/>
      <c r="C5" s="13"/>
      <c r="D5" s="29"/>
      <c r="E5" s="34" t="str">
        <f>Cover!B5</f>
        <v>SU26SE038</v>
      </c>
      <c r="F5" s="13"/>
      <c r="G5" s="13"/>
      <c r="H5" s="1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4.25" customHeight="1">
      <c r="A6" s="41" t="s">
        <v>21</v>
      </c>
      <c r="B6" s="13"/>
      <c r="C6" s="13"/>
      <c r="D6" s="14"/>
      <c r="E6" s="42">
        <v>40.0</v>
      </c>
      <c r="F6" s="43"/>
      <c r="G6" s="43"/>
      <c r="H6" s="44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46" t="s">
        <v>25</v>
      </c>
      <c r="B7" s="13"/>
      <c r="C7" s="13"/>
      <c r="D7" s="14"/>
      <c r="E7" s="47" t="s">
        <v>26</v>
      </c>
      <c r="F7" s="13"/>
      <c r="G7" s="13"/>
      <c r="H7" s="14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2.75" customHeight="1">
      <c r="A8" s="53"/>
      <c r="B8" s="53"/>
      <c r="C8" s="53"/>
      <c r="D8" s="8"/>
      <c r="E8" s="4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58"/>
      <c r="B9" s="58"/>
      <c r="C9" s="58"/>
      <c r="D9" s="60"/>
      <c r="E9" s="62"/>
      <c r="F9" s="60"/>
      <c r="G9" s="60"/>
      <c r="H9" s="60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24.0" customHeight="1">
      <c r="A10" s="67" t="s">
        <v>40</v>
      </c>
      <c r="B10" s="68" t="s">
        <v>42</v>
      </c>
      <c r="C10" s="69" t="s">
        <v>44</v>
      </c>
      <c r="D10" s="71" t="s">
        <v>45</v>
      </c>
      <c r="E10" s="73" t="s">
        <v>46</v>
      </c>
      <c r="F10" s="71" t="s">
        <v>47</v>
      </c>
      <c r="G10" s="75" t="s">
        <v>48</v>
      </c>
      <c r="H10" s="76" t="s">
        <v>49</v>
      </c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3.5" customHeight="1">
      <c r="A11" s="79">
        <v>1.0</v>
      </c>
      <c r="B11" s="81" t="s">
        <v>52</v>
      </c>
      <c r="C11" s="81" t="s">
        <v>53</v>
      </c>
      <c r="D11" s="82" t="s">
        <v>54</v>
      </c>
      <c r="E11" s="83" t="s">
        <v>56</v>
      </c>
      <c r="F11" s="84" t="s">
        <v>57</v>
      </c>
      <c r="G11" s="85" t="s">
        <v>58</v>
      </c>
      <c r="H11" s="86" t="s">
        <v>59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79">
        <v>2.0</v>
      </c>
      <c r="B12" s="81" t="s">
        <v>61</v>
      </c>
      <c r="C12" s="81" t="s">
        <v>62</v>
      </c>
      <c r="D12" s="82" t="s">
        <v>63</v>
      </c>
      <c r="E12" s="83" t="s">
        <v>64</v>
      </c>
      <c r="F12" s="84" t="s">
        <v>65</v>
      </c>
      <c r="G12" s="85" t="s">
        <v>66</v>
      </c>
      <c r="H12" s="86" t="s">
        <v>67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79">
        <v>3.0</v>
      </c>
      <c r="B13" s="81" t="s">
        <v>70</v>
      </c>
      <c r="C13" s="81" t="s">
        <v>71</v>
      </c>
      <c r="D13" s="82" t="s">
        <v>72</v>
      </c>
      <c r="E13" s="83" t="s">
        <v>73</v>
      </c>
      <c r="F13" s="84" t="s">
        <v>75</v>
      </c>
      <c r="G13" s="85" t="s">
        <v>77</v>
      </c>
      <c r="H13" s="86" t="s">
        <v>78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79">
        <v>4.0</v>
      </c>
      <c r="B14" s="81" t="s">
        <v>80</v>
      </c>
      <c r="C14" s="81" t="s">
        <v>71</v>
      </c>
      <c r="D14" s="82" t="s">
        <v>81</v>
      </c>
      <c r="E14" s="83" t="s">
        <v>82</v>
      </c>
      <c r="F14" s="84" t="s">
        <v>75</v>
      </c>
      <c r="G14" s="85" t="s">
        <v>83</v>
      </c>
      <c r="H14" s="86" t="s">
        <v>84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79">
        <v>5.0</v>
      </c>
      <c r="B15" s="81" t="s">
        <v>87</v>
      </c>
      <c r="C15" s="81" t="s">
        <v>71</v>
      </c>
      <c r="D15" s="82" t="s">
        <v>88</v>
      </c>
      <c r="E15" s="83" t="s">
        <v>89</v>
      </c>
      <c r="F15" s="84" t="s">
        <v>75</v>
      </c>
      <c r="G15" s="85" t="s">
        <v>90</v>
      </c>
      <c r="H15" s="86" t="s">
        <v>91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79">
        <v>6.0</v>
      </c>
      <c r="B16" s="81" t="s">
        <v>94</v>
      </c>
      <c r="C16" s="81" t="s">
        <v>71</v>
      </c>
      <c r="D16" s="82" t="s">
        <v>95</v>
      </c>
      <c r="E16" s="83" t="s">
        <v>96</v>
      </c>
      <c r="F16" s="84" t="s">
        <v>75</v>
      </c>
      <c r="G16" s="97" t="s">
        <v>98</v>
      </c>
      <c r="H16" s="86" t="s">
        <v>99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79">
        <v>7.0</v>
      </c>
      <c r="B17" s="81" t="s">
        <v>101</v>
      </c>
      <c r="C17" s="81" t="s">
        <v>71</v>
      </c>
      <c r="D17" s="82" t="s">
        <v>102</v>
      </c>
      <c r="E17" s="83" t="s">
        <v>103</v>
      </c>
      <c r="F17" s="84" t="s">
        <v>75</v>
      </c>
      <c r="G17" s="97" t="s">
        <v>104</v>
      </c>
      <c r="H17" s="86" t="s">
        <v>106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79">
        <v>8.0</v>
      </c>
      <c r="B18" s="81" t="s">
        <v>108</v>
      </c>
      <c r="C18" s="81" t="s">
        <v>109</v>
      </c>
      <c r="D18" s="82" t="s">
        <v>110</v>
      </c>
      <c r="E18" s="83" t="s">
        <v>111</v>
      </c>
      <c r="F18" s="84" t="s">
        <v>112</v>
      </c>
      <c r="G18" s="97" t="s">
        <v>113</v>
      </c>
      <c r="H18" s="86" t="s">
        <v>114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79">
        <v>9.0</v>
      </c>
      <c r="B19" s="81" t="s">
        <v>117</v>
      </c>
      <c r="C19" s="81" t="s">
        <v>118</v>
      </c>
      <c r="D19" s="52" t="s">
        <v>110</v>
      </c>
      <c r="E19" s="83" t="s">
        <v>119</v>
      </c>
      <c r="F19" s="84" t="s">
        <v>112</v>
      </c>
      <c r="G19" s="97" t="s">
        <v>120</v>
      </c>
      <c r="H19" s="86" t="s">
        <v>121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79">
        <v>10.0</v>
      </c>
      <c r="B20" s="81" t="s">
        <v>124</v>
      </c>
      <c r="C20" s="81" t="s">
        <v>125</v>
      </c>
      <c r="D20" s="82" t="s">
        <v>126</v>
      </c>
      <c r="E20" s="83" t="s">
        <v>128</v>
      </c>
      <c r="F20" s="84" t="s">
        <v>129</v>
      </c>
      <c r="G20" s="97" t="s">
        <v>131</v>
      </c>
      <c r="H20" s="86" t="s">
        <v>133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79">
        <v>11.0</v>
      </c>
      <c r="B21" s="81" t="s">
        <v>139</v>
      </c>
      <c r="C21" s="81" t="s">
        <v>125</v>
      </c>
      <c r="D21" s="82" t="s">
        <v>140</v>
      </c>
      <c r="E21" s="83" t="s">
        <v>141</v>
      </c>
      <c r="F21" s="84" t="s">
        <v>129</v>
      </c>
      <c r="G21" s="97" t="s">
        <v>142</v>
      </c>
      <c r="H21" s="86" t="s">
        <v>143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79">
        <v>12.0</v>
      </c>
      <c r="B22" s="81" t="s">
        <v>145</v>
      </c>
      <c r="C22" s="81" t="s">
        <v>146</v>
      </c>
      <c r="D22" s="82" t="s">
        <v>147</v>
      </c>
      <c r="E22" s="83" t="s">
        <v>148</v>
      </c>
      <c r="F22" s="84" t="s">
        <v>149</v>
      </c>
      <c r="G22" s="97" t="s">
        <v>150</v>
      </c>
      <c r="H22" s="86" t="s">
        <v>151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79">
        <v>13.0</v>
      </c>
      <c r="B23" s="81" t="s">
        <v>153</v>
      </c>
      <c r="C23" s="81" t="s">
        <v>146</v>
      </c>
      <c r="D23" s="82" t="s">
        <v>154</v>
      </c>
      <c r="E23" s="83" t="s">
        <v>155</v>
      </c>
      <c r="F23" s="84" t="s">
        <v>149</v>
      </c>
      <c r="G23" s="97" t="s">
        <v>157</v>
      </c>
      <c r="H23" s="86" t="s">
        <v>158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79">
        <v>14.0</v>
      </c>
      <c r="B24" s="81" t="s">
        <v>160</v>
      </c>
      <c r="C24" s="81" t="s">
        <v>161</v>
      </c>
      <c r="D24" s="82" t="s">
        <v>162</v>
      </c>
      <c r="E24" s="83" t="s">
        <v>163</v>
      </c>
      <c r="F24" s="84" t="s">
        <v>164</v>
      </c>
      <c r="G24" s="97" t="s">
        <v>165</v>
      </c>
      <c r="H24" s="86" t="s">
        <v>166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79">
        <v>15.0</v>
      </c>
      <c r="B25" s="81" t="s">
        <v>168</v>
      </c>
      <c r="C25" s="81" t="s">
        <v>169</v>
      </c>
      <c r="D25" s="82" t="s">
        <v>170</v>
      </c>
      <c r="E25" s="83" t="s">
        <v>171</v>
      </c>
      <c r="F25" s="84" t="s">
        <v>172</v>
      </c>
      <c r="G25" s="97" t="s">
        <v>173</v>
      </c>
      <c r="H25" s="86" t="s">
        <v>174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79">
        <v>16.0</v>
      </c>
      <c r="B26" s="81" t="s">
        <v>176</v>
      </c>
      <c r="C26" s="81" t="s">
        <v>169</v>
      </c>
      <c r="D26" s="82" t="s">
        <v>177</v>
      </c>
      <c r="E26" s="83" t="s">
        <v>178</v>
      </c>
      <c r="F26" s="84" t="s">
        <v>172</v>
      </c>
      <c r="G26" s="97" t="s">
        <v>179</v>
      </c>
      <c r="H26" s="86" t="s">
        <v>180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79">
        <v>17.0</v>
      </c>
      <c r="B27" s="81" t="s">
        <v>183</v>
      </c>
      <c r="C27" s="81" t="s">
        <v>169</v>
      </c>
      <c r="D27" s="82" t="s">
        <v>184</v>
      </c>
      <c r="E27" s="83" t="s">
        <v>185</v>
      </c>
      <c r="F27" s="84" t="s">
        <v>172</v>
      </c>
      <c r="G27" s="97" t="s">
        <v>186</v>
      </c>
      <c r="H27" s="110" t="s">
        <v>187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79">
        <v>18.0</v>
      </c>
      <c r="B28" s="81" t="s">
        <v>188</v>
      </c>
      <c r="C28" s="81" t="s">
        <v>169</v>
      </c>
      <c r="D28" s="82" t="s">
        <v>189</v>
      </c>
      <c r="E28" s="83" t="s">
        <v>190</v>
      </c>
      <c r="F28" s="84" t="s">
        <v>172</v>
      </c>
      <c r="G28" s="97" t="s">
        <v>191</v>
      </c>
      <c r="H28" s="86" t="s">
        <v>192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79">
        <v>19.0</v>
      </c>
      <c r="B29" s="81" t="s">
        <v>193</v>
      </c>
      <c r="C29" s="81" t="s">
        <v>194</v>
      </c>
      <c r="D29" s="82" t="s">
        <v>195</v>
      </c>
      <c r="E29" s="83" t="s">
        <v>196</v>
      </c>
      <c r="F29" s="84" t="s">
        <v>197</v>
      </c>
      <c r="G29" s="97" t="s">
        <v>198</v>
      </c>
      <c r="H29" s="86" t="s">
        <v>199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79">
        <v>20.0</v>
      </c>
      <c r="B30" s="81" t="s">
        <v>200</v>
      </c>
      <c r="C30" s="81" t="s">
        <v>194</v>
      </c>
      <c r="D30" s="82" t="s">
        <v>201</v>
      </c>
      <c r="E30" s="83" t="s">
        <v>202</v>
      </c>
      <c r="F30" s="84" t="s">
        <v>197</v>
      </c>
      <c r="G30" s="97" t="s">
        <v>203</v>
      </c>
      <c r="H30" s="86" t="s">
        <v>204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79">
        <v>21.0</v>
      </c>
      <c r="B31" s="81" t="s">
        <v>205</v>
      </c>
      <c r="C31" s="81" t="s">
        <v>194</v>
      </c>
      <c r="D31" s="82" t="s">
        <v>206</v>
      </c>
      <c r="E31" s="83" t="s">
        <v>207</v>
      </c>
      <c r="F31" s="84" t="s">
        <v>197</v>
      </c>
      <c r="G31" s="97" t="s">
        <v>208</v>
      </c>
      <c r="H31" s="86" t="s">
        <v>209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79">
        <v>22.0</v>
      </c>
      <c r="B32" s="81" t="s">
        <v>210</v>
      </c>
      <c r="C32" s="81" t="s">
        <v>194</v>
      </c>
      <c r="D32" s="82" t="s">
        <v>211</v>
      </c>
      <c r="E32" s="83" t="s">
        <v>212</v>
      </c>
      <c r="F32" s="84" t="s">
        <v>197</v>
      </c>
      <c r="G32" s="97" t="s">
        <v>213</v>
      </c>
      <c r="H32" s="86" t="s">
        <v>214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79">
        <v>23.0</v>
      </c>
      <c r="B33" s="81" t="s">
        <v>215</v>
      </c>
      <c r="C33" s="81" t="s">
        <v>216</v>
      </c>
      <c r="D33" s="82" t="s">
        <v>217</v>
      </c>
      <c r="E33" s="83" t="s">
        <v>218</v>
      </c>
      <c r="F33" s="84" t="s">
        <v>219</v>
      </c>
      <c r="G33" s="97" t="s">
        <v>220</v>
      </c>
      <c r="H33" s="86" t="s">
        <v>221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79">
        <v>24.0</v>
      </c>
      <c r="B34" s="81" t="s">
        <v>222</v>
      </c>
      <c r="C34" s="81" t="s">
        <v>223</v>
      </c>
      <c r="D34" s="82" t="s">
        <v>224</v>
      </c>
      <c r="E34" s="83" t="s">
        <v>225</v>
      </c>
      <c r="F34" s="84" t="s">
        <v>226</v>
      </c>
      <c r="G34" s="97" t="s">
        <v>227</v>
      </c>
      <c r="H34" s="86" t="s">
        <v>228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79">
        <v>25.0</v>
      </c>
      <c r="B35" s="81" t="s">
        <v>229</v>
      </c>
      <c r="C35" s="81" t="s">
        <v>230</v>
      </c>
      <c r="D35" s="82" t="s">
        <v>231</v>
      </c>
      <c r="E35" s="83" t="s">
        <v>232</v>
      </c>
      <c r="F35" s="84" t="s">
        <v>233</v>
      </c>
      <c r="G35" s="97" t="s">
        <v>234</v>
      </c>
      <c r="H35" s="86" t="s">
        <v>235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79">
        <v>26.0</v>
      </c>
      <c r="B36" s="81" t="s">
        <v>236</v>
      </c>
      <c r="C36" s="81" t="s">
        <v>237</v>
      </c>
      <c r="D36" s="82" t="s">
        <v>238</v>
      </c>
      <c r="E36" s="83" t="s">
        <v>239</v>
      </c>
      <c r="F36" s="84" t="s">
        <v>240</v>
      </c>
      <c r="G36" s="97" t="s">
        <v>241</v>
      </c>
      <c r="H36" s="86" t="s">
        <v>242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79">
        <v>27.0</v>
      </c>
      <c r="B37" s="81" t="s">
        <v>243</v>
      </c>
      <c r="C37" s="81" t="s">
        <v>244</v>
      </c>
      <c r="D37" s="82" t="s">
        <v>245</v>
      </c>
      <c r="E37" s="83" t="s">
        <v>246</v>
      </c>
      <c r="F37" s="84" t="s">
        <v>247</v>
      </c>
      <c r="G37" s="97" t="s">
        <v>248</v>
      </c>
      <c r="H37" s="86" t="s">
        <v>249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11">
        <v>28.0</v>
      </c>
      <c r="B38" s="112" t="s">
        <v>250</v>
      </c>
      <c r="C38" s="112" t="s">
        <v>251</v>
      </c>
      <c r="D38" s="113" t="s">
        <v>252</v>
      </c>
      <c r="E38" s="114" t="s">
        <v>253</v>
      </c>
      <c r="F38" s="115" t="s">
        <v>254</v>
      </c>
      <c r="G38" s="116" t="s">
        <v>255</v>
      </c>
      <c r="H38" s="117" t="s">
        <v>256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5"/>
      <c r="B39" s="5"/>
      <c r="C39" s="5"/>
      <c r="D39" s="6"/>
      <c r="E39" s="7"/>
      <c r="F39" s="6"/>
      <c r="G39" s="6"/>
      <c r="H39" s="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5"/>
      <c r="B40" s="5"/>
      <c r="C40" s="5"/>
      <c r="D40" s="6"/>
      <c r="E40" s="7"/>
      <c r="F40" s="6"/>
      <c r="G40" s="6"/>
      <c r="H40" s="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5"/>
      <c r="B41" s="5"/>
      <c r="C41" s="5"/>
      <c r="D41" s="6"/>
      <c r="E41" s="7"/>
      <c r="F41" s="6"/>
      <c r="G41" s="6"/>
      <c r="H41" s="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5"/>
      <c r="B42" s="5"/>
      <c r="C42" s="5"/>
      <c r="D42" s="6"/>
      <c r="E42" s="7"/>
      <c r="F42" s="6"/>
      <c r="G42" s="6"/>
      <c r="H42" s="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5"/>
      <c r="B43" s="5"/>
      <c r="C43" s="5"/>
      <c r="D43" s="6"/>
      <c r="E43" s="7"/>
      <c r="F43" s="6"/>
      <c r="G43" s="6"/>
      <c r="H43" s="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5"/>
      <c r="B44" s="5"/>
      <c r="C44" s="5"/>
      <c r="D44" s="6"/>
      <c r="E44" s="7"/>
      <c r="F44" s="6"/>
      <c r="G44" s="6"/>
      <c r="H44" s="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5"/>
      <c r="B45" s="5"/>
      <c r="C45" s="5"/>
      <c r="D45" s="6"/>
      <c r="E45" s="7"/>
      <c r="F45" s="6"/>
      <c r="G45" s="6"/>
      <c r="H45" s="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5"/>
      <c r="B46" s="5"/>
      <c r="C46" s="5"/>
      <c r="D46" s="6"/>
      <c r="E46" s="7"/>
      <c r="F46" s="6"/>
      <c r="G46" s="6"/>
      <c r="H46" s="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5"/>
      <c r="B47" s="5"/>
      <c r="C47" s="5"/>
      <c r="D47" s="6"/>
      <c r="E47" s="7"/>
      <c r="F47" s="6"/>
      <c r="G47" s="6"/>
      <c r="H47" s="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5"/>
      <c r="B48" s="5"/>
      <c r="C48" s="5"/>
      <c r="D48" s="6"/>
      <c r="E48" s="7"/>
      <c r="F48" s="6"/>
      <c r="G48" s="6"/>
      <c r="H48" s="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5"/>
      <c r="B49" s="5"/>
      <c r="C49" s="5"/>
      <c r="D49" s="6"/>
      <c r="E49" s="7"/>
      <c r="F49" s="6"/>
      <c r="G49" s="6"/>
      <c r="H49" s="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5"/>
      <c r="B50" s="5"/>
      <c r="C50" s="5"/>
      <c r="D50" s="6"/>
      <c r="E50" s="7"/>
      <c r="F50" s="6"/>
      <c r="G50" s="6"/>
      <c r="H50" s="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5"/>
      <c r="B51" s="5"/>
      <c r="C51" s="5"/>
      <c r="D51" s="6"/>
      <c r="E51" s="7"/>
      <c r="F51" s="6"/>
      <c r="G51" s="6"/>
      <c r="H51" s="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5"/>
      <c r="B52" s="5"/>
      <c r="C52" s="5"/>
      <c r="D52" s="6"/>
      <c r="E52" s="7"/>
      <c r="F52" s="6"/>
      <c r="G52" s="6"/>
      <c r="H52" s="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5"/>
      <c r="B53" s="5"/>
      <c r="C53" s="5"/>
      <c r="D53" s="6"/>
      <c r="E53" s="7"/>
      <c r="F53" s="6"/>
      <c r="G53" s="6"/>
      <c r="H53" s="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5"/>
      <c r="B54" s="5"/>
      <c r="C54" s="5"/>
      <c r="D54" s="6"/>
      <c r="E54" s="7"/>
      <c r="F54" s="6"/>
      <c r="G54" s="6"/>
      <c r="H54" s="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5"/>
      <c r="B55" s="5"/>
      <c r="C55" s="5"/>
      <c r="D55" s="6"/>
      <c r="E55" s="7"/>
      <c r="F55" s="6"/>
      <c r="G55" s="6"/>
      <c r="H55" s="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5"/>
      <c r="B56" s="5"/>
      <c r="C56" s="5"/>
      <c r="D56" s="6"/>
      <c r="E56" s="7"/>
      <c r="F56" s="6"/>
      <c r="G56" s="6"/>
      <c r="H56" s="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5"/>
      <c r="B57" s="5"/>
      <c r="C57" s="5"/>
      <c r="D57" s="6"/>
      <c r="E57" s="7"/>
      <c r="F57" s="6"/>
      <c r="G57" s="6"/>
      <c r="H57" s="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5"/>
      <c r="B58" s="5"/>
      <c r="C58" s="5"/>
      <c r="D58" s="6"/>
      <c r="E58" s="7"/>
      <c r="F58" s="6"/>
      <c r="G58" s="6"/>
      <c r="H58" s="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5"/>
      <c r="B59" s="5"/>
      <c r="C59" s="5"/>
      <c r="D59" s="6"/>
      <c r="E59" s="7"/>
      <c r="F59" s="6"/>
      <c r="G59" s="6"/>
      <c r="H59" s="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5"/>
      <c r="B60" s="5"/>
      <c r="C60" s="5"/>
      <c r="D60" s="6"/>
      <c r="E60" s="7"/>
      <c r="F60" s="6"/>
      <c r="G60" s="6"/>
      <c r="H60" s="6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5"/>
      <c r="B61" s="5"/>
      <c r="C61" s="5"/>
      <c r="D61" s="6"/>
      <c r="E61" s="7"/>
      <c r="F61" s="6"/>
      <c r="G61" s="6"/>
      <c r="H61" s="6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5"/>
      <c r="B62" s="5"/>
      <c r="C62" s="5"/>
      <c r="D62" s="6"/>
      <c r="E62" s="7"/>
      <c r="F62" s="6"/>
      <c r="G62" s="6"/>
      <c r="H62" s="6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5"/>
      <c r="B63" s="5"/>
      <c r="C63" s="5"/>
      <c r="D63" s="6"/>
      <c r="E63" s="7"/>
      <c r="F63" s="6"/>
      <c r="G63" s="6"/>
      <c r="H63" s="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5"/>
      <c r="B64" s="5"/>
      <c r="C64" s="5"/>
      <c r="D64" s="6"/>
      <c r="E64" s="7"/>
      <c r="F64" s="6"/>
      <c r="G64" s="6"/>
      <c r="H64" s="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5"/>
      <c r="B65" s="5"/>
      <c r="C65" s="5"/>
      <c r="D65" s="6"/>
      <c r="E65" s="7"/>
      <c r="F65" s="6"/>
      <c r="G65" s="6"/>
      <c r="H65" s="6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5"/>
      <c r="B66" s="5"/>
      <c r="C66" s="5"/>
      <c r="D66" s="6"/>
      <c r="E66" s="7"/>
      <c r="F66" s="6"/>
      <c r="G66" s="6"/>
      <c r="H66" s="6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5"/>
      <c r="B67" s="5"/>
      <c r="C67" s="5"/>
      <c r="D67" s="6"/>
      <c r="E67" s="7"/>
      <c r="F67" s="6"/>
      <c r="G67" s="6"/>
      <c r="H67" s="6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5"/>
      <c r="B68" s="5"/>
      <c r="C68" s="5"/>
      <c r="D68" s="6"/>
      <c r="E68" s="7"/>
      <c r="F68" s="6"/>
      <c r="G68" s="6"/>
      <c r="H68" s="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5"/>
      <c r="B69" s="5"/>
      <c r="C69" s="5"/>
      <c r="D69" s="6"/>
      <c r="E69" s="7"/>
      <c r="F69" s="6"/>
      <c r="G69" s="6"/>
      <c r="H69" s="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5"/>
      <c r="B70" s="5"/>
      <c r="C70" s="5"/>
      <c r="D70" s="6"/>
      <c r="E70" s="7"/>
      <c r="F70" s="6"/>
      <c r="G70" s="6"/>
      <c r="H70" s="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5"/>
      <c r="B71" s="5"/>
      <c r="C71" s="5"/>
      <c r="D71" s="6"/>
      <c r="E71" s="7"/>
      <c r="F71" s="6"/>
      <c r="G71" s="6"/>
      <c r="H71" s="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5"/>
      <c r="B72" s="5"/>
      <c r="C72" s="5"/>
      <c r="D72" s="6"/>
      <c r="E72" s="7"/>
      <c r="F72" s="6"/>
      <c r="G72" s="6"/>
      <c r="H72" s="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5"/>
      <c r="B73" s="5"/>
      <c r="C73" s="5"/>
      <c r="D73" s="6"/>
      <c r="E73" s="7"/>
      <c r="F73" s="6"/>
      <c r="G73" s="6"/>
      <c r="H73" s="6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5"/>
      <c r="B74" s="5"/>
      <c r="C74" s="5"/>
      <c r="D74" s="6"/>
      <c r="E74" s="7"/>
      <c r="F74" s="6"/>
      <c r="G74" s="6"/>
      <c r="H74" s="6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5"/>
      <c r="B75" s="5"/>
      <c r="C75" s="5"/>
      <c r="D75" s="6"/>
      <c r="E75" s="7"/>
      <c r="F75" s="6"/>
      <c r="G75" s="6"/>
      <c r="H75" s="6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5"/>
      <c r="B76" s="5"/>
      <c r="C76" s="5"/>
      <c r="D76" s="6"/>
      <c r="E76" s="7"/>
      <c r="F76" s="6"/>
      <c r="G76" s="6"/>
      <c r="H76" s="6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5"/>
      <c r="B77" s="5"/>
      <c r="C77" s="5"/>
      <c r="D77" s="6"/>
      <c r="E77" s="7"/>
      <c r="F77" s="6"/>
      <c r="G77" s="6"/>
      <c r="H77" s="6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5"/>
      <c r="B78" s="5"/>
      <c r="C78" s="5"/>
      <c r="D78" s="6"/>
      <c r="E78" s="7"/>
      <c r="F78" s="6"/>
      <c r="G78" s="6"/>
      <c r="H78" s="6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5"/>
      <c r="B79" s="5"/>
      <c r="C79" s="5"/>
      <c r="D79" s="6"/>
      <c r="E79" s="7"/>
      <c r="F79" s="6"/>
      <c r="G79" s="6"/>
      <c r="H79" s="6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5"/>
      <c r="B80" s="5"/>
      <c r="C80" s="5"/>
      <c r="D80" s="6"/>
      <c r="E80" s="7"/>
      <c r="F80" s="6"/>
      <c r="G80" s="6"/>
      <c r="H80" s="6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5"/>
      <c r="B81" s="5"/>
      <c r="C81" s="5"/>
      <c r="D81" s="6"/>
      <c r="E81" s="7"/>
      <c r="F81" s="6"/>
      <c r="G81" s="6"/>
      <c r="H81" s="6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5"/>
      <c r="B82" s="5"/>
      <c r="C82" s="5"/>
      <c r="D82" s="6"/>
      <c r="E82" s="7"/>
      <c r="F82" s="6"/>
      <c r="G82" s="6"/>
      <c r="H82" s="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5"/>
      <c r="B83" s="5"/>
      <c r="C83" s="5"/>
      <c r="D83" s="6"/>
      <c r="E83" s="7"/>
      <c r="F83" s="6"/>
      <c r="G83" s="6"/>
      <c r="H83" s="6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5"/>
      <c r="B84" s="5"/>
      <c r="C84" s="5"/>
      <c r="D84" s="6"/>
      <c r="E84" s="7"/>
      <c r="F84" s="6"/>
      <c r="G84" s="6"/>
      <c r="H84" s="6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5"/>
      <c r="B85" s="5"/>
      <c r="C85" s="5"/>
      <c r="D85" s="6"/>
      <c r="E85" s="7"/>
      <c r="F85" s="6"/>
      <c r="G85" s="6"/>
      <c r="H85" s="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5"/>
      <c r="B86" s="5"/>
      <c r="C86" s="5"/>
      <c r="D86" s="6"/>
      <c r="E86" s="7"/>
      <c r="F86" s="6"/>
      <c r="G86" s="6"/>
      <c r="H86" s="6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5"/>
      <c r="B87" s="5"/>
      <c r="C87" s="5"/>
      <c r="D87" s="6"/>
      <c r="E87" s="7"/>
      <c r="F87" s="6"/>
      <c r="G87" s="6"/>
      <c r="H87" s="6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5"/>
      <c r="B88" s="5"/>
      <c r="C88" s="5"/>
      <c r="D88" s="6"/>
      <c r="E88" s="7"/>
      <c r="F88" s="6"/>
      <c r="G88" s="6"/>
      <c r="H88" s="6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5"/>
      <c r="B89" s="5"/>
      <c r="C89" s="5"/>
      <c r="D89" s="6"/>
      <c r="E89" s="7"/>
      <c r="F89" s="6"/>
      <c r="G89" s="6"/>
      <c r="H89" s="6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5"/>
      <c r="B90" s="5"/>
      <c r="C90" s="5"/>
      <c r="D90" s="6"/>
      <c r="E90" s="7"/>
      <c r="F90" s="6"/>
      <c r="G90" s="6"/>
      <c r="H90" s="6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5"/>
      <c r="B91" s="5"/>
      <c r="C91" s="5"/>
      <c r="D91" s="6"/>
      <c r="E91" s="7"/>
      <c r="F91" s="6"/>
      <c r="G91" s="6"/>
      <c r="H91" s="6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5"/>
      <c r="B92" s="5"/>
      <c r="C92" s="5"/>
      <c r="D92" s="6"/>
      <c r="E92" s="7"/>
      <c r="F92" s="6"/>
      <c r="G92" s="6"/>
      <c r="H92" s="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5"/>
      <c r="B93" s="5"/>
      <c r="C93" s="5"/>
      <c r="D93" s="6"/>
      <c r="E93" s="7"/>
      <c r="F93" s="6"/>
      <c r="G93" s="6"/>
      <c r="H93" s="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5"/>
      <c r="B94" s="5"/>
      <c r="C94" s="5"/>
      <c r="D94" s="6"/>
      <c r="E94" s="7"/>
      <c r="F94" s="6"/>
      <c r="G94" s="6"/>
      <c r="H94" s="6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5"/>
      <c r="B95" s="5"/>
      <c r="C95" s="5"/>
      <c r="D95" s="6"/>
      <c r="E95" s="7"/>
      <c r="F95" s="6"/>
      <c r="G95" s="6"/>
      <c r="H95" s="6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5"/>
      <c r="B96" s="5"/>
      <c r="C96" s="5"/>
      <c r="D96" s="6"/>
      <c r="E96" s="7"/>
      <c r="F96" s="6"/>
      <c r="G96" s="6"/>
      <c r="H96" s="6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5"/>
      <c r="B97" s="5"/>
      <c r="C97" s="5"/>
      <c r="D97" s="6"/>
      <c r="E97" s="7"/>
      <c r="F97" s="6"/>
      <c r="G97" s="6"/>
      <c r="H97" s="6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5"/>
      <c r="B98" s="5"/>
      <c r="C98" s="5"/>
      <c r="D98" s="6"/>
      <c r="E98" s="7"/>
      <c r="F98" s="6"/>
      <c r="G98" s="6"/>
      <c r="H98" s="6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5"/>
      <c r="B99" s="5"/>
      <c r="C99" s="5"/>
      <c r="D99" s="6"/>
      <c r="E99" s="7"/>
      <c r="F99" s="6"/>
      <c r="G99" s="6"/>
      <c r="H99" s="6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5"/>
      <c r="B100" s="5"/>
      <c r="C100" s="5"/>
      <c r="D100" s="6"/>
      <c r="E100" s="7"/>
      <c r="F100" s="6"/>
      <c r="G100" s="6"/>
      <c r="H100" s="6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5"/>
      <c r="B101" s="5"/>
      <c r="C101" s="5"/>
      <c r="D101" s="6"/>
      <c r="E101" s="7"/>
      <c r="F101" s="6"/>
      <c r="G101" s="6"/>
      <c r="H101" s="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5"/>
      <c r="B102" s="5"/>
      <c r="C102" s="5"/>
      <c r="D102" s="6"/>
      <c r="E102" s="7"/>
      <c r="F102" s="6"/>
      <c r="G102" s="6"/>
      <c r="H102" s="6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5"/>
      <c r="B103" s="5"/>
      <c r="C103" s="5"/>
      <c r="D103" s="6"/>
      <c r="E103" s="7"/>
      <c r="F103" s="6"/>
      <c r="G103" s="6"/>
      <c r="H103" s="6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5"/>
      <c r="B104" s="5"/>
      <c r="C104" s="5"/>
      <c r="D104" s="6"/>
      <c r="E104" s="7"/>
      <c r="F104" s="6"/>
      <c r="G104" s="6"/>
      <c r="H104" s="6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5"/>
      <c r="B105" s="5"/>
      <c r="C105" s="5"/>
      <c r="D105" s="6"/>
      <c r="E105" s="7"/>
      <c r="F105" s="6"/>
      <c r="G105" s="6"/>
      <c r="H105" s="6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5"/>
      <c r="B106" s="5"/>
      <c r="C106" s="5"/>
      <c r="D106" s="6"/>
      <c r="E106" s="7"/>
      <c r="F106" s="6"/>
      <c r="G106" s="6"/>
      <c r="H106" s="6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5"/>
      <c r="B107" s="5"/>
      <c r="C107" s="5"/>
      <c r="D107" s="6"/>
      <c r="E107" s="7"/>
      <c r="F107" s="6"/>
      <c r="G107" s="6"/>
      <c r="H107" s="6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5"/>
      <c r="B108" s="5"/>
      <c r="C108" s="5"/>
      <c r="D108" s="6"/>
      <c r="E108" s="7"/>
      <c r="F108" s="6"/>
      <c r="G108" s="6"/>
      <c r="H108" s="6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5"/>
      <c r="B109" s="5"/>
      <c r="C109" s="5"/>
      <c r="D109" s="6"/>
      <c r="E109" s="7"/>
      <c r="F109" s="6"/>
      <c r="G109" s="6"/>
      <c r="H109" s="6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5"/>
      <c r="B110" s="5"/>
      <c r="C110" s="5"/>
      <c r="D110" s="6"/>
      <c r="E110" s="7"/>
      <c r="F110" s="6"/>
      <c r="G110" s="6"/>
      <c r="H110" s="6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5"/>
      <c r="B111" s="5"/>
      <c r="C111" s="5"/>
      <c r="D111" s="6"/>
      <c r="E111" s="7"/>
      <c r="F111" s="6"/>
      <c r="G111" s="6"/>
      <c r="H111" s="6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5"/>
      <c r="B112" s="5"/>
      <c r="C112" s="5"/>
      <c r="D112" s="6"/>
      <c r="E112" s="7"/>
      <c r="F112" s="6"/>
      <c r="G112" s="6"/>
      <c r="H112" s="6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5"/>
      <c r="B113" s="5"/>
      <c r="C113" s="5"/>
      <c r="D113" s="6"/>
      <c r="E113" s="7"/>
      <c r="F113" s="6"/>
      <c r="G113" s="6"/>
      <c r="H113" s="6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5"/>
      <c r="B114" s="5"/>
      <c r="C114" s="5"/>
      <c r="D114" s="6"/>
      <c r="E114" s="7"/>
      <c r="F114" s="6"/>
      <c r="G114" s="6"/>
      <c r="H114" s="6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5"/>
      <c r="B115" s="5"/>
      <c r="C115" s="5"/>
      <c r="D115" s="6"/>
      <c r="E115" s="7"/>
      <c r="F115" s="6"/>
      <c r="G115" s="6"/>
      <c r="H115" s="6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5"/>
      <c r="B116" s="5"/>
      <c r="C116" s="5"/>
      <c r="D116" s="6"/>
      <c r="E116" s="7"/>
      <c r="F116" s="6"/>
      <c r="G116" s="6"/>
      <c r="H116" s="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5"/>
      <c r="B117" s="5"/>
      <c r="C117" s="5"/>
      <c r="D117" s="6"/>
      <c r="E117" s="7"/>
      <c r="F117" s="6"/>
      <c r="G117" s="6"/>
      <c r="H117" s="6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5"/>
      <c r="B118" s="5"/>
      <c r="C118" s="5"/>
      <c r="D118" s="6"/>
      <c r="E118" s="7"/>
      <c r="F118" s="6"/>
      <c r="G118" s="6"/>
      <c r="H118" s="6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5"/>
      <c r="B119" s="5"/>
      <c r="C119" s="5"/>
      <c r="D119" s="6"/>
      <c r="E119" s="7"/>
      <c r="F119" s="6"/>
      <c r="G119" s="6"/>
      <c r="H119" s="6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5"/>
      <c r="B120" s="5"/>
      <c r="C120" s="5"/>
      <c r="D120" s="6"/>
      <c r="E120" s="7"/>
      <c r="F120" s="6"/>
      <c r="G120" s="6"/>
      <c r="H120" s="6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5"/>
      <c r="B121" s="5"/>
      <c r="C121" s="5"/>
      <c r="D121" s="6"/>
      <c r="E121" s="7"/>
      <c r="F121" s="6"/>
      <c r="G121" s="6"/>
      <c r="H121" s="6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5"/>
      <c r="B122" s="5"/>
      <c r="C122" s="5"/>
      <c r="D122" s="6"/>
      <c r="E122" s="7"/>
      <c r="F122" s="6"/>
      <c r="G122" s="6"/>
      <c r="H122" s="6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5"/>
      <c r="B123" s="5"/>
      <c r="C123" s="5"/>
      <c r="D123" s="6"/>
      <c r="E123" s="7"/>
      <c r="F123" s="6"/>
      <c r="G123" s="6"/>
      <c r="H123" s="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5"/>
      <c r="B124" s="5"/>
      <c r="C124" s="5"/>
      <c r="D124" s="6"/>
      <c r="E124" s="7"/>
      <c r="F124" s="6"/>
      <c r="G124" s="6"/>
      <c r="H124" s="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5"/>
      <c r="B125" s="5"/>
      <c r="C125" s="5"/>
      <c r="D125" s="6"/>
      <c r="E125" s="7"/>
      <c r="F125" s="6"/>
      <c r="G125" s="6"/>
      <c r="H125" s="6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5"/>
      <c r="B126" s="5"/>
      <c r="C126" s="5"/>
      <c r="D126" s="6"/>
      <c r="E126" s="7"/>
      <c r="F126" s="6"/>
      <c r="G126" s="6"/>
      <c r="H126" s="6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5"/>
      <c r="B127" s="5"/>
      <c r="C127" s="5"/>
      <c r="D127" s="6"/>
      <c r="E127" s="7"/>
      <c r="F127" s="6"/>
      <c r="G127" s="6"/>
      <c r="H127" s="6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5"/>
      <c r="B128" s="5"/>
      <c r="C128" s="5"/>
      <c r="D128" s="6"/>
      <c r="E128" s="7"/>
      <c r="F128" s="6"/>
      <c r="G128" s="6"/>
      <c r="H128" s="6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5"/>
      <c r="B129" s="5"/>
      <c r="C129" s="5"/>
      <c r="D129" s="6"/>
      <c r="E129" s="7"/>
      <c r="F129" s="6"/>
      <c r="G129" s="6"/>
      <c r="H129" s="6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5"/>
      <c r="B130" s="5"/>
      <c r="C130" s="5"/>
      <c r="D130" s="6"/>
      <c r="E130" s="7"/>
      <c r="F130" s="6"/>
      <c r="G130" s="6"/>
      <c r="H130" s="6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5"/>
      <c r="B131" s="5"/>
      <c r="C131" s="5"/>
      <c r="D131" s="6"/>
      <c r="E131" s="7"/>
      <c r="F131" s="6"/>
      <c r="G131" s="6"/>
      <c r="H131" s="6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5"/>
      <c r="B132" s="5"/>
      <c r="C132" s="5"/>
      <c r="D132" s="6"/>
      <c r="E132" s="7"/>
      <c r="F132" s="6"/>
      <c r="G132" s="6"/>
      <c r="H132" s="6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5"/>
      <c r="B133" s="5"/>
      <c r="C133" s="5"/>
      <c r="D133" s="6"/>
      <c r="E133" s="7"/>
      <c r="F133" s="6"/>
      <c r="G133" s="6"/>
      <c r="H133" s="6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5"/>
      <c r="B134" s="5"/>
      <c r="C134" s="5"/>
      <c r="D134" s="6"/>
      <c r="E134" s="7"/>
      <c r="F134" s="6"/>
      <c r="G134" s="6"/>
      <c r="H134" s="6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5"/>
      <c r="B135" s="5"/>
      <c r="C135" s="5"/>
      <c r="D135" s="6"/>
      <c r="E135" s="7"/>
      <c r="F135" s="6"/>
      <c r="G135" s="6"/>
      <c r="H135" s="6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5"/>
      <c r="B136" s="5"/>
      <c r="C136" s="5"/>
      <c r="D136" s="6"/>
      <c r="E136" s="7"/>
      <c r="F136" s="6"/>
      <c r="G136" s="6"/>
      <c r="H136" s="6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5"/>
      <c r="B137" s="5"/>
      <c r="C137" s="5"/>
      <c r="D137" s="6"/>
      <c r="E137" s="7"/>
      <c r="F137" s="6"/>
      <c r="G137" s="6"/>
      <c r="H137" s="6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5"/>
      <c r="B138" s="5"/>
      <c r="C138" s="5"/>
      <c r="D138" s="6"/>
      <c r="E138" s="7"/>
      <c r="F138" s="6"/>
      <c r="G138" s="6"/>
      <c r="H138" s="6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5"/>
      <c r="B139" s="5"/>
      <c r="C139" s="5"/>
      <c r="D139" s="6"/>
      <c r="E139" s="7"/>
      <c r="F139" s="6"/>
      <c r="G139" s="6"/>
      <c r="H139" s="6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5"/>
      <c r="B140" s="5"/>
      <c r="C140" s="5"/>
      <c r="D140" s="6"/>
      <c r="E140" s="7"/>
      <c r="F140" s="6"/>
      <c r="G140" s="6"/>
      <c r="H140" s="6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5"/>
      <c r="B141" s="5"/>
      <c r="C141" s="5"/>
      <c r="D141" s="6"/>
      <c r="E141" s="7"/>
      <c r="F141" s="6"/>
      <c r="G141" s="6"/>
      <c r="H141" s="6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5"/>
      <c r="B142" s="5"/>
      <c r="C142" s="5"/>
      <c r="D142" s="6"/>
      <c r="E142" s="7"/>
      <c r="F142" s="6"/>
      <c r="G142" s="6"/>
      <c r="H142" s="6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5"/>
      <c r="B143" s="5"/>
      <c r="C143" s="5"/>
      <c r="D143" s="6"/>
      <c r="E143" s="7"/>
      <c r="F143" s="6"/>
      <c r="G143" s="6"/>
      <c r="H143" s="6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5"/>
      <c r="B144" s="5"/>
      <c r="C144" s="5"/>
      <c r="D144" s="6"/>
      <c r="E144" s="7"/>
      <c r="F144" s="6"/>
      <c r="G144" s="6"/>
      <c r="H144" s="6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5"/>
      <c r="B145" s="5"/>
      <c r="C145" s="5"/>
      <c r="D145" s="6"/>
      <c r="E145" s="7"/>
      <c r="F145" s="6"/>
      <c r="G145" s="6"/>
      <c r="H145" s="6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5"/>
      <c r="B146" s="5"/>
      <c r="C146" s="5"/>
      <c r="D146" s="6"/>
      <c r="E146" s="7"/>
      <c r="F146" s="6"/>
      <c r="G146" s="6"/>
      <c r="H146" s="6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5"/>
      <c r="B147" s="5"/>
      <c r="C147" s="5"/>
      <c r="D147" s="6"/>
      <c r="E147" s="7"/>
      <c r="F147" s="6"/>
      <c r="G147" s="6"/>
      <c r="H147" s="6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5"/>
      <c r="B148" s="5"/>
      <c r="C148" s="5"/>
      <c r="D148" s="6"/>
      <c r="E148" s="7"/>
      <c r="F148" s="6"/>
      <c r="G148" s="6"/>
      <c r="H148" s="6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5"/>
      <c r="B149" s="5"/>
      <c r="C149" s="5"/>
      <c r="D149" s="6"/>
      <c r="E149" s="7"/>
      <c r="F149" s="6"/>
      <c r="G149" s="6"/>
      <c r="H149" s="6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5"/>
      <c r="B150" s="5"/>
      <c r="C150" s="5"/>
      <c r="D150" s="6"/>
      <c r="E150" s="7"/>
      <c r="F150" s="6"/>
      <c r="G150" s="6"/>
      <c r="H150" s="6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5"/>
      <c r="B151" s="5"/>
      <c r="C151" s="5"/>
      <c r="D151" s="6"/>
      <c r="E151" s="7"/>
      <c r="F151" s="6"/>
      <c r="G151" s="6"/>
      <c r="H151" s="6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5"/>
      <c r="B152" s="5"/>
      <c r="C152" s="5"/>
      <c r="D152" s="6"/>
      <c r="E152" s="7"/>
      <c r="F152" s="6"/>
      <c r="G152" s="6"/>
      <c r="H152" s="6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5"/>
      <c r="B153" s="5"/>
      <c r="C153" s="5"/>
      <c r="D153" s="6"/>
      <c r="E153" s="7"/>
      <c r="F153" s="6"/>
      <c r="G153" s="6"/>
      <c r="H153" s="6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5"/>
      <c r="B154" s="5"/>
      <c r="C154" s="5"/>
      <c r="D154" s="6"/>
      <c r="E154" s="7"/>
      <c r="F154" s="6"/>
      <c r="G154" s="6"/>
      <c r="H154" s="6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5"/>
      <c r="B155" s="5"/>
      <c r="C155" s="5"/>
      <c r="D155" s="6"/>
      <c r="E155" s="7"/>
      <c r="F155" s="6"/>
      <c r="G155" s="6"/>
      <c r="H155" s="6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5"/>
      <c r="B156" s="5"/>
      <c r="C156" s="5"/>
      <c r="D156" s="6"/>
      <c r="E156" s="7"/>
      <c r="F156" s="6"/>
      <c r="G156" s="6"/>
      <c r="H156" s="6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5"/>
      <c r="B157" s="5"/>
      <c r="C157" s="5"/>
      <c r="D157" s="6"/>
      <c r="E157" s="7"/>
      <c r="F157" s="6"/>
      <c r="G157" s="6"/>
      <c r="H157" s="6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5"/>
      <c r="B158" s="5"/>
      <c r="C158" s="5"/>
      <c r="D158" s="6"/>
      <c r="E158" s="7"/>
      <c r="F158" s="6"/>
      <c r="G158" s="6"/>
      <c r="H158" s="6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5"/>
      <c r="B159" s="5"/>
      <c r="C159" s="5"/>
      <c r="D159" s="6"/>
      <c r="E159" s="7"/>
      <c r="F159" s="6"/>
      <c r="G159" s="6"/>
      <c r="H159" s="6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5"/>
      <c r="B160" s="5"/>
      <c r="C160" s="5"/>
      <c r="D160" s="6"/>
      <c r="E160" s="7"/>
      <c r="F160" s="6"/>
      <c r="G160" s="6"/>
      <c r="H160" s="6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5"/>
      <c r="B161" s="5"/>
      <c r="C161" s="5"/>
      <c r="D161" s="6"/>
      <c r="E161" s="7"/>
      <c r="F161" s="6"/>
      <c r="G161" s="6"/>
      <c r="H161" s="6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5"/>
      <c r="B162" s="5"/>
      <c r="C162" s="5"/>
      <c r="D162" s="6"/>
      <c r="E162" s="7"/>
      <c r="F162" s="6"/>
      <c r="G162" s="6"/>
      <c r="H162" s="6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5"/>
      <c r="B163" s="5"/>
      <c r="C163" s="5"/>
      <c r="D163" s="6"/>
      <c r="E163" s="7"/>
      <c r="F163" s="6"/>
      <c r="G163" s="6"/>
      <c r="H163" s="6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5"/>
      <c r="B164" s="5"/>
      <c r="C164" s="5"/>
      <c r="D164" s="6"/>
      <c r="E164" s="7"/>
      <c r="F164" s="6"/>
      <c r="G164" s="6"/>
      <c r="H164" s="6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5"/>
      <c r="B165" s="5"/>
      <c r="C165" s="5"/>
      <c r="D165" s="6"/>
      <c r="E165" s="7"/>
      <c r="F165" s="6"/>
      <c r="G165" s="6"/>
      <c r="H165" s="6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5"/>
      <c r="B166" s="5"/>
      <c r="C166" s="5"/>
      <c r="D166" s="6"/>
      <c r="E166" s="7"/>
      <c r="F166" s="6"/>
      <c r="G166" s="6"/>
      <c r="H166" s="6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5"/>
      <c r="B167" s="5"/>
      <c r="C167" s="5"/>
      <c r="D167" s="6"/>
      <c r="E167" s="7"/>
      <c r="F167" s="6"/>
      <c r="G167" s="6"/>
      <c r="H167" s="6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5"/>
      <c r="B168" s="5"/>
      <c r="C168" s="5"/>
      <c r="D168" s="6"/>
      <c r="E168" s="7"/>
      <c r="F168" s="6"/>
      <c r="G168" s="6"/>
      <c r="H168" s="6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5"/>
      <c r="B169" s="5"/>
      <c r="C169" s="5"/>
      <c r="D169" s="6"/>
      <c r="E169" s="7"/>
      <c r="F169" s="6"/>
      <c r="G169" s="6"/>
      <c r="H169" s="6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5"/>
      <c r="B170" s="5"/>
      <c r="C170" s="5"/>
      <c r="D170" s="6"/>
      <c r="E170" s="7"/>
      <c r="F170" s="6"/>
      <c r="G170" s="6"/>
      <c r="H170" s="6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5"/>
      <c r="B171" s="5"/>
      <c r="C171" s="5"/>
      <c r="D171" s="6"/>
      <c r="E171" s="7"/>
      <c r="F171" s="6"/>
      <c r="G171" s="6"/>
      <c r="H171" s="6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5"/>
      <c r="B172" s="5"/>
      <c r="C172" s="5"/>
      <c r="D172" s="6"/>
      <c r="E172" s="7"/>
      <c r="F172" s="6"/>
      <c r="G172" s="6"/>
      <c r="H172" s="6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5"/>
      <c r="B173" s="5"/>
      <c r="C173" s="5"/>
      <c r="D173" s="6"/>
      <c r="E173" s="7"/>
      <c r="F173" s="6"/>
      <c r="G173" s="6"/>
      <c r="H173" s="6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5"/>
      <c r="B174" s="5"/>
      <c r="C174" s="5"/>
      <c r="D174" s="6"/>
      <c r="E174" s="7"/>
      <c r="F174" s="6"/>
      <c r="G174" s="6"/>
      <c r="H174" s="6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5"/>
      <c r="B175" s="5"/>
      <c r="C175" s="5"/>
      <c r="D175" s="6"/>
      <c r="E175" s="7"/>
      <c r="F175" s="6"/>
      <c r="G175" s="6"/>
      <c r="H175" s="6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5"/>
      <c r="B176" s="5"/>
      <c r="C176" s="5"/>
      <c r="D176" s="6"/>
      <c r="E176" s="7"/>
      <c r="F176" s="6"/>
      <c r="G176" s="6"/>
      <c r="H176" s="6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5"/>
      <c r="B177" s="5"/>
      <c r="C177" s="5"/>
      <c r="D177" s="6"/>
      <c r="E177" s="7"/>
      <c r="F177" s="6"/>
      <c r="G177" s="6"/>
      <c r="H177" s="6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5"/>
      <c r="B178" s="5"/>
      <c r="C178" s="5"/>
      <c r="D178" s="6"/>
      <c r="E178" s="7"/>
      <c r="F178" s="6"/>
      <c r="G178" s="6"/>
      <c r="H178" s="6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5"/>
      <c r="B179" s="5"/>
      <c r="C179" s="5"/>
      <c r="D179" s="6"/>
      <c r="E179" s="7"/>
      <c r="F179" s="6"/>
      <c r="G179" s="6"/>
      <c r="H179" s="6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5"/>
      <c r="B180" s="5"/>
      <c r="C180" s="5"/>
      <c r="D180" s="6"/>
      <c r="E180" s="7"/>
      <c r="F180" s="6"/>
      <c r="G180" s="6"/>
      <c r="H180" s="6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5"/>
      <c r="B181" s="5"/>
      <c r="C181" s="5"/>
      <c r="D181" s="6"/>
      <c r="E181" s="7"/>
      <c r="F181" s="6"/>
      <c r="G181" s="6"/>
      <c r="H181" s="6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5"/>
      <c r="B182" s="5"/>
      <c r="C182" s="5"/>
      <c r="D182" s="6"/>
      <c r="E182" s="7"/>
      <c r="F182" s="6"/>
      <c r="G182" s="6"/>
      <c r="H182" s="6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5"/>
      <c r="B183" s="5"/>
      <c r="C183" s="5"/>
      <c r="D183" s="6"/>
      <c r="E183" s="7"/>
      <c r="F183" s="6"/>
      <c r="G183" s="6"/>
      <c r="H183" s="6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5"/>
      <c r="B184" s="5"/>
      <c r="C184" s="5"/>
      <c r="D184" s="6"/>
      <c r="E184" s="7"/>
      <c r="F184" s="6"/>
      <c r="G184" s="6"/>
      <c r="H184" s="6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5"/>
      <c r="B185" s="5"/>
      <c r="C185" s="5"/>
      <c r="D185" s="6"/>
      <c r="E185" s="7"/>
      <c r="F185" s="6"/>
      <c r="G185" s="6"/>
      <c r="H185" s="6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5"/>
      <c r="B186" s="5"/>
      <c r="C186" s="5"/>
      <c r="D186" s="6"/>
      <c r="E186" s="7"/>
      <c r="F186" s="6"/>
      <c r="G186" s="6"/>
      <c r="H186" s="6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5"/>
      <c r="B187" s="5"/>
      <c r="C187" s="5"/>
      <c r="D187" s="6"/>
      <c r="E187" s="7"/>
      <c r="F187" s="6"/>
      <c r="G187" s="6"/>
      <c r="H187" s="6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5"/>
      <c r="B188" s="5"/>
      <c r="C188" s="5"/>
      <c r="D188" s="6"/>
      <c r="E188" s="7"/>
      <c r="F188" s="6"/>
      <c r="G188" s="6"/>
      <c r="H188" s="6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5"/>
      <c r="B189" s="5"/>
      <c r="C189" s="5"/>
      <c r="D189" s="6"/>
      <c r="E189" s="7"/>
      <c r="F189" s="6"/>
      <c r="G189" s="6"/>
      <c r="H189" s="6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5"/>
      <c r="B190" s="5"/>
      <c r="C190" s="5"/>
      <c r="D190" s="6"/>
      <c r="E190" s="7"/>
      <c r="F190" s="6"/>
      <c r="G190" s="6"/>
      <c r="H190" s="6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5"/>
      <c r="B191" s="5"/>
      <c r="C191" s="5"/>
      <c r="D191" s="6"/>
      <c r="E191" s="7"/>
      <c r="F191" s="6"/>
      <c r="G191" s="6"/>
      <c r="H191" s="6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5"/>
      <c r="B192" s="5"/>
      <c r="C192" s="5"/>
      <c r="D192" s="6"/>
      <c r="E192" s="7"/>
      <c r="F192" s="6"/>
      <c r="G192" s="6"/>
      <c r="H192" s="6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5"/>
      <c r="B193" s="5"/>
      <c r="C193" s="5"/>
      <c r="D193" s="6"/>
      <c r="E193" s="7"/>
      <c r="F193" s="6"/>
      <c r="G193" s="6"/>
      <c r="H193" s="6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5"/>
      <c r="B194" s="5"/>
      <c r="C194" s="5"/>
      <c r="D194" s="6"/>
      <c r="E194" s="7"/>
      <c r="F194" s="6"/>
      <c r="G194" s="6"/>
      <c r="H194" s="6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5"/>
      <c r="B195" s="5"/>
      <c r="C195" s="5"/>
      <c r="D195" s="6"/>
      <c r="E195" s="7"/>
      <c r="F195" s="6"/>
      <c r="G195" s="6"/>
      <c r="H195" s="6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5"/>
      <c r="B196" s="5"/>
      <c r="C196" s="5"/>
      <c r="D196" s="6"/>
      <c r="E196" s="7"/>
      <c r="F196" s="6"/>
      <c r="G196" s="6"/>
      <c r="H196" s="6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5"/>
      <c r="B197" s="5"/>
      <c r="C197" s="5"/>
      <c r="D197" s="6"/>
      <c r="E197" s="7"/>
      <c r="F197" s="6"/>
      <c r="G197" s="6"/>
      <c r="H197" s="6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5"/>
      <c r="B198" s="5"/>
      <c r="C198" s="5"/>
      <c r="D198" s="6"/>
      <c r="E198" s="7"/>
      <c r="F198" s="6"/>
      <c r="G198" s="6"/>
      <c r="H198" s="6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5"/>
      <c r="B199" s="5"/>
      <c r="C199" s="5"/>
      <c r="D199" s="6"/>
      <c r="E199" s="7"/>
      <c r="F199" s="6"/>
      <c r="G199" s="6"/>
      <c r="H199" s="6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5"/>
      <c r="B200" s="5"/>
      <c r="C200" s="5"/>
      <c r="D200" s="6"/>
      <c r="E200" s="7"/>
      <c r="F200" s="6"/>
      <c r="G200" s="6"/>
      <c r="H200" s="6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5"/>
      <c r="B201" s="5"/>
      <c r="C201" s="5"/>
      <c r="D201" s="6"/>
      <c r="E201" s="7"/>
      <c r="F201" s="6"/>
      <c r="G201" s="6"/>
      <c r="H201" s="6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5"/>
      <c r="B202" s="5"/>
      <c r="C202" s="5"/>
      <c r="D202" s="6"/>
      <c r="E202" s="7"/>
      <c r="F202" s="6"/>
      <c r="G202" s="6"/>
      <c r="H202" s="6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5"/>
      <c r="B203" s="5"/>
      <c r="C203" s="5"/>
      <c r="D203" s="6"/>
      <c r="E203" s="7"/>
      <c r="F203" s="6"/>
      <c r="G203" s="6"/>
      <c r="H203" s="6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5"/>
      <c r="B204" s="5"/>
      <c r="C204" s="5"/>
      <c r="D204" s="6"/>
      <c r="E204" s="7"/>
      <c r="F204" s="6"/>
      <c r="G204" s="6"/>
      <c r="H204" s="6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5"/>
      <c r="B205" s="5"/>
      <c r="C205" s="5"/>
      <c r="D205" s="6"/>
      <c r="E205" s="7"/>
      <c r="F205" s="6"/>
      <c r="G205" s="6"/>
      <c r="H205" s="6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5"/>
      <c r="B206" s="5"/>
      <c r="C206" s="5"/>
      <c r="D206" s="6"/>
      <c r="E206" s="7"/>
      <c r="F206" s="6"/>
      <c r="G206" s="6"/>
      <c r="H206" s="6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5"/>
      <c r="B207" s="5"/>
      <c r="C207" s="5"/>
      <c r="D207" s="6"/>
      <c r="E207" s="7"/>
      <c r="F207" s="6"/>
      <c r="G207" s="6"/>
      <c r="H207" s="6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5"/>
      <c r="B208" s="5"/>
      <c r="C208" s="5"/>
      <c r="D208" s="6"/>
      <c r="E208" s="7"/>
      <c r="F208" s="6"/>
      <c r="G208" s="6"/>
      <c r="H208" s="6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5"/>
      <c r="B209" s="5"/>
      <c r="C209" s="5"/>
      <c r="D209" s="6"/>
      <c r="E209" s="7"/>
      <c r="F209" s="6"/>
      <c r="G209" s="6"/>
      <c r="H209" s="6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5"/>
      <c r="B210" s="5"/>
      <c r="C210" s="5"/>
      <c r="D210" s="6"/>
      <c r="E210" s="7"/>
      <c r="F210" s="6"/>
      <c r="G210" s="6"/>
      <c r="H210" s="6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5"/>
      <c r="B211" s="5"/>
      <c r="C211" s="5"/>
      <c r="D211" s="6"/>
      <c r="E211" s="7"/>
      <c r="F211" s="6"/>
      <c r="G211" s="6"/>
      <c r="H211" s="6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5"/>
      <c r="B212" s="5"/>
      <c r="C212" s="5"/>
      <c r="D212" s="6"/>
      <c r="E212" s="7"/>
      <c r="F212" s="6"/>
      <c r="G212" s="6"/>
      <c r="H212" s="6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5"/>
      <c r="B213" s="5"/>
      <c r="C213" s="5"/>
      <c r="D213" s="6"/>
      <c r="E213" s="7"/>
      <c r="F213" s="6"/>
      <c r="G213" s="6"/>
      <c r="H213" s="6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5"/>
      <c r="B214" s="5"/>
      <c r="C214" s="5"/>
      <c r="D214" s="6"/>
      <c r="E214" s="7"/>
      <c r="F214" s="6"/>
      <c r="G214" s="6"/>
      <c r="H214" s="6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5"/>
      <c r="B215" s="5"/>
      <c r="C215" s="5"/>
      <c r="D215" s="6"/>
      <c r="E215" s="7"/>
      <c r="F215" s="6"/>
      <c r="G215" s="6"/>
      <c r="H215" s="6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5"/>
      <c r="B216" s="5"/>
      <c r="C216" s="5"/>
      <c r="D216" s="6"/>
      <c r="E216" s="7"/>
      <c r="F216" s="6"/>
      <c r="G216" s="6"/>
      <c r="H216" s="6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5"/>
      <c r="B217" s="5"/>
      <c r="C217" s="5"/>
      <c r="D217" s="6"/>
      <c r="E217" s="7"/>
      <c r="F217" s="6"/>
      <c r="G217" s="6"/>
      <c r="H217" s="6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5"/>
      <c r="B218" s="5"/>
      <c r="C218" s="5"/>
      <c r="D218" s="6"/>
      <c r="E218" s="7"/>
      <c r="F218" s="6"/>
      <c r="G218" s="6"/>
      <c r="H218" s="6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5"/>
      <c r="B219" s="5"/>
      <c r="C219" s="5"/>
      <c r="D219" s="6"/>
      <c r="E219" s="7"/>
      <c r="F219" s="6"/>
      <c r="G219" s="6"/>
      <c r="H219" s="6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5"/>
      <c r="B220" s="5"/>
      <c r="C220" s="5"/>
      <c r="D220" s="6"/>
      <c r="E220" s="7"/>
      <c r="F220" s="6"/>
      <c r="G220" s="6"/>
      <c r="H220" s="6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5"/>
      <c r="B221" s="5"/>
      <c r="C221" s="5"/>
      <c r="D221" s="6"/>
      <c r="E221" s="7"/>
      <c r="F221" s="6"/>
      <c r="G221" s="6"/>
      <c r="H221" s="6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5"/>
      <c r="B222" s="5"/>
      <c r="C222" s="5"/>
      <c r="D222" s="6"/>
      <c r="E222" s="7"/>
      <c r="F222" s="6"/>
      <c r="G222" s="6"/>
      <c r="H222" s="6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5"/>
      <c r="B223" s="5"/>
      <c r="C223" s="5"/>
      <c r="D223" s="6"/>
      <c r="E223" s="7"/>
      <c r="F223" s="6"/>
      <c r="G223" s="6"/>
      <c r="H223" s="6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5"/>
      <c r="B224" s="5"/>
      <c r="C224" s="5"/>
      <c r="D224" s="6"/>
      <c r="E224" s="7"/>
      <c r="F224" s="6"/>
      <c r="G224" s="6"/>
      <c r="H224" s="6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5"/>
      <c r="B225" s="5"/>
      <c r="C225" s="5"/>
      <c r="D225" s="6"/>
      <c r="E225" s="7"/>
      <c r="F225" s="6"/>
      <c r="G225" s="6"/>
      <c r="H225" s="6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5"/>
      <c r="B226" s="5"/>
      <c r="C226" s="5"/>
      <c r="D226" s="6"/>
      <c r="E226" s="7"/>
      <c r="F226" s="6"/>
      <c r="G226" s="6"/>
      <c r="H226" s="6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5"/>
      <c r="B227" s="5"/>
      <c r="C227" s="5"/>
      <c r="D227" s="6"/>
      <c r="E227" s="7"/>
      <c r="F227" s="6"/>
      <c r="G227" s="6"/>
      <c r="H227" s="6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5"/>
      <c r="B228" s="5"/>
      <c r="C228" s="5"/>
      <c r="D228" s="6"/>
      <c r="E228" s="7"/>
      <c r="F228" s="6"/>
      <c r="G228" s="6"/>
      <c r="H228" s="6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5"/>
      <c r="B229" s="5"/>
      <c r="C229" s="5"/>
      <c r="D229" s="6"/>
      <c r="E229" s="7"/>
      <c r="F229" s="6"/>
      <c r="G229" s="6"/>
      <c r="H229" s="6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5"/>
      <c r="B230" s="5"/>
      <c r="C230" s="5"/>
      <c r="D230" s="6"/>
      <c r="E230" s="7"/>
      <c r="F230" s="6"/>
      <c r="G230" s="6"/>
      <c r="H230" s="6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5"/>
      <c r="B231" s="5"/>
      <c r="C231" s="5"/>
      <c r="D231" s="6"/>
      <c r="E231" s="7"/>
      <c r="F231" s="6"/>
      <c r="G231" s="6"/>
      <c r="H231" s="6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5"/>
      <c r="B232" s="5"/>
      <c r="C232" s="5"/>
      <c r="D232" s="6"/>
      <c r="E232" s="7"/>
      <c r="F232" s="6"/>
      <c r="G232" s="6"/>
      <c r="H232" s="6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5"/>
      <c r="B233" s="5"/>
      <c r="C233" s="5"/>
      <c r="D233" s="6"/>
      <c r="E233" s="7"/>
      <c r="F233" s="6"/>
      <c r="G233" s="6"/>
      <c r="H233" s="6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5"/>
      <c r="B234" s="5"/>
      <c r="C234" s="5"/>
      <c r="D234" s="6"/>
      <c r="E234" s="7"/>
      <c r="F234" s="6"/>
      <c r="G234" s="6"/>
      <c r="H234" s="6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5"/>
      <c r="B235" s="5"/>
      <c r="C235" s="5"/>
      <c r="D235" s="6"/>
      <c r="E235" s="7"/>
      <c r="F235" s="6"/>
      <c r="G235" s="6"/>
      <c r="H235" s="6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5"/>
      <c r="B236" s="5"/>
      <c r="C236" s="5"/>
      <c r="D236" s="6"/>
      <c r="E236" s="7"/>
      <c r="F236" s="6"/>
      <c r="G236" s="6"/>
      <c r="H236" s="6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5"/>
      <c r="B237" s="5"/>
      <c r="C237" s="5"/>
      <c r="D237" s="6"/>
      <c r="E237" s="7"/>
      <c r="F237" s="6"/>
      <c r="G237" s="6"/>
      <c r="H237" s="6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5"/>
      <c r="B238" s="5"/>
      <c r="C238" s="5"/>
      <c r="D238" s="6"/>
      <c r="E238" s="7"/>
      <c r="F238" s="6"/>
      <c r="G238" s="6"/>
      <c r="H238" s="6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4:D4"/>
    <mergeCell ref="E4:H4"/>
    <mergeCell ref="A5:D5"/>
    <mergeCell ref="E5:H5"/>
    <mergeCell ref="A6:D6"/>
    <mergeCell ref="A7:D7"/>
    <mergeCell ref="E7:H7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6.63"/>
    <col customWidth="1" min="3" max="3" width="12.13"/>
    <col customWidth="1" min="4" max="4" width="9.63"/>
    <col customWidth="1" min="5" max="5" width="9.88"/>
    <col customWidth="1" min="6" max="8" width="5.13"/>
    <col customWidth="1" min="9" max="9" width="21.0"/>
    <col customWidth="1" min="10" max="26" width="10.0"/>
  </cols>
  <sheetData>
    <row r="1" ht="12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5.5" customHeight="1">
      <c r="A2" s="70" t="s">
        <v>43</v>
      </c>
      <c r="B2" s="72"/>
      <c r="C2" s="72"/>
      <c r="D2" s="72"/>
      <c r="E2" s="72"/>
      <c r="F2" s="72"/>
      <c r="G2" s="72"/>
      <c r="H2" s="72"/>
      <c r="I2" s="7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4.25" customHeight="1">
      <c r="A3" s="78"/>
      <c r="B3" s="8"/>
      <c r="C3" s="8"/>
      <c r="D3" s="8"/>
      <c r="E3" s="8"/>
      <c r="F3" s="8"/>
      <c r="G3" s="8"/>
      <c r="H3" s="8"/>
      <c r="I3" s="80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87" t="s">
        <v>6</v>
      </c>
      <c r="B4" s="34" t="str">
        <f>Cover!B4</f>
        <v> AI-powered Shared Business Space Platform with Time-based Subleasing</v>
      </c>
      <c r="C4" s="14"/>
      <c r="D4" s="88" t="s">
        <v>9</v>
      </c>
      <c r="E4" s="14"/>
      <c r="F4" s="89" t="s">
        <v>10</v>
      </c>
      <c r="G4" s="13"/>
      <c r="H4" s="13"/>
      <c r="I4" s="14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87" t="s">
        <v>12</v>
      </c>
      <c r="B5" s="34" t="str">
        <f>Cover!B5</f>
        <v>SU26SE038</v>
      </c>
      <c r="C5" s="14"/>
      <c r="D5" s="88" t="s">
        <v>76</v>
      </c>
      <c r="E5" s="14"/>
      <c r="F5" s="92"/>
      <c r="G5" s="13"/>
      <c r="H5" s="13"/>
      <c r="I5" s="14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33" t="s">
        <v>17</v>
      </c>
      <c r="B6" s="34" t="str">
        <f>B5&amp;"_"&amp;"Test Report"&amp;"_"&amp;"v1.0"</f>
        <v>SU26SE038_Test Report_v1.0</v>
      </c>
      <c r="C6" s="14"/>
      <c r="D6" s="88" t="s">
        <v>14</v>
      </c>
      <c r="E6" s="14"/>
      <c r="F6" s="95"/>
      <c r="G6" s="13"/>
      <c r="H6" s="13"/>
      <c r="I6" s="14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33" t="s">
        <v>93</v>
      </c>
      <c r="B7" s="96"/>
      <c r="C7" s="13"/>
      <c r="D7" s="13"/>
      <c r="E7" s="13"/>
      <c r="F7" s="13"/>
      <c r="G7" s="13"/>
      <c r="H7" s="13"/>
      <c r="I7" s="14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4.25" customHeight="1">
      <c r="A8" s="98"/>
      <c r="B8" s="99"/>
      <c r="C8" s="8"/>
      <c r="D8" s="8"/>
      <c r="E8" s="8"/>
      <c r="F8" s="8"/>
      <c r="G8" s="8"/>
      <c r="H8" s="8"/>
      <c r="I8" s="80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98"/>
      <c r="B9" s="99"/>
      <c r="C9" s="8"/>
      <c r="D9" s="8"/>
      <c r="E9" s="8"/>
      <c r="F9" s="8"/>
      <c r="G9" s="8"/>
      <c r="H9" s="8"/>
      <c r="I9" s="80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4.25" customHeight="1">
      <c r="A11" s="100" t="s">
        <v>40</v>
      </c>
      <c r="B11" s="101" t="s">
        <v>127</v>
      </c>
      <c r="C11" s="102" t="s">
        <v>130</v>
      </c>
      <c r="D11" s="101" t="s">
        <v>132</v>
      </c>
      <c r="E11" s="103" t="s">
        <v>134</v>
      </c>
      <c r="F11" s="103" t="s">
        <v>135</v>
      </c>
      <c r="G11" s="103" t="s">
        <v>35</v>
      </c>
      <c r="H11" s="103" t="s">
        <v>137</v>
      </c>
      <c r="I11" s="104" t="s">
        <v>138</v>
      </c>
      <c r="J11" s="105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106">
        <v>1.0</v>
      </c>
      <c r="B12" s="107" t="s">
        <v>56</v>
      </c>
      <c r="C12" s="108">
        <f>AIToolService!A7</f>
        <v>6</v>
      </c>
      <c r="D12" s="108">
        <f>AIToolService!C7</f>
        <v>0</v>
      </c>
      <c r="E12" s="108">
        <f>AIToolService!F7</f>
        <v>0</v>
      </c>
      <c r="F12" s="108">
        <f>AIToolService!L7</f>
        <v>1</v>
      </c>
      <c r="G12" s="108">
        <f>AIToolService!M7</f>
        <v>4</v>
      </c>
      <c r="H12" s="108">
        <f>AIToolService!N7</f>
        <v>1</v>
      </c>
      <c r="I12" s="109">
        <f>AIToolService!O7</f>
        <v>6</v>
      </c>
      <c r="J12" s="105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106">
        <v>2.0</v>
      </c>
      <c r="B13" s="107" t="s">
        <v>64</v>
      </c>
      <c r="C13" s="108">
        <f>AmenityService!A7</f>
        <v>6</v>
      </c>
      <c r="D13" s="108">
        <f>AmenityService!C7</f>
        <v>0</v>
      </c>
      <c r="E13" s="108">
        <f>AmenityService!F7</f>
        <v>0</v>
      </c>
      <c r="F13" s="108">
        <f>AmenityService!L7</f>
        <v>2</v>
      </c>
      <c r="G13" s="108">
        <f>AmenityService!M7</f>
        <v>2</v>
      </c>
      <c r="H13" s="108">
        <f>AmenityService!N7</f>
        <v>2</v>
      </c>
      <c r="I13" s="109">
        <f>AmenityService!O7</f>
        <v>6</v>
      </c>
      <c r="J13" s="10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106">
        <v>3.0</v>
      </c>
      <c r="B14" s="107" t="s">
        <v>73</v>
      </c>
      <c r="C14" s="108">
        <f>'Auth-Login'!A7</f>
        <v>3</v>
      </c>
      <c r="D14" s="108">
        <f>'Auth-Login'!C7</f>
        <v>0</v>
      </c>
      <c r="E14" s="108">
        <f>'Auth-Login'!F7</f>
        <v>0</v>
      </c>
      <c r="F14" s="108">
        <f>'Auth-Login'!L7</f>
        <v>1</v>
      </c>
      <c r="G14" s="108">
        <f>'Auth-Login'!M7</f>
        <v>2</v>
      </c>
      <c r="H14" s="108">
        <f>'Auth-Login'!N7</f>
        <v>0</v>
      </c>
      <c r="I14" s="109">
        <f>'Auth-Login'!O7</f>
        <v>3</v>
      </c>
      <c r="J14" s="105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106">
        <v>4.0</v>
      </c>
      <c r="B15" s="107" t="s">
        <v>82</v>
      </c>
      <c r="C15" s="108">
        <f>'Auth-Register'!A7</f>
        <v>3</v>
      </c>
      <c r="D15" s="108">
        <f>'Auth-Register'!C7</f>
        <v>0</v>
      </c>
      <c r="E15" s="108">
        <f>'Auth-Register'!F7</f>
        <v>0</v>
      </c>
      <c r="F15" s="108">
        <f>'Auth-Register'!L7</f>
        <v>1</v>
      </c>
      <c r="G15" s="108">
        <f>'Auth-Register'!M7</f>
        <v>1</v>
      </c>
      <c r="H15" s="108">
        <f>'Auth-Register'!N7</f>
        <v>1</v>
      </c>
      <c r="I15" s="109">
        <f>'Auth-Register'!O7</f>
        <v>3</v>
      </c>
      <c r="J15" s="105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106">
        <v>5.0</v>
      </c>
      <c r="B16" s="107" t="s">
        <v>89</v>
      </c>
      <c r="C16" s="108">
        <f>'Auth-VerifyOtp'!A7</f>
        <v>2</v>
      </c>
      <c r="D16" s="108">
        <f>'Auth-VerifyOtp'!C7</f>
        <v>0</v>
      </c>
      <c r="E16" s="108">
        <f>'Auth-VerifyOtp'!F7</f>
        <v>0</v>
      </c>
      <c r="F16" s="108">
        <f>'Auth-VerifyOtp'!L7</f>
        <v>1</v>
      </c>
      <c r="G16" s="108">
        <f>'Auth-VerifyOtp'!M7</f>
        <v>1</v>
      </c>
      <c r="H16" s="108">
        <f>'Auth-VerifyOtp'!N7</f>
        <v>0</v>
      </c>
      <c r="I16" s="109">
        <f>'Auth-VerifyOtp'!O7</f>
        <v>2</v>
      </c>
      <c r="J16" s="105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106">
        <v>6.0</v>
      </c>
      <c r="B17" s="107" t="s">
        <v>96</v>
      </c>
      <c r="C17" s="108">
        <f>'Auth-ResetPwd'!A7</f>
        <v>4</v>
      </c>
      <c r="D17" s="108">
        <f>'Auth-ResetPwd'!C7</f>
        <v>0</v>
      </c>
      <c r="E17" s="108">
        <f>'Auth-ResetPwd'!F7</f>
        <v>0</v>
      </c>
      <c r="F17" s="108">
        <f>'Auth-ResetPwd'!L7</f>
        <v>1</v>
      </c>
      <c r="G17" s="108">
        <f>'Auth-ResetPwd'!M7</f>
        <v>2</v>
      </c>
      <c r="H17" s="108">
        <f>'Auth-ResetPwd'!N7</f>
        <v>1</v>
      </c>
      <c r="I17" s="109">
        <f>'Auth-ResetPwd'!O7</f>
        <v>4</v>
      </c>
      <c r="J17" s="105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106">
        <v>7.0</v>
      </c>
      <c r="B18" s="107" t="s">
        <v>103</v>
      </c>
      <c r="C18" s="108">
        <f>'Auth-ChangePwd'!A7</f>
        <v>2</v>
      </c>
      <c r="D18" s="108">
        <f>'Auth-ChangePwd'!C7</f>
        <v>0</v>
      </c>
      <c r="E18" s="108">
        <f>'Auth-ChangePwd'!F7</f>
        <v>0</v>
      </c>
      <c r="F18" s="108">
        <f>'Auth-ChangePwd'!L7</f>
        <v>1</v>
      </c>
      <c r="G18" s="108">
        <f>'Auth-ChangePwd'!M7</f>
        <v>1</v>
      </c>
      <c r="H18" s="108">
        <f>'Auth-ChangePwd'!N7</f>
        <v>0</v>
      </c>
      <c r="I18" s="109">
        <f>'Auth-ChangePwd'!O7</f>
        <v>2</v>
      </c>
      <c r="J18" s="105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106">
        <v>8.0</v>
      </c>
      <c r="B19" s="107" t="s">
        <v>111</v>
      </c>
      <c r="C19" s="108">
        <f>'BookingNotif-Created'!A7</f>
        <v>3</v>
      </c>
      <c r="D19" s="108">
        <f>'BookingNotif-Created'!C7</f>
        <v>0</v>
      </c>
      <c r="E19" s="108">
        <f>'BookingNotif-Created'!F7</f>
        <v>0</v>
      </c>
      <c r="F19" s="108">
        <f>'BookingNotif-Created'!L7</f>
        <v>1</v>
      </c>
      <c r="G19" s="108">
        <f>'BookingNotif-Created'!M7</f>
        <v>2</v>
      </c>
      <c r="H19" s="108">
        <f>'BookingNotif-Created'!N7</f>
        <v>0</v>
      </c>
      <c r="I19" s="109">
        <f>'BookingNotif-Created'!O7</f>
        <v>3</v>
      </c>
      <c r="J19" s="105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106">
        <v>9.0</v>
      </c>
      <c r="B20" s="107" t="s">
        <v>119</v>
      </c>
      <c r="C20" s="108">
        <f>'BookingNotif-Approved'!A7</f>
        <v>2</v>
      </c>
      <c r="D20" s="108">
        <f>'BookingNotif-Approved'!C7</f>
        <v>0</v>
      </c>
      <c r="E20" s="108">
        <f>'BookingNotif-Approved'!F7</f>
        <v>0</v>
      </c>
      <c r="F20" s="108">
        <f>'BookingNotif-Approved'!L7</f>
        <v>1</v>
      </c>
      <c r="G20" s="108">
        <f>'BookingNotif-Approved'!M7</f>
        <v>1</v>
      </c>
      <c r="H20" s="108">
        <f>'BookingNotif-Approved'!N7</f>
        <v>0</v>
      </c>
      <c r="I20" s="109">
        <f>'BookingNotif-Approved'!O7</f>
        <v>2</v>
      </c>
      <c r="J20" s="105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106">
        <v>10.0</v>
      </c>
      <c r="B21" s="107" t="s">
        <v>128</v>
      </c>
      <c r="C21" s="108">
        <f>'Conv-GetOrCreate'!A7</f>
        <v>3</v>
      </c>
      <c r="D21" s="108">
        <f>'Conv-GetOrCreate'!C7</f>
        <v>0</v>
      </c>
      <c r="E21" s="108">
        <f>'Conv-GetOrCreate'!F7</f>
        <v>0</v>
      </c>
      <c r="F21" s="108">
        <f>'Conv-GetOrCreate'!L7</f>
        <v>2</v>
      </c>
      <c r="G21" s="108">
        <f>'Conv-GetOrCreate'!M7</f>
        <v>1</v>
      </c>
      <c r="H21" s="108">
        <f>'Conv-GetOrCreate'!N7</f>
        <v>0</v>
      </c>
      <c r="I21" s="109">
        <f>'Conv-GetOrCreate'!O7</f>
        <v>3</v>
      </c>
      <c r="J21" s="105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106">
        <v>11.0</v>
      </c>
      <c r="B22" s="107" t="s">
        <v>141</v>
      </c>
      <c r="C22" s="108">
        <f>'Conv-Query'!A7</f>
        <v>3</v>
      </c>
      <c r="D22" s="108">
        <f>'Conv-Query'!C7</f>
        <v>0</v>
      </c>
      <c r="E22" s="108">
        <f>'Conv-Query'!F7</f>
        <v>0</v>
      </c>
      <c r="F22" s="108">
        <f>'Conv-Query'!L7</f>
        <v>1</v>
      </c>
      <c r="G22" s="108">
        <f>'Conv-Query'!M7</f>
        <v>2</v>
      </c>
      <c r="H22" s="108">
        <f>'Conv-Query'!N7</f>
        <v>0</v>
      </c>
      <c r="I22" s="109">
        <f>'Conv-Query'!O7</f>
        <v>3</v>
      </c>
      <c r="J22" s="105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106">
        <v>12.0</v>
      </c>
      <c r="B23" s="107" t="s">
        <v>148</v>
      </c>
      <c r="C23" s="108">
        <f>'Dashboard-Stats'!A7</f>
        <v>2</v>
      </c>
      <c r="D23" s="108">
        <f>'Dashboard-Stats'!C7</f>
        <v>0</v>
      </c>
      <c r="E23" s="108">
        <f>'Dashboard-Stats'!F7</f>
        <v>0</v>
      </c>
      <c r="F23" s="108">
        <f>'Dashboard-Stats'!L7</f>
        <v>1</v>
      </c>
      <c r="G23" s="108">
        <f>'Dashboard-Stats'!M7</f>
        <v>1</v>
      </c>
      <c r="H23" s="108">
        <f>'Dashboard-Stats'!N7</f>
        <v>0</v>
      </c>
      <c r="I23" s="109">
        <f>'Dashboard-Stats'!O7</f>
        <v>2</v>
      </c>
      <c r="J23" s="105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106">
        <v>13.0</v>
      </c>
      <c r="B24" s="107" t="s">
        <v>155</v>
      </c>
      <c r="C24" s="108">
        <f>'Dashboard-Listing'!A7</f>
        <v>2</v>
      </c>
      <c r="D24" s="108">
        <f>'Dashboard-Listing'!C7</f>
        <v>1</v>
      </c>
      <c r="E24" s="108">
        <f>'Dashboard-Listing'!F7</f>
        <v>0</v>
      </c>
      <c r="F24" s="108">
        <f>'Dashboard-Listing'!L7</f>
        <v>1</v>
      </c>
      <c r="G24" s="108">
        <f>'Dashboard-Listing'!M7</f>
        <v>2</v>
      </c>
      <c r="H24" s="108">
        <f>'Dashboard-Listing'!N7</f>
        <v>0</v>
      </c>
      <c r="I24" s="109">
        <f>'Dashboard-Listing'!O7</f>
        <v>3</v>
      </c>
      <c r="J24" s="105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106">
        <v>14.0</v>
      </c>
      <c r="B25" s="107" t="s">
        <v>163</v>
      </c>
      <c r="C25" s="108">
        <f>'DataSeeder-Admin'!A7</f>
        <v>3</v>
      </c>
      <c r="D25" s="108">
        <f>'DataSeeder-Admin'!C7</f>
        <v>0</v>
      </c>
      <c r="E25" s="108">
        <f>'DataSeeder-Admin'!F7</f>
        <v>0</v>
      </c>
      <c r="F25" s="108">
        <f>'DataSeeder-Admin'!L7</f>
        <v>2</v>
      </c>
      <c r="G25" s="108">
        <f>'DataSeeder-Admin'!M7</f>
        <v>0</v>
      </c>
      <c r="H25" s="108">
        <f>'DataSeeder-Admin'!N7</f>
        <v>1</v>
      </c>
      <c r="I25" s="109">
        <f>'DataSeeder-Admin'!O7</f>
        <v>3</v>
      </c>
      <c r="J25" s="105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106">
        <v>15.0</v>
      </c>
      <c r="B26" s="107" t="s">
        <v>171</v>
      </c>
      <c r="C26" s="108">
        <f>SUM('Contract-CRUD-1'!A7,'Contract-CRUD-2'!A7)</f>
        <v>18</v>
      </c>
      <c r="D26" s="108">
        <f>SUM('Contract-CRUD-1'!C7,'Contract-CRUD-2'!C7)</f>
        <v>2</v>
      </c>
      <c r="E26" s="108">
        <f>SUM('Contract-CRUD-1'!F7,'Contract-CRUD-2'!F7)</f>
        <v>0</v>
      </c>
      <c r="F26" s="108">
        <f>SUM('Contract-CRUD-1'!L7,'Contract-CRUD-2'!L7)</f>
        <v>6</v>
      </c>
      <c r="G26" s="108">
        <f>SUM('Contract-CRUD-1'!M7,'Contract-CRUD-2'!M7)</f>
        <v>11</v>
      </c>
      <c r="H26" s="108">
        <f>SUM('Contract-CRUD-1'!N7,'Contract-CRUD-2'!N7)</f>
        <v>3</v>
      </c>
      <c r="I26" s="109">
        <f>SUM('Contract-CRUD-1'!O7,'Contract-CRUD-2'!O7)</f>
        <v>20</v>
      </c>
      <c r="J26" s="105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106">
        <v>16.0</v>
      </c>
      <c r="B27" s="107" t="s">
        <v>178</v>
      </c>
      <c r="C27" s="108">
        <f>SUM('Contract-Signing-1'!A7,'Contract-Signing-2'!A7)</f>
        <v>19</v>
      </c>
      <c r="D27" s="108">
        <f>SUM('Contract-Signing-1'!C7,'Contract-Signing-2'!C7)</f>
        <v>1</v>
      </c>
      <c r="E27" s="108">
        <f>SUM('Contract-Signing-1'!F7,'Contract-Signing-2'!F7)</f>
        <v>0</v>
      </c>
      <c r="F27" s="108">
        <f>SUM('Contract-Signing-1'!L7,'Contract-Signing-2'!L7)</f>
        <v>6</v>
      </c>
      <c r="G27" s="108">
        <f>SUM('Contract-Signing-1'!M7,'Contract-Signing-2'!M7)</f>
        <v>12</v>
      </c>
      <c r="H27" s="108">
        <f>SUM('Contract-Signing-1'!N7,'Contract-Signing-2'!N7)</f>
        <v>2</v>
      </c>
      <c r="I27" s="109">
        <f>SUM('Contract-Signing-1'!O7,'Contract-Signing-2'!O7)</f>
        <v>20</v>
      </c>
      <c r="J27" s="10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106">
        <v>17.0</v>
      </c>
      <c r="B28" s="107" t="s">
        <v>185</v>
      </c>
      <c r="C28" s="108">
        <f>'Contract-Share'!A7</f>
        <v>5</v>
      </c>
      <c r="D28" s="108">
        <f>'Contract-Share'!C7</f>
        <v>0</v>
      </c>
      <c r="E28" s="108">
        <f>'Contract-Share'!F7</f>
        <v>0</v>
      </c>
      <c r="F28" s="108">
        <f>'Contract-Share'!L7</f>
        <v>1</v>
      </c>
      <c r="G28" s="108">
        <f>'Contract-Share'!M7</f>
        <v>4</v>
      </c>
      <c r="H28" s="108">
        <f>'Contract-Share'!N7</f>
        <v>0</v>
      </c>
      <c r="I28" s="109">
        <f>'Contract-Share'!O7</f>
        <v>5</v>
      </c>
      <c r="J28" s="105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106">
        <v>18.0</v>
      </c>
      <c r="B29" s="107" t="s">
        <v>190</v>
      </c>
      <c r="C29" s="108">
        <f>'Contract-Calendar'!A7</f>
        <v>2</v>
      </c>
      <c r="D29" s="108">
        <f>'Contract-Calendar'!C7</f>
        <v>0</v>
      </c>
      <c r="E29" s="108">
        <f>'Contract-Calendar'!F7</f>
        <v>0</v>
      </c>
      <c r="F29" s="108">
        <f>'Contract-Calendar'!L7</f>
        <v>1</v>
      </c>
      <c r="G29" s="108">
        <f>'Contract-Calendar'!M7</f>
        <v>0</v>
      </c>
      <c r="H29" s="108">
        <f>'Contract-Calendar'!N7</f>
        <v>1</v>
      </c>
      <c r="I29" s="109">
        <f>'Contract-Calendar'!O7</f>
        <v>2</v>
      </c>
      <c r="J29" s="105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106">
        <v>19.0</v>
      </c>
      <c r="B30" s="107" t="s">
        <v>196</v>
      </c>
      <c r="C30" s="108">
        <f>SUM('Listing-CRUD-1'!A7,'Listing-CRUD-2'!A7)</f>
        <v>25</v>
      </c>
      <c r="D30" s="108">
        <f>SUM('Listing-CRUD-1'!C7,'Listing-CRUD-2'!C7)</f>
        <v>4</v>
      </c>
      <c r="E30" s="108">
        <f>SUM('Listing-CRUD-1'!F7,'Listing-CRUD-2'!F7)</f>
        <v>0</v>
      </c>
      <c r="F30" s="108">
        <f>SUM('Listing-CRUD-1'!L7,'Listing-CRUD-2'!L7)</f>
        <v>10</v>
      </c>
      <c r="G30" s="108">
        <f>SUM('Listing-CRUD-1'!M7,'Listing-CRUD-2'!M7)</f>
        <v>14</v>
      </c>
      <c r="H30" s="108">
        <f>SUM('Listing-CRUD-1'!N7,'Listing-CRUD-2'!N7)</f>
        <v>5</v>
      </c>
      <c r="I30" s="109">
        <f>SUM('Listing-CRUD-1'!O7,'Listing-CRUD-2'!O7)</f>
        <v>29</v>
      </c>
      <c r="J30" s="105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106">
        <v>20.0</v>
      </c>
      <c r="B31" s="107" t="s">
        <v>202</v>
      </c>
      <c r="C31" s="108">
        <f>'Listing-Query'!A7</f>
        <v>9</v>
      </c>
      <c r="D31" s="108">
        <f>'Listing-Query'!C7</f>
        <v>0</v>
      </c>
      <c r="E31" s="108">
        <f>'Listing-Query'!F7</f>
        <v>0</v>
      </c>
      <c r="F31" s="108">
        <f>'Listing-Query'!L7</f>
        <v>3</v>
      </c>
      <c r="G31" s="108">
        <f>'Listing-Query'!M7</f>
        <v>4</v>
      </c>
      <c r="H31" s="108">
        <f>'Listing-Query'!N7</f>
        <v>2</v>
      </c>
      <c r="I31" s="109">
        <f>'Listing-Query'!O7</f>
        <v>9</v>
      </c>
      <c r="J31" s="105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106">
        <v>21.0</v>
      </c>
      <c r="B32" s="107" t="s">
        <v>207</v>
      </c>
      <c r="C32" s="108">
        <f>'Listing-Report'!A7</f>
        <v>9</v>
      </c>
      <c r="D32" s="108">
        <f>'Listing-Report'!C7</f>
        <v>0</v>
      </c>
      <c r="E32" s="108">
        <f>'Listing-Report'!F7</f>
        <v>0</v>
      </c>
      <c r="F32" s="108">
        <f>'Listing-Report'!L7</f>
        <v>5</v>
      </c>
      <c r="G32" s="108">
        <f>'Listing-Report'!M7</f>
        <v>2</v>
      </c>
      <c r="H32" s="108">
        <f>'Listing-Report'!N7</f>
        <v>2</v>
      </c>
      <c r="I32" s="109">
        <f>'Listing-Report'!O7</f>
        <v>9</v>
      </c>
      <c r="J32" s="105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106">
        <v>22.0</v>
      </c>
      <c r="B33" s="107" t="s">
        <v>212</v>
      </c>
      <c r="C33" s="108">
        <f>SUM('Listing-Share-1'!A7,'Listing-Share-2'!A7)</f>
        <v>17</v>
      </c>
      <c r="D33" s="108">
        <f>SUM('Listing-Share-1'!C7,'Listing-Share-2'!C7)</f>
        <v>1</v>
      </c>
      <c r="E33" s="108">
        <f>SUM('Listing-Share-1'!F7,'Listing-Share-2'!F7)</f>
        <v>0</v>
      </c>
      <c r="F33" s="108">
        <f>SUM('Listing-Share-1'!L7,'Listing-Share-2'!L7)</f>
        <v>5</v>
      </c>
      <c r="G33" s="108">
        <f>SUM('Listing-Share-1'!M7,'Listing-Share-2'!M7)</f>
        <v>9</v>
      </c>
      <c r="H33" s="108">
        <f>SUM('Listing-Share-1'!N7,'Listing-Share-2'!N7)</f>
        <v>4</v>
      </c>
      <c r="I33" s="109">
        <f>SUM('Listing-Share-1'!O7,'Listing-Share-2'!O7)</f>
        <v>18</v>
      </c>
      <c r="J33" s="105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106">
        <v>23.0</v>
      </c>
      <c r="B34" s="107" t="s">
        <v>218</v>
      </c>
      <c r="C34" s="108">
        <f>WalletService!A7</f>
        <v>14</v>
      </c>
      <c r="D34" s="108">
        <f>WalletService!C7</f>
        <v>0</v>
      </c>
      <c r="E34" s="108">
        <f>WalletService!F7</f>
        <v>0</v>
      </c>
      <c r="F34" s="108">
        <f>WalletService!L7</f>
        <v>4</v>
      </c>
      <c r="G34" s="108">
        <f>WalletService!M7</f>
        <v>9</v>
      </c>
      <c r="H34" s="108">
        <f>WalletService!N7</f>
        <v>1</v>
      </c>
      <c r="I34" s="109">
        <f>WalletService!O7</f>
        <v>14</v>
      </c>
      <c r="J34" s="105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106">
        <v>24.0</v>
      </c>
      <c r="B35" s="107" t="s">
        <v>225</v>
      </c>
      <c r="C35" s="108">
        <f>PrimaryBooking!A7</f>
        <v>14</v>
      </c>
      <c r="D35" s="108">
        <f>PrimaryBooking!C7</f>
        <v>0</v>
      </c>
      <c r="E35" s="108">
        <f>PrimaryBooking!F7</f>
        <v>0</v>
      </c>
      <c r="F35" s="108">
        <f>PrimaryBooking!L7</f>
        <v>3</v>
      </c>
      <c r="G35" s="108">
        <f>PrimaryBooking!M7</f>
        <v>9</v>
      </c>
      <c r="H35" s="108">
        <f>PrimaryBooking!N7</f>
        <v>2</v>
      </c>
      <c r="I35" s="109">
        <f>PrimaryBooking!O7</f>
        <v>14</v>
      </c>
      <c r="J35" s="105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106">
        <v>25.0</v>
      </c>
      <c r="B36" s="107" t="s">
        <v>232</v>
      </c>
      <c r="C36" s="108">
        <f>ReviewService!A7</f>
        <v>13</v>
      </c>
      <c r="D36" s="108">
        <f>ReviewService!C7</f>
        <v>0</v>
      </c>
      <c r="E36" s="108">
        <f>ReviewService!F7</f>
        <v>0</v>
      </c>
      <c r="F36" s="108">
        <f>ReviewService!L7</f>
        <v>5</v>
      </c>
      <c r="G36" s="108">
        <f>ReviewService!M7</f>
        <v>7</v>
      </c>
      <c r="H36" s="108">
        <f>ReviewService!N7</f>
        <v>1</v>
      </c>
      <c r="I36" s="109">
        <f>ReviewService!O7</f>
        <v>13</v>
      </c>
      <c r="J36" s="105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106">
        <v>26.0</v>
      </c>
      <c r="B37" s="107" t="s">
        <v>239</v>
      </c>
      <c r="C37" s="108">
        <f>MessageService!A7</f>
        <v>5</v>
      </c>
      <c r="D37" s="108">
        <f>MessageService!C7</f>
        <v>0</v>
      </c>
      <c r="E37" s="108">
        <f>MessageService!F7</f>
        <v>0</v>
      </c>
      <c r="F37" s="108">
        <f>MessageService!L7</f>
        <v>3</v>
      </c>
      <c r="G37" s="108">
        <f>MessageService!M7</f>
        <v>1</v>
      </c>
      <c r="H37" s="108">
        <f>MessageService!N7</f>
        <v>1</v>
      </c>
      <c r="I37" s="109">
        <f>MessageService!O7</f>
        <v>5</v>
      </c>
      <c r="J37" s="105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106">
        <v>27.0</v>
      </c>
      <c r="B38" s="107" t="s">
        <v>246</v>
      </c>
      <c r="C38" s="108">
        <f>FavoriteListService!A7</f>
        <v>7</v>
      </c>
      <c r="D38" s="108">
        <f>FavoriteListService!C7</f>
        <v>0</v>
      </c>
      <c r="E38" s="108">
        <f>FavoriteListService!F7</f>
        <v>0</v>
      </c>
      <c r="F38" s="108">
        <f>FavoriteListService!L7</f>
        <v>3</v>
      </c>
      <c r="G38" s="108">
        <f>FavoriteListService!M7</f>
        <v>4</v>
      </c>
      <c r="H38" s="108">
        <f>FavoriteListService!N7</f>
        <v>0</v>
      </c>
      <c r="I38" s="109">
        <f>FavoriteListService!O7</f>
        <v>7</v>
      </c>
      <c r="J38" s="105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106">
        <v>28.0</v>
      </c>
      <c r="B39" s="107" t="s">
        <v>253</v>
      </c>
      <c r="C39" s="108">
        <f>TransactionService!A7</f>
        <v>5</v>
      </c>
      <c r="D39" s="108">
        <f>TransactionService!C7</f>
        <v>0</v>
      </c>
      <c r="E39" s="108">
        <f>TransactionService!F7</f>
        <v>0</v>
      </c>
      <c r="F39" s="108">
        <f>TransactionService!L7</f>
        <v>1</v>
      </c>
      <c r="G39" s="108">
        <f>TransactionService!M7</f>
        <v>3</v>
      </c>
      <c r="H39" s="108">
        <f>TransactionService!N7</f>
        <v>1</v>
      </c>
      <c r="I39" s="109">
        <f>TransactionService!O7</f>
        <v>5</v>
      </c>
      <c r="J39" s="105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118"/>
      <c r="B40" s="119" t="s">
        <v>257</v>
      </c>
      <c r="C40" s="120">
        <f t="shared" ref="C40:I40" si="1">SUM(C12:C39)</f>
        <v>206</v>
      </c>
      <c r="D40" s="120">
        <f t="shared" si="1"/>
        <v>9</v>
      </c>
      <c r="E40" s="120">
        <f t="shared" si="1"/>
        <v>0</v>
      </c>
      <c r="F40" s="120">
        <f t="shared" si="1"/>
        <v>73</v>
      </c>
      <c r="G40" s="120">
        <f t="shared" si="1"/>
        <v>111</v>
      </c>
      <c r="H40" s="120">
        <f t="shared" si="1"/>
        <v>31</v>
      </c>
      <c r="I40" s="120">
        <f t="shared" si="1"/>
        <v>215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121" t="s">
        <v>258</v>
      </c>
      <c r="C42" s="8"/>
      <c r="D42" s="122">
        <f>(C40+D40)*100/(I40)</f>
        <v>100</v>
      </c>
      <c r="E42" s="8" t="s">
        <v>259</v>
      </c>
      <c r="F42" s="8"/>
      <c r="G42" s="8"/>
      <c r="H42" s="8"/>
      <c r="I42" s="123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121" t="s">
        <v>260</v>
      </c>
      <c r="C43" s="8"/>
      <c r="D43" s="122">
        <f>C40*100/(I40)</f>
        <v>95.81395349</v>
      </c>
      <c r="E43" s="8" t="s">
        <v>259</v>
      </c>
      <c r="F43" s="8"/>
      <c r="G43" s="8"/>
      <c r="H43" s="8"/>
      <c r="I43" s="12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121" t="s">
        <v>261</v>
      </c>
      <c r="C44" s="8"/>
      <c r="D44" s="122">
        <f>F40*100/I40</f>
        <v>33.95348837</v>
      </c>
      <c r="E44" s="8" t="s">
        <v>259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121" t="s">
        <v>262</v>
      </c>
      <c r="C45" s="8"/>
      <c r="D45" s="122">
        <f>G40*100/I40</f>
        <v>51.62790698</v>
      </c>
      <c r="E45" s="8" t="s">
        <v>259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121" t="s">
        <v>263</v>
      </c>
      <c r="C46" s="8"/>
      <c r="D46" s="122">
        <f>H40*100/I40</f>
        <v>14.41860465</v>
      </c>
      <c r="E46" s="8" t="s">
        <v>259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printOptions horizontalCentered="1"/>
  <pageMargins bottom="0.75" footer="0.0" header="0.0" left="0.7" right="0.7" top="0.75"/>
  <pageSetup paperSize="3" orientation="portrait"/>
  <headerFooter>
    <oddFooter>&amp;L 02ae-BM/PM/HDCV/FSOFT v2/1&amp;CInternal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3.38"/>
    <col customWidth="1" min="3" max="3" width="10.88"/>
    <col customWidth="1" min="4" max="4" width="11.38"/>
    <col customWidth="1" hidden="1" min="5" max="5" width="1.88"/>
    <col customWidth="1" min="6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Functions!E11</f>
        <v>FUNC-AI-001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Functions!D11</f>
        <v>GenerateImageAsync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100.0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-11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271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COUNTIF(F47:HQ47,"P")</f>
        <v>0</v>
      </c>
      <c r="B7" s="157"/>
      <c r="C7" s="158">
        <f>COUNTIF(F47:HQ47,"F")</f>
        <v>0</v>
      </c>
      <c r="D7" s="159"/>
      <c r="E7" s="157"/>
      <c r="F7" s="158">
        <f>SUM(O7,-A7,-C7)</f>
        <v>15</v>
      </c>
      <c r="G7" s="159"/>
      <c r="H7" s="159"/>
      <c r="I7" s="159"/>
      <c r="J7" s="159"/>
      <c r="K7" s="157"/>
      <c r="L7" s="160">
        <f>COUNTIF(E46:HQ46,"N")</f>
        <v>0</v>
      </c>
      <c r="M7" s="160">
        <f>COUNTIF(E46:HQ46,"A")</f>
        <v>0</v>
      </c>
      <c r="N7" s="160">
        <f>COUNTIF(E46:HQ46,"B")</f>
        <v>0</v>
      </c>
      <c r="O7" s="158">
        <f>COUNTA(E9:HT9)</f>
        <v>15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5.0" customHeight="1">
      <c r="A9" s="164"/>
      <c r="B9" s="165"/>
      <c r="C9" s="166"/>
      <c r="D9" s="167"/>
      <c r="E9" s="166"/>
      <c r="F9" s="168" t="s">
        <v>273</v>
      </c>
      <c r="G9" s="168" t="s">
        <v>274</v>
      </c>
      <c r="H9" s="168" t="s">
        <v>274</v>
      </c>
      <c r="I9" s="168" t="s">
        <v>274</v>
      </c>
      <c r="J9" s="168" t="s">
        <v>274</v>
      </c>
      <c r="K9" s="168" t="s">
        <v>274</v>
      </c>
      <c r="L9" s="168" t="s">
        <v>275</v>
      </c>
      <c r="M9" s="168" t="s">
        <v>276</v>
      </c>
      <c r="N9" s="168" t="s">
        <v>277</v>
      </c>
      <c r="O9" s="168" t="s">
        <v>278</v>
      </c>
      <c r="P9" s="168" t="s">
        <v>279</v>
      </c>
      <c r="Q9" s="168" t="s">
        <v>280</v>
      </c>
      <c r="R9" s="168" t="s">
        <v>281</v>
      </c>
      <c r="S9" s="168" t="s">
        <v>282</v>
      </c>
      <c r="T9" s="169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172" t="s">
        <v>285</v>
      </c>
      <c r="C10" s="173"/>
      <c r="D10" s="174"/>
      <c r="E10" s="175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7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/>
      <c r="E11" s="179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7"/>
      <c r="U11" s="126"/>
      <c r="V11" s="138"/>
      <c r="W11" s="126"/>
      <c r="X11" s="126"/>
      <c r="Y11" s="126"/>
      <c r="Z11" s="126"/>
    </row>
    <row r="12" ht="13.5" customHeight="1">
      <c r="A12" s="178"/>
      <c r="B12" s="172"/>
      <c r="C12" s="173"/>
      <c r="D12" s="174"/>
      <c r="E12" s="179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7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/>
      <c r="E13" s="180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7"/>
      <c r="U13" s="126"/>
      <c r="V13" s="126"/>
      <c r="W13" s="126"/>
      <c r="X13" s="126"/>
      <c r="Y13" s="126"/>
      <c r="Z13" s="126"/>
    </row>
    <row r="14" ht="13.5" customHeight="1">
      <c r="A14" s="178"/>
      <c r="B14" s="172" t="s">
        <v>286</v>
      </c>
      <c r="C14" s="173"/>
      <c r="D14" s="174"/>
      <c r="E14" s="181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7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>
        <v>-2.0</v>
      </c>
      <c r="E15" s="181"/>
      <c r="F15" s="176" t="s">
        <v>287</v>
      </c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7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>
        <v>-1.0</v>
      </c>
      <c r="E16" s="181"/>
      <c r="F16" s="176"/>
      <c r="G16" s="176"/>
      <c r="H16" s="176"/>
      <c r="I16" s="176"/>
      <c r="J16" s="176"/>
      <c r="K16" s="176"/>
      <c r="L16" s="176" t="s">
        <v>287</v>
      </c>
      <c r="M16" s="176"/>
      <c r="N16" s="176"/>
      <c r="O16" s="176"/>
      <c r="P16" s="176"/>
      <c r="Q16" s="176"/>
      <c r="R16" s="176"/>
      <c r="S16" s="176"/>
      <c r="T16" s="177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>
        <v>0.0</v>
      </c>
      <c r="E17" s="181"/>
      <c r="F17" s="176"/>
      <c r="G17" s="176" t="s">
        <v>287</v>
      </c>
      <c r="H17" s="176" t="s">
        <v>287</v>
      </c>
      <c r="I17" s="176" t="s">
        <v>287</v>
      </c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7"/>
      <c r="U17" s="182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>
        <v>1.0</v>
      </c>
      <c r="E18" s="181"/>
      <c r="F18" s="176"/>
      <c r="G18" s="176"/>
      <c r="H18" s="176"/>
      <c r="I18" s="176"/>
      <c r="J18" s="176" t="s">
        <v>287</v>
      </c>
      <c r="K18" s="176" t="s">
        <v>287</v>
      </c>
      <c r="L18" s="176"/>
      <c r="M18" s="176"/>
      <c r="N18" s="176"/>
      <c r="O18" s="176"/>
      <c r="P18" s="176"/>
      <c r="Q18" s="176"/>
      <c r="R18" s="176"/>
      <c r="S18" s="176"/>
      <c r="T18" s="177"/>
      <c r="U18" s="182"/>
      <c r="V18" s="126"/>
      <c r="W18" s="126"/>
      <c r="X18" s="126"/>
      <c r="Y18" s="126"/>
      <c r="Z18" s="126"/>
    </row>
    <row r="19" ht="13.5" customHeight="1">
      <c r="A19" s="178"/>
      <c r="B19" s="172" t="s">
        <v>288</v>
      </c>
      <c r="C19" s="173"/>
      <c r="D19" s="174"/>
      <c r="E19" s="181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7"/>
      <c r="U19" s="182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27">
        <v>0.0</v>
      </c>
      <c r="F20" s="176"/>
      <c r="G20" s="176" t="s">
        <v>287</v>
      </c>
      <c r="H20" s="176" t="s">
        <v>287</v>
      </c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7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>
        <v>-2.0</v>
      </c>
      <c r="E21" s="181"/>
      <c r="F21" s="176"/>
      <c r="G21" s="176"/>
      <c r="H21" s="176"/>
      <c r="I21" s="176"/>
      <c r="J21" s="176" t="s">
        <v>287</v>
      </c>
      <c r="K21" s="176" t="s">
        <v>287</v>
      </c>
      <c r="L21" s="176" t="s">
        <v>287</v>
      </c>
      <c r="M21" s="176"/>
      <c r="N21" s="176"/>
      <c r="O21" s="176"/>
      <c r="P21" s="176"/>
      <c r="Q21" s="176"/>
      <c r="R21" s="176"/>
      <c r="S21" s="176"/>
      <c r="T21" s="177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>
        <v>2.0</v>
      </c>
      <c r="E22" s="181"/>
      <c r="F22" s="176"/>
      <c r="G22" s="176"/>
      <c r="H22" s="176"/>
      <c r="I22" s="176" t="s">
        <v>287</v>
      </c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7"/>
      <c r="U22" s="126"/>
      <c r="V22" s="126"/>
      <c r="W22" s="126"/>
      <c r="X22" s="126"/>
      <c r="Y22" s="126"/>
      <c r="Z22" s="126"/>
    </row>
    <row r="23" ht="13.5" customHeight="1">
      <c r="A23" s="178"/>
      <c r="B23" s="172" t="s">
        <v>289</v>
      </c>
      <c r="C23" s="173"/>
      <c r="D23" s="174"/>
      <c r="E23" s="181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7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>
        <v>0.0</v>
      </c>
      <c r="E24" s="181"/>
      <c r="F24" s="176"/>
      <c r="G24" s="176" t="s">
        <v>287</v>
      </c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7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>
        <v>1.0</v>
      </c>
      <c r="E25" s="181"/>
      <c r="F25" s="176"/>
      <c r="G25" s="176"/>
      <c r="H25" s="176" t="s">
        <v>287</v>
      </c>
      <c r="I25" s="176" t="s">
        <v>287</v>
      </c>
      <c r="J25" s="176" t="s">
        <v>287</v>
      </c>
      <c r="K25" s="176"/>
      <c r="L25" s="176"/>
      <c r="M25" s="176"/>
      <c r="N25" s="176"/>
      <c r="O25" s="176"/>
      <c r="P25" s="176"/>
      <c r="Q25" s="176"/>
      <c r="R25" s="176"/>
      <c r="S25" s="176"/>
      <c r="T25" s="177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>
        <v>3.0</v>
      </c>
      <c r="E26" s="181"/>
      <c r="F26" s="176"/>
      <c r="G26" s="176"/>
      <c r="H26" s="176"/>
      <c r="I26" s="176"/>
      <c r="J26" s="176"/>
      <c r="K26" s="176"/>
      <c r="L26" s="176" t="s">
        <v>287</v>
      </c>
      <c r="M26" s="176"/>
      <c r="N26" s="176"/>
      <c r="O26" s="176"/>
      <c r="P26" s="176"/>
      <c r="Q26" s="176"/>
      <c r="R26" s="176"/>
      <c r="S26" s="176"/>
      <c r="T26" s="177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>
        <v>5.0</v>
      </c>
      <c r="E27" s="181"/>
      <c r="F27" s="176"/>
      <c r="G27" s="176"/>
      <c r="H27" s="176"/>
      <c r="I27" s="176"/>
      <c r="J27" s="176"/>
      <c r="K27" s="176" t="s">
        <v>287</v>
      </c>
      <c r="L27" s="176"/>
      <c r="M27" s="176"/>
      <c r="N27" s="176"/>
      <c r="O27" s="176"/>
      <c r="P27" s="176"/>
      <c r="Q27" s="176"/>
      <c r="R27" s="176"/>
      <c r="S27" s="176"/>
      <c r="T27" s="177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7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7"/>
      <c r="U29" s="126"/>
      <c r="V29" s="126"/>
      <c r="W29" s="126"/>
      <c r="X29" s="126"/>
      <c r="Y29" s="126"/>
      <c r="Z29" s="126"/>
    </row>
    <row r="30" ht="13.5" customHeight="1">
      <c r="A30" s="178"/>
      <c r="B30" s="172"/>
      <c r="C30" s="173"/>
      <c r="D30" s="174"/>
      <c r="E30" s="181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7"/>
      <c r="U30" s="126"/>
      <c r="V30" s="126"/>
      <c r="W30" s="126"/>
      <c r="X30" s="126"/>
      <c r="Y30" s="126"/>
      <c r="Z30" s="126"/>
    </row>
    <row r="31" ht="13.5" customHeight="1">
      <c r="A31" s="178"/>
      <c r="B31" s="172"/>
      <c r="C31" s="173"/>
      <c r="D31" s="174"/>
      <c r="E31" s="181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7"/>
      <c r="U31" s="126"/>
      <c r="V31" s="126"/>
      <c r="W31" s="126"/>
      <c r="X31" s="126"/>
      <c r="Y31" s="126"/>
      <c r="Z31" s="126"/>
    </row>
    <row r="32" ht="13.5" customHeight="1">
      <c r="A32" s="178"/>
      <c r="B32" s="183"/>
      <c r="C32" s="184"/>
      <c r="D32" s="185"/>
      <c r="E32" s="186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8"/>
      <c r="U32" s="126"/>
      <c r="V32" s="126"/>
      <c r="W32" s="126"/>
      <c r="X32" s="126"/>
      <c r="Y32" s="126"/>
      <c r="Z32" s="126"/>
    </row>
    <row r="33" ht="13.5" customHeight="1">
      <c r="A33" s="189" t="s">
        <v>290</v>
      </c>
      <c r="B33" s="190" t="s">
        <v>291</v>
      </c>
      <c r="C33" s="191"/>
      <c r="D33" s="192"/>
      <c r="E33" s="193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5"/>
      <c r="U33" s="126"/>
      <c r="V33" s="126"/>
      <c r="W33" s="126"/>
      <c r="X33" s="126"/>
      <c r="Y33" s="126"/>
      <c r="Z33" s="126"/>
    </row>
    <row r="34" ht="13.5" customHeight="1">
      <c r="A34" s="196"/>
      <c r="B34" s="197" t="s">
        <v>292</v>
      </c>
      <c r="C34" s="198"/>
      <c r="D34" s="199"/>
      <c r="E34" s="200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7"/>
      <c r="U34" s="126"/>
      <c r="V34" s="126"/>
      <c r="W34" s="126"/>
      <c r="X34" s="126"/>
      <c r="Y34" s="126"/>
      <c r="Z34" s="126"/>
    </row>
    <row r="35" ht="13.5" customHeight="1">
      <c r="A35" s="196"/>
      <c r="B35" s="197"/>
      <c r="C35" s="198"/>
      <c r="D35" s="199" t="s">
        <v>293</v>
      </c>
      <c r="E35" s="200"/>
      <c r="F35" s="176" t="s">
        <v>287</v>
      </c>
      <c r="G35" s="176"/>
      <c r="H35" s="176" t="s">
        <v>287</v>
      </c>
      <c r="I35" s="176"/>
      <c r="J35" s="176"/>
      <c r="K35" s="176" t="s">
        <v>287</v>
      </c>
      <c r="L35" s="176"/>
      <c r="M35" s="176"/>
      <c r="N35" s="176"/>
      <c r="O35" s="176"/>
      <c r="P35" s="176"/>
      <c r="Q35" s="176"/>
      <c r="R35" s="176"/>
      <c r="S35" s="176"/>
      <c r="T35" s="177"/>
      <c r="U35" s="126"/>
      <c r="V35" s="126"/>
      <c r="W35" s="126"/>
      <c r="X35" s="126"/>
      <c r="Y35" s="126"/>
      <c r="Z35" s="126"/>
    </row>
    <row r="36" ht="13.5" customHeight="1">
      <c r="A36" s="196"/>
      <c r="B36" s="197"/>
      <c r="C36" s="198"/>
      <c r="D36" s="199" t="s">
        <v>294</v>
      </c>
      <c r="E36" s="200"/>
      <c r="F36" s="176"/>
      <c r="G36" s="176" t="s">
        <v>287</v>
      </c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7"/>
      <c r="U36" s="126"/>
      <c r="V36" s="126"/>
      <c r="W36" s="126"/>
      <c r="X36" s="126"/>
      <c r="Y36" s="126"/>
      <c r="Z36" s="126"/>
    </row>
    <row r="37" ht="13.5" customHeight="1">
      <c r="A37" s="196"/>
      <c r="B37" s="197"/>
      <c r="C37" s="198"/>
      <c r="D37" s="199" t="s">
        <v>295</v>
      </c>
      <c r="E37" s="200"/>
      <c r="F37" s="176"/>
      <c r="G37" s="176"/>
      <c r="H37" s="176"/>
      <c r="I37" s="176" t="s">
        <v>287</v>
      </c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7"/>
      <c r="U37" s="126"/>
      <c r="V37" s="126"/>
      <c r="W37" s="126"/>
      <c r="X37" s="126"/>
      <c r="Y37" s="126"/>
      <c r="Z37" s="126"/>
    </row>
    <row r="38" ht="13.5" customHeight="1">
      <c r="A38" s="196"/>
      <c r="B38" s="197"/>
      <c r="C38" s="198"/>
      <c r="D38" s="199" t="s">
        <v>296</v>
      </c>
      <c r="E38" s="200"/>
      <c r="F38" s="176"/>
      <c r="G38" s="176"/>
      <c r="H38" s="176"/>
      <c r="I38" s="176"/>
      <c r="J38" s="176" t="s">
        <v>287</v>
      </c>
      <c r="K38" s="176"/>
      <c r="L38" s="176"/>
      <c r="M38" s="176"/>
      <c r="N38" s="176"/>
      <c r="O38" s="176"/>
      <c r="P38" s="176"/>
      <c r="Q38" s="176"/>
      <c r="R38" s="176"/>
      <c r="S38" s="176"/>
      <c r="T38" s="177"/>
      <c r="U38" s="126"/>
      <c r="V38" s="126"/>
      <c r="W38" s="126"/>
      <c r="X38" s="126"/>
      <c r="Y38" s="126"/>
      <c r="Z38" s="126"/>
    </row>
    <row r="39" ht="13.5" customHeight="1">
      <c r="A39" s="196"/>
      <c r="B39" s="201"/>
      <c r="C39" s="202"/>
      <c r="D39" s="199" t="s">
        <v>297</v>
      </c>
      <c r="E39" s="203"/>
      <c r="F39" s="176"/>
      <c r="G39" s="176"/>
      <c r="H39" s="176"/>
      <c r="I39" s="176"/>
      <c r="J39" s="176"/>
      <c r="K39" s="176"/>
      <c r="L39" s="176" t="s">
        <v>287</v>
      </c>
      <c r="M39" s="176"/>
      <c r="N39" s="176"/>
      <c r="O39" s="176"/>
      <c r="P39" s="176"/>
      <c r="Q39" s="176"/>
      <c r="R39" s="176"/>
      <c r="S39" s="176"/>
      <c r="T39" s="177"/>
      <c r="U39" s="126"/>
      <c r="V39" s="126"/>
      <c r="W39" s="126"/>
      <c r="X39" s="126"/>
      <c r="Y39" s="126"/>
      <c r="Z39" s="126"/>
    </row>
    <row r="40" ht="13.5" customHeight="1">
      <c r="A40" s="196"/>
      <c r="B40" s="201" t="s">
        <v>298</v>
      </c>
      <c r="C40" s="202"/>
      <c r="D40" s="199"/>
      <c r="E40" s="203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7"/>
      <c r="U40" s="126"/>
      <c r="V40" s="126"/>
      <c r="W40" s="126"/>
      <c r="X40" s="126"/>
      <c r="Y40" s="126"/>
      <c r="Z40" s="126"/>
    </row>
    <row r="41" ht="13.5" customHeight="1">
      <c r="A41" s="196"/>
      <c r="B41" s="201"/>
      <c r="C41" s="202"/>
      <c r="D41" s="199"/>
      <c r="E41" s="203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7"/>
      <c r="U41" s="126"/>
      <c r="V41" s="126"/>
      <c r="W41" s="126"/>
      <c r="X41" s="126"/>
      <c r="Y41" s="126"/>
      <c r="Z41" s="126"/>
    </row>
    <row r="42" ht="13.5" customHeight="1">
      <c r="A42" s="196"/>
      <c r="B42" s="201" t="s">
        <v>299</v>
      </c>
      <c r="C42" s="202"/>
      <c r="D42" s="199"/>
      <c r="E42" s="203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7"/>
      <c r="U42" s="126"/>
      <c r="V42" s="126"/>
      <c r="W42" s="126"/>
      <c r="X42" s="126"/>
      <c r="Y42" s="126"/>
      <c r="Z42" s="126"/>
    </row>
    <row r="43" ht="13.5" customHeight="1">
      <c r="A43" s="196"/>
      <c r="B43" s="201"/>
      <c r="C43" s="202"/>
      <c r="D43" s="199" t="s">
        <v>301</v>
      </c>
      <c r="E43" s="203"/>
      <c r="F43" s="176" t="s">
        <v>287</v>
      </c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7"/>
      <c r="U43" s="126"/>
      <c r="V43" s="126"/>
      <c r="W43" s="126"/>
      <c r="X43" s="126"/>
      <c r="Y43" s="126"/>
      <c r="Z43" s="126"/>
    </row>
    <row r="44" ht="13.5" customHeight="1">
      <c r="A44" s="196"/>
      <c r="B44" s="204"/>
      <c r="C44" s="205"/>
      <c r="D44" s="206"/>
      <c r="E44" s="207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9"/>
      <c r="U44" s="126"/>
      <c r="V44" s="126"/>
      <c r="W44" s="126"/>
      <c r="X44" s="126"/>
      <c r="Y44" s="126"/>
      <c r="Z44" s="126"/>
    </row>
    <row r="45" ht="13.5" customHeight="1">
      <c r="A45" s="189" t="s">
        <v>302</v>
      </c>
      <c r="B45" s="211" t="s">
        <v>303</v>
      </c>
      <c r="C45" s="213"/>
      <c r="D45" s="215"/>
      <c r="E45" s="217"/>
      <c r="F45" s="219" t="s">
        <v>35</v>
      </c>
      <c r="G45" s="219" t="s">
        <v>135</v>
      </c>
      <c r="H45" s="219" t="s">
        <v>135</v>
      </c>
      <c r="I45" s="219" t="s">
        <v>135</v>
      </c>
      <c r="J45" s="219" t="s">
        <v>135</v>
      </c>
      <c r="K45" s="219" t="s">
        <v>135</v>
      </c>
      <c r="L45" s="219" t="s">
        <v>137</v>
      </c>
      <c r="M45" s="219"/>
      <c r="N45" s="219"/>
      <c r="O45" s="219"/>
      <c r="P45" s="219"/>
      <c r="Q45" s="219"/>
      <c r="R45" s="219"/>
      <c r="S45" s="219"/>
      <c r="T45" s="222"/>
      <c r="U45" s="126"/>
      <c r="V45" s="126"/>
      <c r="W45" s="126"/>
      <c r="X45" s="126"/>
      <c r="Y45" s="126"/>
      <c r="Z45" s="126"/>
    </row>
    <row r="46" ht="13.5" customHeight="1">
      <c r="A46" s="225"/>
      <c r="B46" s="227" t="s">
        <v>308</v>
      </c>
      <c r="C46" s="13"/>
      <c r="D46" s="14"/>
      <c r="E46" s="228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32"/>
      <c r="U46" s="126"/>
      <c r="V46" s="126"/>
      <c r="W46" s="126"/>
      <c r="X46" s="126"/>
      <c r="Y46" s="126"/>
      <c r="Z46" s="126"/>
    </row>
    <row r="47" ht="13.5" customHeight="1">
      <c r="A47" s="225"/>
      <c r="B47" s="233" t="s">
        <v>310</v>
      </c>
      <c r="C47" s="13"/>
      <c r="D47" s="14"/>
      <c r="E47" s="235"/>
      <c r="F47" s="236">
        <v>39139.0</v>
      </c>
      <c r="G47" s="236">
        <v>39139.0</v>
      </c>
      <c r="H47" s="236">
        <v>39139.0</v>
      </c>
      <c r="I47" s="236">
        <v>39139.0</v>
      </c>
      <c r="J47" s="236">
        <v>39139.0</v>
      </c>
      <c r="K47" s="236">
        <v>39139.0</v>
      </c>
      <c r="L47" s="236">
        <v>39144.0</v>
      </c>
      <c r="M47" s="236"/>
      <c r="N47" s="236"/>
      <c r="O47" s="236"/>
      <c r="P47" s="236"/>
      <c r="Q47" s="236"/>
      <c r="R47" s="236"/>
      <c r="S47" s="236"/>
      <c r="T47" s="237"/>
      <c r="U47" s="126"/>
      <c r="V47" s="126"/>
      <c r="W47" s="126"/>
      <c r="X47" s="126"/>
      <c r="Y47" s="126"/>
      <c r="Z47" s="126"/>
    </row>
    <row r="48" ht="12.0" customHeight="1">
      <c r="A48" s="238"/>
      <c r="B48" s="239" t="s">
        <v>314</v>
      </c>
      <c r="C48" s="240"/>
      <c r="D48" s="241"/>
      <c r="E48" s="242"/>
      <c r="F48" s="243"/>
      <c r="G48" s="243"/>
      <c r="H48" s="243"/>
      <c r="I48" s="243"/>
      <c r="J48" s="243"/>
      <c r="K48" s="243"/>
      <c r="L48" s="243"/>
      <c r="M48" s="243"/>
      <c r="N48" s="243"/>
      <c r="O48" s="243"/>
      <c r="P48" s="243"/>
      <c r="Q48" s="243"/>
      <c r="R48" s="243"/>
      <c r="S48" s="243"/>
      <c r="T48" s="244"/>
      <c r="U48" s="126"/>
      <c r="V48" s="126"/>
      <c r="W48" s="126"/>
      <c r="X48" s="126"/>
      <c r="Y48" s="126"/>
      <c r="Z48" s="126"/>
    </row>
    <row r="49" ht="12.0" customHeight="1">
      <c r="A49" s="163"/>
      <c r="B49" s="126"/>
      <c r="C49" s="127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3.5" customHeight="1">
      <c r="A243" s="126"/>
      <c r="B243" s="163"/>
      <c r="C243" s="126"/>
      <c r="D243" s="127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ht="13.5" customHeight="1">
      <c r="A244" s="126"/>
      <c r="B244" s="163"/>
      <c r="C244" s="126"/>
      <c r="D244" s="127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ht="13.5" customHeight="1">
      <c r="A245" s="126"/>
      <c r="B245" s="163"/>
      <c r="C245" s="126"/>
      <c r="D245" s="127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ht="13.5" customHeight="1">
      <c r="A246" s="126"/>
      <c r="B246" s="163"/>
      <c r="C246" s="126"/>
      <c r="D246" s="127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ht="13.5" customHeight="1">
      <c r="A247" s="126"/>
      <c r="B247" s="163"/>
      <c r="C247" s="126"/>
      <c r="D247" s="127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ht="13.5" customHeight="1">
      <c r="A248" s="126"/>
      <c r="B248" s="163"/>
      <c r="C248" s="126"/>
      <c r="D248" s="127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20:E20"/>
    <mergeCell ref="B45:D45"/>
    <mergeCell ref="B46:D46"/>
    <mergeCell ref="B47:D47"/>
    <mergeCell ref="B48:D48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6:T46">
      <formula1>"P,F"</formula1>
    </dataValidation>
    <dataValidation type="list" allowBlank="1" showInputMessage="1" showErrorMessage="1" prompt=" - " sqref="F10:T44">
      <formula1>"O"</formula1>
    </dataValidation>
    <dataValidation type="list" allowBlank="1" showInputMessage="1" showErrorMessage="1" prompt=" - " sqref="F45:T45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33.63"/>
    <col customWidth="1" hidden="1" min="5" max="5" width="1.88"/>
    <col customWidth="1" min="6" max="20" width="4.63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Functions!E11</f>
        <v>FUNC-AI-001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Functions!D11</f>
        <v>GenerateImageAsync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74.0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-3.04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300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6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1</v>
      </c>
      <c r="M7" s="160">
        <f>COUNTIF(F39:T39,"A")</f>
        <v>4</v>
      </c>
      <c r="N7" s="160">
        <f>COUNTIF(F39:T39,"B")</f>
        <v>1</v>
      </c>
      <c r="O7" s="158">
        <f>COUNTA(F40:T40)</f>
        <v>6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309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311</v>
      </c>
      <c r="C12" s="173"/>
      <c r="D12" s="174" t="s">
        <v>312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313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315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316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317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318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319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320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321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322</v>
      </c>
      <c r="E34" s="203"/>
      <c r="F34" s="231"/>
      <c r="G34" s="231"/>
      <c r="H34" s="231"/>
      <c r="I34" s="231" t="s">
        <v>287</v>
      </c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323</v>
      </c>
      <c r="E35" s="203"/>
      <c r="F35" s="231"/>
      <c r="G35" s="231"/>
      <c r="H35" s="231"/>
      <c r="I35" s="231"/>
      <c r="J35" s="231" t="s">
        <v>287</v>
      </c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 t="s">
        <v>324</v>
      </c>
      <c r="E36" s="203"/>
      <c r="F36" s="231"/>
      <c r="G36" s="231"/>
      <c r="H36" s="231"/>
      <c r="I36" s="231"/>
      <c r="J36" s="231"/>
      <c r="K36" s="231" t="s">
        <v>287</v>
      </c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135</v>
      </c>
      <c r="G39" s="251" t="s">
        <v>35</v>
      </c>
      <c r="H39" s="251" t="s">
        <v>137</v>
      </c>
      <c r="I39" s="251" t="s">
        <v>35</v>
      </c>
      <c r="J39" s="251" t="s">
        <v>35</v>
      </c>
      <c r="K39" s="251" t="s">
        <v>35</v>
      </c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54.0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18.0"/>
    <col customWidth="1" hidden="1" min="5" max="5" width="1.88"/>
    <col customWidth="1" min="6" max="20" width="4.13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Functions!E12</f>
        <v>FUNC-AMN-001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Functions!D12</f>
        <v>GetAllAmenitiesBySpaceIdAsync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48.0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-4.08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325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6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2</v>
      </c>
      <c r="M7" s="160">
        <f>COUNTIF(F39:T39,"A")</f>
        <v>2</v>
      </c>
      <c r="N7" s="160">
        <f>COUNTIF(F39:T39,"B")</f>
        <v>2</v>
      </c>
      <c r="O7" s="158">
        <f>COUNTA(F40:T40)</f>
        <v>6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327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328</v>
      </c>
      <c r="C12" s="173"/>
      <c r="D12" s="174" t="s">
        <v>329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330</v>
      </c>
      <c r="E13" s="180"/>
      <c r="F13" s="231"/>
      <c r="G13" s="231" t="s">
        <v>287</v>
      </c>
      <c r="H13" s="231" t="s">
        <v>287</v>
      </c>
      <c r="I13" s="231" t="s">
        <v>287</v>
      </c>
      <c r="J13" s="231" t="s">
        <v>287</v>
      </c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331</v>
      </c>
      <c r="E14" s="181"/>
      <c r="F14" s="231"/>
      <c r="G14" s="231"/>
      <c r="H14" s="231"/>
      <c r="I14" s="231"/>
      <c r="J14" s="231"/>
      <c r="K14" s="231" t="s">
        <v>287</v>
      </c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 t="s">
        <v>332</v>
      </c>
      <c r="C15" s="173"/>
      <c r="D15" s="174" t="s">
        <v>333</v>
      </c>
      <c r="E15" s="181"/>
      <c r="F15" s="231"/>
      <c r="G15" s="231" t="s">
        <v>287</v>
      </c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334</v>
      </c>
      <c r="E16" s="181"/>
      <c r="F16" s="231"/>
      <c r="G16" s="231"/>
      <c r="H16" s="231" t="s">
        <v>287</v>
      </c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335</v>
      </c>
      <c r="E17" s="181"/>
      <c r="F17" s="231"/>
      <c r="G17" s="231"/>
      <c r="H17" s="231"/>
      <c r="I17" s="231" t="s">
        <v>287</v>
      </c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 t="s">
        <v>336</v>
      </c>
      <c r="E18" s="181"/>
      <c r="F18" s="231"/>
      <c r="G18" s="231"/>
      <c r="H18" s="231"/>
      <c r="I18" s="231"/>
      <c r="J18" s="231" t="s">
        <v>287</v>
      </c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337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338</v>
      </c>
      <c r="E32" s="200"/>
      <c r="F32" s="231"/>
      <c r="G32" s="231" t="s">
        <v>287</v>
      </c>
      <c r="H32" s="231"/>
      <c r="I32" s="231" t="s">
        <v>287</v>
      </c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339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340</v>
      </c>
      <c r="E34" s="203"/>
      <c r="F34" s="231"/>
      <c r="G34" s="231"/>
      <c r="H34" s="231"/>
      <c r="I34" s="231"/>
      <c r="J34" s="231" t="s">
        <v>287</v>
      </c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341</v>
      </c>
      <c r="E35" s="203"/>
      <c r="F35" s="231"/>
      <c r="G35" s="231"/>
      <c r="H35" s="231"/>
      <c r="I35" s="231"/>
      <c r="J35" s="231"/>
      <c r="K35" s="231" t="s">
        <v>287</v>
      </c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137</v>
      </c>
      <c r="H39" s="251" t="s">
        <v>135</v>
      </c>
      <c r="I39" s="251" t="s">
        <v>137</v>
      </c>
      <c r="J39" s="251" t="s">
        <v>135</v>
      </c>
      <c r="K39" s="251" t="s">
        <v>35</v>
      </c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62.2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8.5"/>
    <col customWidth="1" hidden="1" min="5" max="5" width="1.88"/>
    <col customWidth="1" min="6" max="20" width="4.75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Functions!E13</f>
        <v>FUNC-AUTH-001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Functions!D13</f>
        <v>LoginAsync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39.0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-1.44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342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3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1</v>
      </c>
      <c r="M7" s="160">
        <f>COUNTIF(F39:T39,"A")</f>
        <v>2</v>
      </c>
      <c r="N7" s="160">
        <f>COUNTIF(F39:T39,"B")</f>
        <v>0</v>
      </c>
      <c r="O7" s="158">
        <f>COUNTA(F40:T40)</f>
        <v>3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344</v>
      </c>
      <c r="E11" s="179"/>
      <c r="F11" s="231" t="s">
        <v>287</v>
      </c>
      <c r="G11" s="231" t="s">
        <v>287</v>
      </c>
      <c r="H11" s="231" t="s">
        <v>287</v>
      </c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346</v>
      </c>
      <c r="C12" s="173"/>
      <c r="D12" s="174" t="s">
        <v>347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351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353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/>
      <c r="E15" s="18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/>
      <c r="E16" s="18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358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359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360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/>
      <c r="E34" s="203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/>
      <c r="E35" s="203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35</v>
      </c>
      <c r="H39" s="251" t="s">
        <v>135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75.7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37.63"/>
    <col customWidth="1" hidden="1" min="5" max="5" width="1.88"/>
    <col customWidth="1" min="6" max="20" width="5.0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Functions!E14</f>
        <v>FUNC-AUTH-002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Functions!D14</f>
        <v>RegisterAsync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76.0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0.04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343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3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1</v>
      </c>
      <c r="M7" s="160">
        <f>COUNTIF(F39:T39,"A")</f>
        <v>1</v>
      </c>
      <c r="N7" s="160">
        <f>COUNTIF(F39:T39,"B")</f>
        <v>1</v>
      </c>
      <c r="O7" s="158">
        <f>COUNTA(F40:T40)</f>
        <v>3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345</v>
      </c>
      <c r="E11" s="179"/>
      <c r="F11" s="231" t="s">
        <v>287</v>
      </c>
      <c r="G11" s="231" t="s">
        <v>287</v>
      </c>
      <c r="H11" s="231" t="s">
        <v>287</v>
      </c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348</v>
      </c>
      <c r="C12" s="173"/>
      <c r="D12" s="174" t="s">
        <v>349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350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352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/>
      <c r="E15" s="18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/>
      <c r="E16" s="18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354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355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356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/>
      <c r="E34" s="203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/>
      <c r="E35" s="203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135</v>
      </c>
      <c r="H39" s="251" t="s">
        <v>137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66.0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32.25"/>
    <col customWidth="1" hidden="1" min="5" max="5" width="1.88"/>
    <col customWidth="1" min="6" max="20" width="5.25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Functions!E15</f>
        <v>FUNC-AUTH-003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Functions!D15</f>
        <v>VerifyOtpAsync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50.0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0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357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2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1</v>
      </c>
      <c r="M7" s="160">
        <f>COUNTIF(F39:T39,"A")</f>
        <v>1</v>
      </c>
      <c r="N7" s="160">
        <f>COUNTIF(F39:T39,"B")</f>
        <v>0</v>
      </c>
      <c r="O7" s="158">
        <f>COUNTA(F40:T40)</f>
        <v>2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361</v>
      </c>
      <c r="E11" s="179"/>
      <c r="F11" s="231" t="s">
        <v>287</v>
      </c>
      <c r="G11" s="231" t="s">
        <v>287</v>
      </c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362</v>
      </c>
      <c r="C12" s="173"/>
      <c r="D12" s="174" t="s">
        <v>363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364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/>
      <c r="E14" s="18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/>
      <c r="E15" s="18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/>
      <c r="E16" s="18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365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366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/>
      <c r="E33" s="203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/>
      <c r="E34" s="203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/>
      <c r="E35" s="203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135</v>
      </c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60.7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8.63"/>
    <col customWidth="1" hidden="1" min="5" max="5" width="1.88"/>
    <col customWidth="1" min="6" max="20" width="4.0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Functions!E16</f>
        <v>FUNC-AUTH-004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Functions!D16</f>
        <v>SendPasswordOtpAsync / ResetPasswordAsync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87.0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-0.52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367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4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1</v>
      </c>
      <c r="M7" s="160">
        <f>COUNTIF(F39:T39,"A")</f>
        <v>2</v>
      </c>
      <c r="N7" s="160">
        <f>COUNTIF(F39:T39,"B")</f>
        <v>1</v>
      </c>
      <c r="O7" s="158">
        <f>COUNTA(F40:T40)</f>
        <v>4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368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369</v>
      </c>
      <c r="C12" s="173"/>
      <c r="D12" s="174" t="s">
        <v>370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371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372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373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/>
      <c r="E16" s="18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374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375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365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376</v>
      </c>
      <c r="E34" s="203"/>
      <c r="F34" s="231"/>
      <c r="G34" s="231"/>
      <c r="H34" s="231"/>
      <c r="I34" s="231" t="s">
        <v>287</v>
      </c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/>
      <c r="E35" s="203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137</v>
      </c>
      <c r="H39" s="251" t="s">
        <v>35</v>
      </c>
      <c r="I39" s="251" t="s">
        <v>135</v>
      </c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53.2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2.75"/>
    <col customWidth="1" hidden="1" min="5" max="5" width="1.88"/>
    <col customWidth="1" min="6" max="20" width="3.88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Functions!E17</f>
        <v>FUNC-AUTH-005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Functions!D17</f>
        <v>ChangePasswordAsync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43.0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-0.28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377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2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1</v>
      </c>
      <c r="M7" s="160">
        <f>COUNTIF(F39:T39,"A")</f>
        <v>1</v>
      </c>
      <c r="N7" s="160">
        <f>COUNTIF(F39:T39,"B")</f>
        <v>0</v>
      </c>
      <c r="O7" s="158">
        <f>COUNTA(F40:T40)</f>
        <v>2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379</v>
      </c>
      <c r="E11" s="179"/>
      <c r="F11" s="231" t="s">
        <v>287</v>
      </c>
      <c r="G11" s="231" t="s">
        <v>287</v>
      </c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380</v>
      </c>
      <c r="C12" s="173"/>
      <c r="D12" s="174" t="s">
        <v>381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382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/>
      <c r="E14" s="18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/>
      <c r="E15" s="18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/>
      <c r="E16" s="18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391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392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/>
      <c r="E33" s="203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/>
      <c r="E34" s="203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/>
      <c r="E35" s="203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135</v>
      </c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60.0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9.0"/>
    <col customWidth="1" hidden="1" min="5" max="5" width="1.88"/>
    <col customWidth="1" min="6" max="20" width="4.13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Functions!E18</f>
        <v>FUNC-NOTI-001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Functions!D18</f>
        <v>Handle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26.0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-1.96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378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3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1</v>
      </c>
      <c r="M7" s="160">
        <f>COUNTIF(F39:T39,"A")</f>
        <v>2</v>
      </c>
      <c r="N7" s="160">
        <f>COUNTIF(F39:T39,"B")</f>
        <v>0</v>
      </c>
      <c r="O7" s="158">
        <f>COUNTA(F40:T40)</f>
        <v>3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383</v>
      </c>
      <c r="E11" s="179"/>
      <c r="F11" s="231" t="s">
        <v>287</v>
      </c>
      <c r="G11" s="231" t="s">
        <v>287</v>
      </c>
      <c r="H11" s="231" t="s">
        <v>287</v>
      </c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384</v>
      </c>
      <c r="C12" s="173"/>
      <c r="D12" s="174" t="s">
        <v>385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386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387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/>
      <c r="E15" s="18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/>
      <c r="E16" s="18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388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389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390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/>
      <c r="E34" s="203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/>
      <c r="E35" s="203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135</v>
      </c>
      <c r="H39" s="251" t="s">
        <v>35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57.0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34.5"/>
    <col customWidth="1" hidden="1" min="5" max="5" width="1.88"/>
    <col customWidth="1" min="6" max="20" width="4.5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Functions!E19</f>
        <v>FUNC-NOTI-002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Functions!D19</f>
        <v>Handle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26.0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-0.96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393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2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1</v>
      </c>
      <c r="M7" s="160">
        <f>COUNTIF(F39:T39,"A")</f>
        <v>1</v>
      </c>
      <c r="N7" s="160">
        <f>COUNTIF(F39:T39,"B")</f>
        <v>0</v>
      </c>
      <c r="O7" s="158">
        <f>COUNTA(F40:T40)</f>
        <v>2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383</v>
      </c>
      <c r="E11" s="179"/>
      <c r="F11" s="231" t="s">
        <v>287</v>
      </c>
      <c r="G11" s="231" t="s">
        <v>287</v>
      </c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384</v>
      </c>
      <c r="C12" s="173"/>
      <c r="D12" s="174" t="s">
        <v>394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395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/>
      <c r="E14" s="18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/>
      <c r="E15" s="18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/>
      <c r="E16" s="18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388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396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/>
      <c r="E33" s="203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/>
      <c r="E34" s="203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/>
      <c r="E35" s="203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135</v>
      </c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53.2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6.38"/>
    <col customWidth="1" hidden="1" min="5" max="5" width="1.88"/>
    <col customWidth="1" min="6" max="20" width="4.5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Functions!E20</f>
        <v>FUNC-CONV-001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Functions!D20</f>
        <v>GetOrCreateConversationAsync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34.0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-1.64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397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3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2</v>
      </c>
      <c r="M7" s="160">
        <f>COUNTIF(F39:T39,"A")</f>
        <v>1</v>
      </c>
      <c r="N7" s="160">
        <f>COUNTIF(F39:T39,"B")</f>
        <v>0</v>
      </c>
      <c r="O7" s="158">
        <f>COUNTA(F40:T40)</f>
        <v>3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398</v>
      </c>
      <c r="E11" s="179"/>
      <c r="F11" s="231" t="s">
        <v>287</v>
      </c>
      <c r="G11" s="231" t="s">
        <v>287</v>
      </c>
      <c r="H11" s="231" t="s">
        <v>287</v>
      </c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399</v>
      </c>
      <c r="C12" s="173"/>
      <c r="D12" s="174" t="s">
        <v>400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401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402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/>
      <c r="E15" s="18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/>
      <c r="E16" s="18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403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404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405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/>
      <c r="E34" s="203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/>
      <c r="E35" s="203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135</v>
      </c>
      <c r="G39" s="251" t="s">
        <v>135</v>
      </c>
      <c r="H39" s="251" t="s">
        <v>35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56.2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4.75"/>
    <col customWidth="1" hidden="1" min="5" max="5" width="1.88"/>
    <col customWidth="1" min="6" max="20" width="3.88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Functions!E21</f>
        <v>FUNC-CONV-002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Functions!D21</f>
        <v>GetConversationsByUserIdAsync / GetConversationByParticipantsAsync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59.0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-0.64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406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3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1</v>
      </c>
      <c r="M7" s="160">
        <f>COUNTIF(F39:T39,"A")</f>
        <v>2</v>
      </c>
      <c r="N7" s="160">
        <f>COUNTIF(F39:T39,"B")</f>
        <v>0</v>
      </c>
      <c r="O7" s="158">
        <f>COUNTA(F40:T40)</f>
        <v>3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407</v>
      </c>
      <c r="E11" s="179"/>
      <c r="F11" s="231" t="s">
        <v>287</v>
      </c>
      <c r="G11" s="231" t="s">
        <v>287</v>
      </c>
      <c r="H11" s="231" t="s">
        <v>287</v>
      </c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408</v>
      </c>
      <c r="C12" s="173"/>
      <c r="D12" s="174" t="s">
        <v>409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410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411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/>
      <c r="E15" s="18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/>
      <c r="E16" s="18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412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413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414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/>
      <c r="E34" s="203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/>
      <c r="E35" s="203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135</v>
      </c>
      <c r="G39" s="251" t="s">
        <v>35</v>
      </c>
      <c r="H39" s="251" t="s">
        <v>35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54.0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2.0"/>
    <col customWidth="1" hidden="1" min="5" max="5" width="1.88"/>
    <col customWidth="1" min="6" max="20" width="4.38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Functions!E22</f>
        <v>FUNC-DASH-001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Functions!D22</f>
        <v>GetDashboardStatsAsync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57.0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0.28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415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2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1</v>
      </c>
      <c r="M7" s="160">
        <f>COUNTIF(F39:T39,"A")</f>
        <v>1</v>
      </c>
      <c r="N7" s="160">
        <f>COUNTIF(F39:T39,"B")</f>
        <v>0</v>
      </c>
      <c r="O7" s="158">
        <f>COUNTA(F40:T40)</f>
        <v>2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416</v>
      </c>
      <c r="E11" s="179"/>
      <c r="F11" s="231" t="s">
        <v>287</v>
      </c>
      <c r="G11" s="231" t="s">
        <v>287</v>
      </c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417</v>
      </c>
      <c r="C12" s="173"/>
      <c r="D12" s="174" t="s">
        <v>418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419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/>
      <c r="E14" s="18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/>
      <c r="E15" s="18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/>
      <c r="E16" s="18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432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434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/>
      <c r="E33" s="203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/>
      <c r="E34" s="203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/>
      <c r="E35" s="203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135</v>
      </c>
      <c r="G39" s="251" t="s">
        <v>35</v>
      </c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51.7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42.88"/>
    <col customWidth="1" hidden="1" min="5" max="5" width="1.88"/>
    <col customWidth="1" min="6" max="20" width="3.88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Functions!E23</f>
        <v>FUNC-DASH-002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Functions!D23</f>
        <v>GetListingOverviewAsync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111.0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1.44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421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2</v>
      </c>
      <c r="B7" s="157"/>
      <c r="C7" s="158">
        <f>COUNTIF(F40:T40,"F")</f>
        <v>1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1</v>
      </c>
      <c r="M7" s="160">
        <f>COUNTIF(F39:T39,"A")</f>
        <v>2</v>
      </c>
      <c r="N7" s="160">
        <f>COUNTIF(F39:T39,"B")</f>
        <v>0</v>
      </c>
      <c r="O7" s="158">
        <f>COUNTA(F40:T40)</f>
        <v>3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427</v>
      </c>
      <c r="E11" s="179"/>
      <c r="F11" s="231" t="s">
        <v>287</v>
      </c>
      <c r="G11" s="231" t="s">
        <v>287</v>
      </c>
      <c r="H11" s="231" t="s">
        <v>287</v>
      </c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428</v>
      </c>
      <c r="C12" s="173"/>
      <c r="D12" s="174" t="s">
        <v>429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430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431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/>
      <c r="E15" s="18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/>
      <c r="E16" s="18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437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438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439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/>
      <c r="E34" s="203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/>
      <c r="E35" s="203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135</v>
      </c>
      <c r="H39" s="251" t="s">
        <v>35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440</v>
      </c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54.0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1.63"/>
    <col customWidth="1" hidden="1" min="5" max="5" width="1.88"/>
    <col customWidth="1" min="6" max="20" width="4.5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Functions!E24</f>
        <v>FUNC-SEED-001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Functions!D24</f>
        <v>SeedAdminAccountAsync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30.0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-1.8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420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3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2</v>
      </c>
      <c r="M7" s="160">
        <f>COUNTIF(F39:T39,"A")</f>
        <v>0</v>
      </c>
      <c r="N7" s="160">
        <f>COUNTIF(F39:T39,"B")</f>
        <v>1</v>
      </c>
      <c r="O7" s="158">
        <f>COUNTA(F40:T40)</f>
        <v>3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422</v>
      </c>
      <c r="E11" s="179"/>
      <c r="F11" s="231" t="s">
        <v>287</v>
      </c>
      <c r="G11" s="231" t="s">
        <v>287</v>
      </c>
      <c r="H11" s="231" t="s">
        <v>287</v>
      </c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423</v>
      </c>
      <c r="C12" s="173"/>
      <c r="D12" s="174" t="s">
        <v>424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425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426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/>
      <c r="E15" s="18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/>
      <c r="E16" s="18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433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435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436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/>
      <c r="E34" s="203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/>
      <c r="E35" s="203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137</v>
      </c>
      <c r="G39" s="251" t="s">
        <v>135</v>
      </c>
      <c r="H39" s="251" t="s">
        <v>135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70.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4" width="39.25"/>
    <col customWidth="1" hidden="1" min="5" max="5" width="1.88"/>
    <col customWidth="1" min="6" max="20" width="4.25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Functions!E25</f>
        <v>FUNC-CONTRACT-001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Functions!D25</f>
        <v>CreateContractAsync / UpdateContractAsync / DeleteContractAsync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105.0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-4.8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441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8</v>
      </c>
      <c r="B7" s="157"/>
      <c r="C7" s="158">
        <f>COUNTIF(F40:T40,"F")</f>
        <v>1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3</v>
      </c>
      <c r="M7" s="160">
        <f>COUNTIF(F39:T39,"A")</f>
        <v>5</v>
      </c>
      <c r="N7" s="160">
        <f>COUNTIF(F39:T39,"B")</f>
        <v>1</v>
      </c>
      <c r="O7" s="158">
        <f>COUNTA(F40:T40)</f>
        <v>9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442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 t="s">
        <v>287</v>
      </c>
      <c r="M11" s="231" t="s">
        <v>287</v>
      </c>
      <c r="N11" s="231" t="s">
        <v>287</v>
      </c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443</v>
      </c>
      <c r="C12" s="173"/>
      <c r="D12" s="174" t="s">
        <v>444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445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446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447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448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449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 t="s">
        <v>450</v>
      </c>
      <c r="E18" s="181"/>
      <c r="F18" s="231"/>
      <c r="G18" s="231"/>
      <c r="H18" s="231"/>
      <c r="I18" s="231"/>
      <c r="J18" s="231"/>
      <c r="K18" s="231"/>
      <c r="L18" s="231" t="s">
        <v>287</v>
      </c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 t="s">
        <v>451</v>
      </c>
      <c r="F19" s="231"/>
      <c r="G19" s="231"/>
      <c r="H19" s="231"/>
      <c r="I19" s="231"/>
      <c r="J19" s="231"/>
      <c r="K19" s="231"/>
      <c r="L19" s="231"/>
      <c r="M19" s="231" t="s">
        <v>287</v>
      </c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 t="s">
        <v>452</v>
      </c>
      <c r="E20" s="181"/>
      <c r="F20" s="231"/>
      <c r="G20" s="231"/>
      <c r="H20" s="231"/>
      <c r="I20" s="231"/>
      <c r="J20" s="231"/>
      <c r="K20" s="231"/>
      <c r="L20" s="231"/>
      <c r="M20" s="231"/>
      <c r="N20" s="231" t="s">
        <v>287</v>
      </c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454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455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456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457</v>
      </c>
      <c r="E34" s="203"/>
      <c r="F34" s="231"/>
      <c r="G34" s="231"/>
      <c r="H34" s="231"/>
      <c r="I34" s="231" t="s">
        <v>287</v>
      </c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458</v>
      </c>
      <c r="E35" s="203"/>
      <c r="F35" s="231"/>
      <c r="G35" s="231"/>
      <c r="H35" s="231"/>
      <c r="I35" s="231"/>
      <c r="J35" s="231" t="s">
        <v>287</v>
      </c>
      <c r="K35" s="231"/>
      <c r="L35" s="231"/>
      <c r="M35" s="231" t="s">
        <v>287</v>
      </c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 t="s">
        <v>460</v>
      </c>
      <c r="E36" s="203"/>
      <c r="F36" s="231"/>
      <c r="G36" s="231"/>
      <c r="H36" s="231"/>
      <c r="I36" s="231"/>
      <c r="J36" s="231"/>
      <c r="K36" s="231" t="s">
        <v>287</v>
      </c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 t="s">
        <v>461</v>
      </c>
      <c r="E37" s="203"/>
      <c r="F37" s="231"/>
      <c r="G37" s="231"/>
      <c r="H37" s="231"/>
      <c r="I37" s="231"/>
      <c r="J37" s="231"/>
      <c r="K37" s="231"/>
      <c r="L37" s="231" t="s">
        <v>287</v>
      </c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 t="s">
        <v>463</v>
      </c>
      <c r="E38" s="207"/>
      <c r="F38" s="249"/>
      <c r="G38" s="249"/>
      <c r="H38" s="249"/>
      <c r="I38" s="249"/>
      <c r="J38" s="249"/>
      <c r="K38" s="249"/>
      <c r="L38" s="249"/>
      <c r="M38" s="249"/>
      <c r="N38" s="249" t="s">
        <v>287</v>
      </c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135</v>
      </c>
      <c r="H39" s="251" t="s">
        <v>35</v>
      </c>
      <c r="I39" s="251" t="s">
        <v>135</v>
      </c>
      <c r="J39" s="251" t="s">
        <v>35</v>
      </c>
      <c r="K39" s="251" t="s">
        <v>135</v>
      </c>
      <c r="L39" s="251" t="s">
        <v>35</v>
      </c>
      <c r="M39" s="251" t="s">
        <v>35</v>
      </c>
      <c r="N39" s="251" t="s">
        <v>137</v>
      </c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 t="s">
        <v>326</v>
      </c>
      <c r="M40" s="253" t="s">
        <v>326</v>
      </c>
      <c r="N40" s="253" t="s">
        <v>440</v>
      </c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50.2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>
        <v>46260.0</v>
      </c>
      <c r="M41" s="236">
        <v>46260.0</v>
      </c>
      <c r="N41" s="236">
        <v>46260.0</v>
      </c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36.5"/>
    <col customWidth="1" hidden="1" min="5" max="5" width="1.88"/>
    <col customWidth="1" min="6" max="20" width="4.25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Functions!E25</f>
        <v>FUNC-CONTRACT-001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Functions!D25</f>
        <v>CreateContractAsync / UpdateContractAsync / DeleteContractAsync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104.0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-6.84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453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10</v>
      </c>
      <c r="B7" s="157"/>
      <c r="C7" s="158">
        <f>COUNTIF(F40:T40,"F")</f>
        <v>1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3</v>
      </c>
      <c r="M7" s="160">
        <f>COUNTIF(F39:T39,"A")</f>
        <v>6</v>
      </c>
      <c r="N7" s="160">
        <f>COUNTIF(F39:T39,"B")</f>
        <v>2</v>
      </c>
      <c r="O7" s="158">
        <f>COUNTA(F40:T40)</f>
        <v>11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459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 t="s">
        <v>287</v>
      </c>
      <c r="M11" s="231" t="s">
        <v>287</v>
      </c>
      <c r="N11" s="231" t="s">
        <v>287</v>
      </c>
      <c r="O11" s="231" t="s">
        <v>287</v>
      </c>
      <c r="P11" s="231" t="s">
        <v>287</v>
      </c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443</v>
      </c>
      <c r="C12" s="173"/>
      <c r="D12" s="174" t="s">
        <v>462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464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465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466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467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468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 t="s">
        <v>469</v>
      </c>
      <c r="E18" s="181"/>
      <c r="F18" s="231"/>
      <c r="G18" s="231"/>
      <c r="H18" s="231"/>
      <c r="I18" s="231"/>
      <c r="J18" s="231"/>
      <c r="K18" s="231"/>
      <c r="L18" s="231" t="s">
        <v>287</v>
      </c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 t="s">
        <v>470</v>
      </c>
      <c r="F19" s="231"/>
      <c r="G19" s="231"/>
      <c r="H19" s="231"/>
      <c r="I19" s="231"/>
      <c r="J19" s="231"/>
      <c r="K19" s="231"/>
      <c r="L19" s="231"/>
      <c r="M19" s="231" t="s">
        <v>287</v>
      </c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 t="s">
        <v>471</v>
      </c>
      <c r="E20" s="181"/>
      <c r="F20" s="231"/>
      <c r="G20" s="231"/>
      <c r="H20" s="231"/>
      <c r="I20" s="231"/>
      <c r="J20" s="231"/>
      <c r="K20" s="231"/>
      <c r="L20" s="231"/>
      <c r="M20" s="231"/>
      <c r="N20" s="231" t="s">
        <v>287</v>
      </c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 t="s">
        <v>472</v>
      </c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 t="s">
        <v>287</v>
      </c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 t="s">
        <v>473</v>
      </c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 t="s">
        <v>287</v>
      </c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476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479</v>
      </c>
      <c r="E32" s="200"/>
      <c r="F32" s="231"/>
      <c r="G32" s="231" t="s">
        <v>287</v>
      </c>
      <c r="H32" s="231"/>
      <c r="I32" s="231" t="s">
        <v>287</v>
      </c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481</v>
      </c>
      <c r="E33" s="203"/>
      <c r="F33" s="231"/>
      <c r="G33" s="231"/>
      <c r="H33" s="231" t="s">
        <v>287</v>
      </c>
      <c r="I33" s="231"/>
      <c r="J33" s="231"/>
      <c r="K33" s="231"/>
      <c r="L33" s="231" t="s">
        <v>287</v>
      </c>
      <c r="M33" s="231"/>
      <c r="N33" s="231"/>
      <c r="O33" s="231" t="s">
        <v>287</v>
      </c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483</v>
      </c>
      <c r="E34" s="203"/>
      <c r="F34" s="231"/>
      <c r="G34" s="231"/>
      <c r="H34" s="231"/>
      <c r="I34" s="231"/>
      <c r="J34" s="231" t="s">
        <v>287</v>
      </c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485</v>
      </c>
      <c r="E35" s="203"/>
      <c r="F35" s="231"/>
      <c r="G35" s="231"/>
      <c r="H35" s="231"/>
      <c r="I35" s="231"/>
      <c r="J35" s="231"/>
      <c r="K35" s="231" t="s">
        <v>287</v>
      </c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 t="s">
        <v>487</v>
      </c>
      <c r="E36" s="203"/>
      <c r="F36" s="231"/>
      <c r="G36" s="231"/>
      <c r="H36" s="231"/>
      <c r="I36" s="231"/>
      <c r="J36" s="231"/>
      <c r="K36" s="231"/>
      <c r="L36" s="231"/>
      <c r="M36" s="231" t="s">
        <v>287</v>
      </c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 t="s">
        <v>489</v>
      </c>
      <c r="E37" s="203"/>
      <c r="F37" s="231"/>
      <c r="G37" s="231"/>
      <c r="H37" s="231"/>
      <c r="I37" s="231"/>
      <c r="J37" s="231"/>
      <c r="K37" s="231"/>
      <c r="L37" s="231"/>
      <c r="M37" s="231"/>
      <c r="N37" s="231" t="s">
        <v>287</v>
      </c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 t="s">
        <v>491</v>
      </c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 t="s">
        <v>287</v>
      </c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135</v>
      </c>
      <c r="G39" s="251" t="s">
        <v>35</v>
      </c>
      <c r="H39" s="251" t="s">
        <v>35</v>
      </c>
      <c r="I39" s="251" t="s">
        <v>35</v>
      </c>
      <c r="J39" s="251" t="s">
        <v>135</v>
      </c>
      <c r="K39" s="251" t="s">
        <v>35</v>
      </c>
      <c r="L39" s="251" t="s">
        <v>35</v>
      </c>
      <c r="M39" s="251" t="s">
        <v>137</v>
      </c>
      <c r="N39" s="251" t="s">
        <v>135</v>
      </c>
      <c r="O39" s="251" t="s">
        <v>35</v>
      </c>
      <c r="P39" s="251" t="s">
        <v>137</v>
      </c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 t="s">
        <v>326</v>
      </c>
      <c r="M40" s="253" t="s">
        <v>326</v>
      </c>
      <c r="N40" s="253" t="s">
        <v>326</v>
      </c>
      <c r="O40" s="253" t="s">
        <v>326</v>
      </c>
      <c r="P40" s="253" t="s">
        <v>440</v>
      </c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56.2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>
        <v>46260.0</v>
      </c>
      <c r="M41" s="236">
        <v>46260.0</v>
      </c>
      <c r="N41" s="236">
        <v>46260.0</v>
      </c>
      <c r="O41" s="236">
        <v>46260.0</v>
      </c>
      <c r="P41" s="236">
        <v>46260.0</v>
      </c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34.0"/>
    <col customWidth="1" hidden="1" min="5" max="5" width="1.88"/>
    <col customWidth="1" min="6" max="20" width="4.0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Functions!E26</f>
        <v>FUNC-CONTRACT-002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Functions!D26</f>
        <v>StartContractSigningAsync / CancelContractSigningAsync / ContractValidateOtpAsync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152.0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-4.92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474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10</v>
      </c>
      <c r="B7" s="157"/>
      <c r="C7" s="158">
        <f>COUNTIF(F40:T40,"F")</f>
        <v>1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2</v>
      </c>
      <c r="M7" s="160">
        <f>COUNTIF(F39:T39,"A")</f>
        <v>9</v>
      </c>
      <c r="N7" s="160">
        <f>COUNTIF(F39:T39,"B")</f>
        <v>0</v>
      </c>
      <c r="O7" s="158">
        <f>COUNTA(F40:T40)</f>
        <v>11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475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 t="s">
        <v>287</v>
      </c>
      <c r="M11" s="231" t="s">
        <v>287</v>
      </c>
      <c r="N11" s="231" t="s">
        <v>287</v>
      </c>
      <c r="O11" s="231" t="s">
        <v>287</v>
      </c>
      <c r="P11" s="231" t="s">
        <v>287</v>
      </c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477</v>
      </c>
      <c r="C12" s="173"/>
      <c r="D12" s="174" t="s">
        <v>478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480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482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484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486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488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 t="s">
        <v>490</v>
      </c>
      <c r="E18" s="181"/>
      <c r="F18" s="231"/>
      <c r="G18" s="231"/>
      <c r="H18" s="231"/>
      <c r="I18" s="231"/>
      <c r="J18" s="231"/>
      <c r="K18" s="231"/>
      <c r="L18" s="231" t="s">
        <v>287</v>
      </c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 t="s">
        <v>492</v>
      </c>
      <c r="F19" s="231"/>
      <c r="G19" s="231"/>
      <c r="H19" s="231"/>
      <c r="I19" s="231"/>
      <c r="J19" s="231"/>
      <c r="K19" s="231"/>
      <c r="L19" s="231"/>
      <c r="M19" s="231" t="s">
        <v>287</v>
      </c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 t="s">
        <v>493</v>
      </c>
      <c r="E20" s="181"/>
      <c r="F20" s="231"/>
      <c r="G20" s="231"/>
      <c r="H20" s="231"/>
      <c r="I20" s="231"/>
      <c r="J20" s="231"/>
      <c r="K20" s="231"/>
      <c r="L20" s="231"/>
      <c r="M20" s="231"/>
      <c r="N20" s="231" t="s">
        <v>287</v>
      </c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 t="s">
        <v>494</v>
      </c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 t="s">
        <v>287</v>
      </c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 t="s">
        <v>495</v>
      </c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 t="s">
        <v>287</v>
      </c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496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497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 t="s">
        <v>287</v>
      </c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498</v>
      </c>
      <c r="E33" s="203"/>
      <c r="F33" s="231"/>
      <c r="G33" s="231"/>
      <c r="H33" s="231" t="s">
        <v>287</v>
      </c>
      <c r="I33" s="231" t="s">
        <v>287</v>
      </c>
      <c r="J33" s="231" t="s">
        <v>287</v>
      </c>
      <c r="K33" s="231"/>
      <c r="L33" s="231"/>
      <c r="M33" s="231"/>
      <c r="N33" s="231" t="s">
        <v>287</v>
      </c>
      <c r="O33" s="231" t="s">
        <v>287</v>
      </c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499</v>
      </c>
      <c r="E34" s="203"/>
      <c r="F34" s="231"/>
      <c r="G34" s="231"/>
      <c r="H34" s="231"/>
      <c r="I34" s="231"/>
      <c r="J34" s="231"/>
      <c r="K34" s="231" t="s">
        <v>287</v>
      </c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500</v>
      </c>
      <c r="E35" s="203"/>
      <c r="F35" s="231"/>
      <c r="G35" s="231"/>
      <c r="H35" s="231"/>
      <c r="I35" s="231"/>
      <c r="J35" s="231"/>
      <c r="K35" s="231"/>
      <c r="L35" s="231" t="s">
        <v>287</v>
      </c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 t="s">
        <v>501</v>
      </c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 t="s">
        <v>287</v>
      </c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135</v>
      </c>
      <c r="G39" s="251" t="s">
        <v>35</v>
      </c>
      <c r="H39" s="251" t="s">
        <v>35</v>
      </c>
      <c r="I39" s="251" t="s">
        <v>35</v>
      </c>
      <c r="J39" s="251" t="s">
        <v>35</v>
      </c>
      <c r="K39" s="251" t="s">
        <v>35</v>
      </c>
      <c r="L39" s="251" t="s">
        <v>135</v>
      </c>
      <c r="M39" s="251" t="s">
        <v>35</v>
      </c>
      <c r="N39" s="251" t="s">
        <v>35</v>
      </c>
      <c r="O39" s="251" t="s">
        <v>35</v>
      </c>
      <c r="P39" s="251" t="s">
        <v>35</v>
      </c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440</v>
      </c>
      <c r="K40" s="253" t="s">
        <v>326</v>
      </c>
      <c r="L40" s="253" t="s">
        <v>326</v>
      </c>
      <c r="M40" s="253" t="s">
        <v>326</v>
      </c>
      <c r="N40" s="253" t="s">
        <v>326</v>
      </c>
      <c r="O40" s="253" t="s">
        <v>326</v>
      </c>
      <c r="P40" s="253" t="s">
        <v>326</v>
      </c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64.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>
        <v>46260.0</v>
      </c>
      <c r="M41" s="236">
        <v>46260.0</v>
      </c>
      <c r="N41" s="236">
        <v>46260.0</v>
      </c>
      <c r="O41" s="236">
        <v>46260.0</v>
      </c>
      <c r="P41" s="236">
        <v>46260.0</v>
      </c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32.13"/>
    <col customWidth="1" hidden="1" min="5" max="5" width="1.88"/>
    <col customWidth="1" min="6" max="20" width="4.13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Functions!E26</f>
        <v>FUNC-CONTRACT-002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Functions!D26</f>
        <v>StartContractSigningAsync / CancelContractSigningAsync / ContractValidateOtpAsync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151.0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-2.96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502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9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4</v>
      </c>
      <c r="M7" s="160">
        <f>COUNTIF(F39:T39,"A")</f>
        <v>3</v>
      </c>
      <c r="N7" s="160">
        <f>COUNTIF(F39:T39,"B")</f>
        <v>2</v>
      </c>
      <c r="O7" s="158">
        <f>COUNTA(F40:T40)</f>
        <v>9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504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 t="s">
        <v>287</v>
      </c>
      <c r="M11" s="231" t="s">
        <v>287</v>
      </c>
      <c r="N11" s="231" t="s">
        <v>287</v>
      </c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477</v>
      </c>
      <c r="C12" s="173"/>
      <c r="D12" s="174" t="s">
        <v>505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506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507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508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509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510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 t="s">
        <v>511</v>
      </c>
      <c r="E18" s="181"/>
      <c r="F18" s="231"/>
      <c r="G18" s="231"/>
      <c r="H18" s="231"/>
      <c r="I18" s="231"/>
      <c r="J18" s="231"/>
      <c r="K18" s="231"/>
      <c r="L18" s="231" t="s">
        <v>287</v>
      </c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 t="s">
        <v>512</v>
      </c>
      <c r="F19" s="231"/>
      <c r="G19" s="231"/>
      <c r="H19" s="231"/>
      <c r="I19" s="231"/>
      <c r="J19" s="231"/>
      <c r="K19" s="231"/>
      <c r="L19" s="231"/>
      <c r="M19" s="231" t="s">
        <v>287</v>
      </c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 t="s">
        <v>513</v>
      </c>
      <c r="E20" s="181"/>
      <c r="F20" s="231"/>
      <c r="G20" s="231"/>
      <c r="H20" s="231"/>
      <c r="I20" s="231"/>
      <c r="J20" s="231"/>
      <c r="K20" s="231"/>
      <c r="L20" s="231"/>
      <c r="M20" s="231"/>
      <c r="N20" s="231" t="s">
        <v>287</v>
      </c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520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521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522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524</v>
      </c>
      <c r="E34" s="203"/>
      <c r="F34" s="231"/>
      <c r="G34" s="231"/>
      <c r="H34" s="231"/>
      <c r="I34" s="231" t="s">
        <v>287</v>
      </c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525</v>
      </c>
      <c r="E35" s="203"/>
      <c r="F35" s="231"/>
      <c r="G35" s="231"/>
      <c r="H35" s="231"/>
      <c r="I35" s="231"/>
      <c r="J35" s="231" t="s">
        <v>287</v>
      </c>
      <c r="K35" s="231"/>
      <c r="L35" s="231"/>
      <c r="M35" s="231"/>
      <c r="N35" s="231" t="s">
        <v>287</v>
      </c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 t="s">
        <v>526</v>
      </c>
      <c r="E36" s="203"/>
      <c r="F36" s="231"/>
      <c r="G36" s="231"/>
      <c r="H36" s="231"/>
      <c r="I36" s="231"/>
      <c r="J36" s="231"/>
      <c r="K36" s="231" t="s">
        <v>287</v>
      </c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 t="s">
        <v>527</v>
      </c>
      <c r="E37" s="203"/>
      <c r="F37" s="231"/>
      <c r="G37" s="231"/>
      <c r="H37" s="231"/>
      <c r="I37" s="231"/>
      <c r="J37" s="231"/>
      <c r="K37" s="231"/>
      <c r="L37" s="231" t="s">
        <v>287</v>
      </c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 t="s">
        <v>528</v>
      </c>
      <c r="E38" s="207"/>
      <c r="F38" s="249"/>
      <c r="G38" s="249"/>
      <c r="H38" s="249"/>
      <c r="I38" s="249"/>
      <c r="J38" s="249"/>
      <c r="K38" s="249"/>
      <c r="L38" s="249"/>
      <c r="M38" s="249" t="s">
        <v>287</v>
      </c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135</v>
      </c>
      <c r="G39" s="251" t="s">
        <v>135</v>
      </c>
      <c r="H39" s="251" t="s">
        <v>137</v>
      </c>
      <c r="I39" s="251" t="s">
        <v>137</v>
      </c>
      <c r="J39" s="251" t="s">
        <v>35</v>
      </c>
      <c r="K39" s="251" t="s">
        <v>135</v>
      </c>
      <c r="L39" s="251" t="s">
        <v>35</v>
      </c>
      <c r="M39" s="251" t="s">
        <v>135</v>
      </c>
      <c r="N39" s="251" t="s">
        <v>35</v>
      </c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 t="s">
        <v>326</v>
      </c>
      <c r="M40" s="253" t="s">
        <v>326</v>
      </c>
      <c r="N40" s="253" t="s">
        <v>326</v>
      </c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57.0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>
        <v>46260.0</v>
      </c>
      <c r="M41" s="236">
        <v>46260.0</v>
      </c>
      <c r="N41" s="236">
        <v>46260.0</v>
      </c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32.88"/>
    <col customWidth="1" hidden="1" min="5" max="5" width="1.88"/>
    <col customWidth="1" min="6" max="20" width="4.5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Functions!E27</f>
        <v>FUNC-CONTRACT-003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Functions!D27</f>
        <v>ShareContractAsync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70.0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-2.2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503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5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1</v>
      </c>
      <c r="M7" s="160">
        <f>COUNTIF(F39:T39,"A")</f>
        <v>4</v>
      </c>
      <c r="N7" s="160">
        <f>COUNTIF(F39:T39,"B")</f>
        <v>0</v>
      </c>
      <c r="O7" s="158">
        <f>COUNTA(F40:T40)</f>
        <v>5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514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515</v>
      </c>
      <c r="C12" s="173"/>
      <c r="D12" s="174" t="s">
        <v>516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517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518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519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523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529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530</v>
      </c>
      <c r="E32" s="200"/>
      <c r="F32" s="231"/>
      <c r="G32" s="231" t="s">
        <v>287</v>
      </c>
      <c r="H32" s="231" t="s">
        <v>287</v>
      </c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531</v>
      </c>
      <c r="E33" s="203"/>
      <c r="F33" s="231"/>
      <c r="G33" s="231"/>
      <c r="H33" s="231"/>
      <c r="I33" s="231" t="s">
        <v>287</v>
      </c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532</v>
      </c>
      <c r="E34" s="203"/>
      <c r="F34" s="231"/>
      <c r="G34" s="231"/>
      <c r="H34" s="231"/>
      <c r="I34" s="231"/>
      <c r="J34" s="231" t="s">
        <v>287</v>
      </c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/>
      <c r="E35" s="203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35</v>
      </c>
      <c r="H39" s="251" t="s">
        <v>35</v>
      </c>
      <c r="I39" s="251" t="s">
        <v>135</v>
      </c>
      <c r="J39" s="251" t="s">
        <v>35</v>
      </c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54.7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3.63"/>
    <col customWidth="1" hidden="1" min="5" max="5" width="1.88"/>
    <col customWidth="1" min="6" max="20" width="4.38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Functions!E28</f>
        <v>FUNC-CONTRACT-004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Functions!D28</f>
        <v>GetContractCalendarBySpaceAsync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97.0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1.88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533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2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1</v>
      </c>
      <c r="M7" s="160">
        <f>COUNTIF(F39:T39,"A")</f>
        <v>0</v>
      </c>
      <c r="N7" s="160">
        <f>COUNTIF(F39:T39,"B")</f>
        <v>1</v>
      </c>
      <c r="O7" s="158">
        <f>COUNTA(F40:T40)</f>
        <v>2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534</v>
      </c>
      <c r="E11" s="179"/>
      <c r="F11" s="231" t="s">
        <v>287</v>
      </c>
      <c r="G11" s="231" t="s">
        <v>287</v>
      </c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535</v>
      </c>
      <c r="C12" s="173"/>
      <c r="D12" s="174" t="s">
        <v>536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537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/>
      <c r="E14" s="18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/>
      <c r="E15" s="18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/>
      <c r="E16" s="181"/>
      <c r="F16" s="231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550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552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/>
      <c r="E33" s="203"/>
      <c r="F33" s="231"/>
      <c r="G33" s="231"/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/>
      <c r="E34" s="203"/>
      <c r="F34" s="231"/>
      <c r="G34" s="231"/>
      <c r="H34" s="231"/>
      <c r="I34" s="231"/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/>
      <c r="E35" s="203"/>
      <c r="F35" s="231"/>
      <c r="G35" s="231"/>
      <c r="H35" s="231"/>
      <c r="I35" s="231"/>
      <c r="J35" s="231"/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135</v>
      </c>
      <c r="G39" s="251" t="s">
        <v>137</v>
      </c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55.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31.0"/>
    <col customWidth="1" hidden="1" min="5" max="5" width="1.88"/>
    <col customWidth="1" min="6" max="20" width="4.75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Functions!E29</f>
        <v>FUNC-LISTING-001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Functions!D29</f>
        <v>CreateListingAsync / UpdateListingAsync / HardDeleteListingAsync / SoftDeleteListingAsync / RestoreListingAsync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108.0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-10.68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538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13</v>
      </c>
      <c r="B7" s="157"/>
      <c r="C7" s="158">
        <f>COUNTIF(F40:T40,"F")</f>
        <v>2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4</v>
      </c>
      <c r="M7" s="160">
        <f>COUNTIF(F39:T39,"A")</f>
        <v>7</v>
      </c>
      <c r="N7" s="160">
        <f>COUNTIF(F39:T39,"B")</f>
        <v>4</v>
      </c>
      <c r="O7" s="158">
        <f>COUNTA(F40:T40)</f>
        <v>15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539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 t="s">
        <v>287</v>
      </c>
      <c r="M11" s="231" t="s">
        <v>287</v>
      </c>
      <c r="N11" s="231" t="s">
        <v>287</v>
      </c>
      <c r="O11" s="231" t="s">
        <v>287</v>
      </c>
      <c r="P11" s="231" t="s">
        <v>287</v>
      </c>
      <c r="Q11" s="231" t="s">
        <v>287</v>
      </c>
      <c r="R11" s="231" t="s">
        <v>287</v>
      </c>
      <c r="S11" s="231" t="s">
        <v>287</v>
      </c>
      <c r="T11" s="234" t="s">
        <v>287</v>
      </c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540</v>
      </c>
      <c r="C12" s="173"/>
      <c r="D12" s="174" t="s">
        <v>541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542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543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544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545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546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 t="s">
        <v>547</v>
      </c>
      <c r="E18" s="181"/>
      <c r="F18" s="231"/>
      <c r="G18" s="231"/>
      <c r="H18" s="231"/>
      <c r="I18" s="231"/>
      <c r="J18" s="231"/>
      <c r="K18" s="231"/>
      <c r="L18" s="231" t="s">
        <v>287</v>
      </c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 t="s">
        <v>548</v>
      </c>
      <c r="F19" s="231"/>
      <c r="G19" s="231"/>
      <c r="H19" s="231"/>
      <c r="I19" s="231"/>
      <c r="J19" s="231"/>
      <c r="K19" s="231"/>
      <c r="L19" s="231"/>
      <c r="M19" s="231" t="s">
        <v>287</v>
      </c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 t="s">
        <v>549</v>
      </c>
      <c r="E20" s="181"/>
      <c r="F20" s="231"/>
      <c r="G20" s="231"/>
      <c r="H20" s="231"/>
      <c r="I20" s="231"/>
      <c r="J20" s="231"/>
      <c r="K20" s="231"/>
      <c r="L20" s="231"/>
      <c r="M20" s="231"/>
      <c r="N20" s="231" t="s">
        <v>287</v>
      </c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 t="s">
        <v>551</v>
      </c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 t="s">
        <v>287</v>
      </c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 t="s">
        <v>553</v>
      </c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 t="s">
        <v>287</v>
      </c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 t="s">
        <v>554</v>
      </c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 t="s">
        <v>287</v>
      </c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 t="s">
        <v>555</v>
      </c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 t="s">
        <v>287</v>
      </c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 t="s">
        <v>556</v>
      </c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 t="s">
        <v>287</v>
      </c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 t="s">
        <v>557</v>
      </c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 t="s">
        <v>287</v>
      </c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560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562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 t="s">
        <v>287</v>
      </c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565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567</v>
      </c>
      <c r="E34" s="203"/>
      <c r="F34" s="231"/>
      <c r="G34" s="231"/>
      <c r="H34" s="231"/>
      <c r="I34" s="231" t="s">
        <v>287</v>
      </c>
      <c r="J34" s="231" t="s">
        <v>287</v>
      </c>
      <c r="K34" s="231" t="s">
        <v>287</v>
      </c>
      <c r="L34" s="231" t="s">
        <v>287</v>
      </c>
      <c r="M34" s="231" t="s">
        <v>287</v>
      </c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570</v>
      </c>
      <c r="E35" s="203"/>
      <c r="F35" s="231"/>
      <c r="G35" s="231"/>
      <c r="H35" s="231"/>
      <c r="I35" s="231"/>
      <c r="J35" s="231"/>
      <c r="K35" s="231"/>
      <c r="L35" s="231"/>
      <c r="M35" s="231"/>
      <c r="N35" s="231" t="s">
        <v>287</v>
      </c>
      <c r="O35" s="231" t="s">
        <v>287</v>
      </c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 t="s">
        <v>572</v>
      </c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 t="s">
        <v>287</v>
      </c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 t="s">
        <v>575</v>
      </c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 t="s">
        <v>287</v>
      </c>
      <c r="R37" s="231"/>
      <c r="S37" s="231"/>
      <c r="T37" s="234" t="s">
        <v>287</v>
      </c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 t="s">
        <v>578</v>
      </c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 t="s">
        <v>287</v>
      </c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35</v>
      </c>
      <c r="H39" s="251" t="s">
        <v>135</v>
      </c>
      <c r="I39" s="251" t="s">
        <v>137</v>
      </c>
      <c r="J39" s="251" t="s">
        <v>35</v>
      </c>
      <c r="K39" s="251" t="s">
        <v>137</v>
      </c>
      <c r="L39" s="251" t="s">
        <v>137</v>
      </c>
      <c r="M39" s="251" t="s">
        <v>137</v>
      </c>
      <c r="N39" s="251" t="s">
        <v>135</v>
      </c>
      <c r="O39" s="251" t="s">
        <v>135</v>
      </c>
      <c r="P39" s="251" t="s">
        <v>35</v>
      </c>
      <c r="Q39" s="251" t="s">
        <v>35</v>
      </c>
      <c r="R39" s="251" t="s">
        <v>35</v>
      </c>
      <c r="S39" s="251" t="s">
        <v>135</v>
      </c>
      <c r="T39" s="252" t="s">
        <v>35</v>
      </c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 t="s">
        <v>326</v>
      </c>
      <c r="M40" s="253" t="s">
        <v>326</v>
      </c>
      <c r="N40" s="253" t="s">
        <v>326</v>
      </c>
      <c r="O40" s="253" t="s">
        <v>326</v>
      </c>
      <c r="P40" s="253" t="s">
        <v>326</v>
      </c>
      <c r="Q40" s="253" t="s">
        <v>440</v>
      </c>
      <c r="R40" s="253" t="s">
        <v>326</v>
      </c>
      <c r="S40" s="253" t="s">
        <v>326</v>
      </c>
      <c r="T40" s="254" t="s">
        <v>440</v>
      </c>
      <c r="U40" s="126"/>
      <c r="V40" s="126"/>
      <c r="W40" s="126"/>
      <c r="X40" s="126"/>
      <c r="Y40" s="126"/>
      <c r="Z40" s="126"/>
    </row>
    <row r="41" ht="75.0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>
        <v>46260.0</v>
      </c>
      <c r="M41" s="236">
        <v>46260.0</v>
      </c>
      <c r="N41" s="236">
        <v>46260.0</v>
      </c>
      <c r="O41" s="236">
        <v>46260.0</v>
      </c>
      <c r="P41" s="236">
        <v>46260.0</v>
      </c>
      <c r="Q41" s="236">
        <v>46260.0</v>
      </c>
      <c r="R41" s="236">
        <v>46260.0</v>
      </c>
      <c r="S41" s="236">
        <v>46260.0</v>
      </c>
      <c r="T41" s="237">
        <v>46260.0</v>
      </c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30.63"/>
    <col customWidth="1" hidden="1" min="5" max="5" width="1.88"/>
    <col customWidth="1" min="6" max="20" width="4.5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Functions!E29</f>
        <v>FUNC-LISTING-001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Functions!D29</f>
        <v>CreateListingAsync / UpdateListingAsync / HardDeleteListingAsync / SoftDeleteListingAsync / RestoreListingAsync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107.0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-9.72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558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12</v>
      </c>
      <c r="B7" s="157"/>
      <c r="C7" s="158">
        <f>COUNTIF(F40:T40,"F")</f>
        <v>2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6</v>
      </c>
      <c r="M7" s="160">
        <f>COUNTIF(F39:T39,"A")</f>
        <v>7</v>
      </c>
      <c r="N7" s="160">
        <f>COUNTIF(F39:T39,"B")</f>
        <v>1</v>
      </c>
      <c r="O7" s="158">
        <f>COUNTA(F40:T40)</f>
        <v>14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559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 t="s">
        <v>287</v>
      </c>
      <c r="M11" s="231" t="s">
        <v>287</v>
      </c>
      <c r="N11" s="231" t="s">
        <v>287</v>
      </c>
      <c r="O11" s="231" t="s">
        <v>287</v>
      </c>
      <c r="P11" s="231" t="s">
        <v>287</v>
      </c>
      <c r="Q11" s="231" t="s">
        <v>287</v>
      </c>
      <c r="R11" s="231" t="s">
        <v>287</v>
      </c>
      <c r="S11" s="231" t="s">
        <v>287</v>
      </c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540</v>
      </c>
      <c r="C12" s="173"/>
      <c r="D12" s="174" t="s">
        <v>561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563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564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566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568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569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 t="s">
        <v>571</v>
      </c>
      <c r="E18" s="181"/>
      <c r="F18" s="231"/>
      <c r="G18" s="231"/>
      <c r="H18" s="231"/>
      <c r="I18" s="231"/>
      <c r="J18" s="231"/>
      <c r="K18" s="231"/>
      <c r="L18" s="231" t="s">
        <v>287</v>
      </c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 t="s">
        <v>573</v>
      </c>
      <c r="F19" s="231"/>
      <c r="G19" s="231"/>
      <c r="H19" s="231"/>
      <c r="I19" s="231"/>
      <c r="J19" s="231"/>
      <c r="K19" s="231"/>
      <c r="L19" s="231"/>
      <c r="M19" s="231" t="s">
        <v>287</v>
      </c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 t="s">
        <v>574</v>
      </c>
      <c r="E20" s="181"/>
      <c r="F20" s="231"/>
      <c r="G20" s="231"/>
      <c r="H20" s="231"/>
      <c r="I20" s="231"/>
      <c r="J20" s="231"/>
      <c r="K20" s="231"/>
      <c r="L20" s="231"/>
      <c r="M20" s="231"/>
      <c r="N20" s="231" t="s">
        <v>287</v>
      </c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 t="s">
        <v>576</v>
      </c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 t="s">
        <v>287</v>
      </c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 t="s">
        <v>577</v>
      </c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 t="s">
        <v>287</v>
      </c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 t="s">
        <v>579</v>
      </c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 t="s">
        <v>287</v>
      </c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 t="s">
        <v>580</v>
      </c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 t="s">
        <v>287</v>
      </c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 t="s">
        <v>581</v>
      </c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 t="s">
        <v>287</v>
      </c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582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583</v>
      </c>
      <c r="E32" s="200"/>
      <c r="F32" s="231"/>
      <c r="G32" s="231" t="s">
        <v>287</v>
      </c>
      <c r="H32" s="231" t="s">
        <v>287</v>
      </c>
      <c r="I32" s="231"/>
      <c r="J32" s="231"/>
      <c r="K32" s="231"/>
      <c r="L32" s="231"/>
      <c r="M32" s="231"/>
      <c r="N32" s="231"/>
      <c r="O32" s="231" t="s">
        <v>287</v>
      </c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584</v>
      </c>
      <c r="E33" s="203"/>
      <c r="F33" s="231"/>
      <c r="G33" s="231"/>
      <c r="H33" s="231"/>
      <c r="I33" s="231" t="s">
        <v>287</v>
      </c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585</v>
      </c>
      <c r="E34" s="203"/>
      <c r="F34" s="231"/>
      <c r="G34" s="231"/>
      <c r="H34" s="231"/>
      <c r="I34" s="231"/>
      <c r="J34" s="231" t="s">
        <v>287</v>
      </c>
      <c r="K34" s="231"/>
      <c r="L34" s="231" t="s">
        <v>287</v>
      </c>
      <c r="M34" s="231"/>
      <c r="N34" s="231"/>
      <c r="O34" s="231"/>
      <c r="P34" s="231"/>
      <c r="Q34" s="231" t="s">
        <v>287</v>
      </c>
      <c r="R34" s="231"/>
      <c r="S34" s="231" t="s">
        <v>287</v>
      </c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586</v>
      </c>
      <c r="E35" s="203"/>
      <c r="F35" s="231"/>
      <c r="G35" s="231"/>
      <c r="H35" s="231"/>
      <c r="I35" s="231"/>
      <c r="J35" s="231"/>
      <c r="K35" s="231" t="s">
        <v>287</v>
      </c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 t="s">
        <v>587</v>
      </c>
      <c r="E36" s="203"/>
      <c r="F36" s="231"/>
      <c r="G36" s="231"/>
      <c r="H36" s="231"/>
      <c r="I36" s="231"/>
      <c r="J36" s="231"/>
      <c r="K36" s="231"/>
      <c r="L36" s="231"/>
      <c r="M36" s="231" t="s">
        <v>287</v>
      </c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 t="s">
        <v>588</v>
      </c>
      <c r="E37" s="203"/>
      <c r="F37" s="231"/>
      <c r="G37" s="231"/>
      <c r="H37" s="231"/>
      <c r="I37" s="231"/>
      <c r="J37" s="231"/>
      <c r="K37" s="231"/>
      <c r="L37" s="231"/>
      <c r="M37" s="231"/>
      <c r="N37" s="231" t="s">
        <v>287</v>
      </c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 t="s">
        <v>589</v>
      </c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 t="s">
        <v>287</v>
      </c>
      <c r="Q38" s="249"/>
      <c r="R38" s="249" t="s">
        <v>287</v>
      </c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135</v>
      </c>
      <c r="G39" s="251" t="s">
        <v>35</v>
      </c>
      <c r="H39" s="251" t="s">
        <v>35</v>
      </c>
      <c r="I39" s="251" t="s">
        <v>135</v>
      </c>
      <c r="J39" s="251" t="s">
        <v>35</v>
      </c>
      <c r="K39" s="251" t="s">
        <v>135</v>
      </c>
      <c r="L39" s="251" t="s">
        <v>35</v>
      </c>
      <c r="M39" s="251" t="s">
        <v>135</v>
      </c>
      <c r="N39" s="251" t="s">
        <v>135</v>
      </c>
      <c r="O39" s="251" t="s">
        <v>35</v>
      </c>
      <c r="P39" s="251" t="s">
        <v>135</v>
      </c>
      <c r="Q39" s="251" t="s">
        <v>35</v>
      </c>
      <c r="R39" s="251" t="s">
        <v>137</v>
      </c>
      <c r="S39" s="251" t="s">
        <v>35</v>
      </c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440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 t="s">
        <v>326</v>
      </c>
      <c r="M40" s="253" t="s">
        <v>326</v>
      </c>
      <c r="N40" s="253" t="s">
        <v>326</v>
      </c>
      <c r="O40" s="253" t="s">
        <v>326</v>
      </c>
      <c r="P40" s="253" t="s">
        <v>326</v>
      </c>
      <c r="Q40" s="253" t="s">
        <v>326</v>
      </c>
      <c r="R40" s="253" t="s">
        <v>326</v>
      </c>
      <c r="S40" s="253" t="s">
        <v>440</v>
      </c>
      <c r="T40" s="254"/>
      <c r="U40" s="126"/>
      <c r="V40" s="126"/>
      <c r="W40" s="126"/>
      <c r="X40" s="126"/>
      <c r="Y40" s="126"/>
      <c r="Z40" s="126"/>
    </row>
    <row r="41" ht="66.0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>
        <v>46260.0</v>
      </c>
      <c r="M41" s="236">
        <v>46260.0</v>
      </c>
      <c r="N41" s="236">
        <v>46260.0</v>
      </c>
      <c r="O41" s="236">
        <v>46260.0</v>
      </c>
      <c r="P41" s="236">
        <v>46260.0</v>
      </c>
      <c r="Q41" s="236">
        <v>46260.0</v>
      </c>
      <c r="R41" s="236">
        <v>46260.0</v>
      </c>
      <c r="S41" s="236">
        <v>46260.0</v>
      </c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2.13"/>
    <col customWidth="1" hidden="1" min="5" max="5" width="1.88"/>
    <col customWidth="1" min="6" max="14" width="5.63"/>
    <col customWidth="1" min="15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Functions!E30</f>
        <v>FUNC-LISTING-002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Functions!D30</f>
        <v>GetListingByIdAsync / GetAllListingsAsync / GetListingsByCurrentUserAsync / GetListingsByUserIdAsync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189.0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-1.44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590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COUNTIF(F40:N40,"P")</f>
        <v>9</v>
      </c>
      <c r="B7" s="157"/>
      <c r="C7" s="158">
        <f>COUNTIF(F40:N40,"F")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COUNTIF(F39:N39,"N")</f>
        <v>3</v>
      </c>
      <c r="M7" s="160">
        <f>COUNTIF(F39:N39,"A")</f>
        <v>4</v>
      </c>
      <c r="N7" s="160">
        <f>COUNTIF(F39:N39,"B")</f>
        <v>2</v>
      </c>
      <c r="O7" s="158">
        <f>COUNTA(F40:N40)</f>
        <v>9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170"/>
      <c r="P9" s="138"/>
      <c r="Q9" s="126"/>
      <c r="R9" s="126"/>
      <c r="S9" s="126"/>
      <c r="T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126"/>
      <c r="P10" s="126"/>
      <c r="Q10" s="126"/>
      <c r="R10" s="126"/>
      <c r="S10" s="126"/>
      <c r="T10" s="126"/>
    </row>
    <row r="11" ht="13.5" customHeight="1">
      <c r="A11" s="178"/>
      <c r="B11" s="172"/>
      <c r="C11" s="173"/>
      <c r="D11" s="174" t="s">
        <v>592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 t="s">
        <v>287</v>
      </c>
      <c r="M11" s="231" t="s">
        <v>287</v>
      </c>
      <c r="N11" s="231" t="s">
        <v>287</v>
      </c>
      <c r="O11" s="126"/>
      <c r="P11" s="138"/>
      <c r="Q11" s="126"/>
      <c r="R11" s="126"/>
      <c r="S11" s="126"/>
      <c r="T11" s="126"/>
    </row>
    <row r="12" ht="13.5" customHeight="1">
      <c r="A12" s="178"/>
      <c r="B12" s="172" t="s">
        <v>593</v>
      </c>
      <c r="C12" s="173"/>
      <c r="D12" s="174" t="s">
        <v>594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126"/>
      <c r="P12" s="126"/>
      <c r="Q12" s="126"/>
      <c r="R12" s="126"/>
      <c r="S12" s="126"/>
      <c r="T12" s="126"/>
    </row>
    <row r="13" ht="13.5" customHeight="1">
      <c r="A13" s="178"/>
      <c r="B13" s="172"/>
      <c r="C13" s="173"/>
      <c r="D13" s="174" t="s">
        <v>595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126"/>
      <c r="P13" s="126"/>
      <c r="Q13" s="126"/>
      <c r="R13" s="126"/>
      <c r="S13" s="126"/>
      <c r="T13" s="126"/>
    </row>
    <row r="14" ht="13.5" customHeight="1">
      <c r="A14" s="178"/>
      <c r="B14" s="172"/>
      <c r="C14" s="173"/>
      <c r="D14" s="174" t="s">
        <v>596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126"/>
      <c r="P14" s="126"/>
      <c r="Q14" s="126"/>
      <c r="R14" s="126"/>
      <c r="S14" s="126"/>
      <c r="T14" s="126"/>
    </row>
    <row r="15" ht="13.5" customHeight="1">
      <c r="A15" s="178"/>
      <c r="B15" s="172"/>
      <c r="C15" s="173"/>
      <c r="D15" s="174" t="s">
        <v>598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126"/>
      <c r="P15" s="126"/>
      <c r="Q15" s="126"/>
      <c r="R15" s="126"/>
      <c r="S15" s="126"/>
      <c r="T15" s="126"/>
    </row>
    <row r="16" ht="13.5" customHeight="1">
      <c r="A16" s="178"/>
      <c r="B16" s="172"/>
      <c r="C16" s="173"/>
      <c r="D16" s="174" t="s">
        <v>600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126"/>
      <c r="P16" s="126"/>
      <c r="Q16" s="126"/>
      <c r="R16" s="126"/>
      <c r="S16" s="126"/>
      <c r="T16" s="126"/>
    </row>
    <row r="17" ht="13.5" customHeight="1">
      <c r="A17" s="178"/>
      <c r="B17" s="172"/>
      <c r="C17" s="173"/>
      <c r="D17" s="174" t="s">
        <v>602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45"/>
      <c r="P17" s="126"/>
      <c r="Q17" s="126"/>
      <c r="R17" s="126"/>
      <c r="S17" s="126"/>
      <c r="T17" s="126"/>
    </row>
    <row r="18" ht="13.5" customHeight="1">
      <c r="A18" s="178"/>
      <c r="B18" s="172"/>
      <c r="C18" s="173"/>
      <c r="D18" s="174" t="s">
        <v>604</v>
      </c>
      <c r="E18" s="181"/>
      <c r="F18" s="231"/>
      <c r="G18" s="231"/>
      <c r="H18" s="231"/>
      <c r="I18" s="231"/>
      <c r="J18" s="231"/>
      <c r="K18" s="231"/>
      <c r="L18" s="231" t="s">
        <v>287</v>
      </c>
      <c r="M18" s="231"/>
      <c r="N18" s="231"/>
      <c r="O18" s="245"/>
      <c r="P18" s="126"/>
      <c r="Q18" s="126"/>
      <c r="R18" s="126"/>
      <c r="S18" s="126"/>
      <c r="T18" s="126"/>
    </row>
    <row r="19" ht="13.5" customHeight="1">
      <c r="A19" s="178"/>
      <c r="B19" s="172"/>
      <c r="C19" s="173"/>
      <c r="D19" s="127" t="s">
        <v>606</v>
      </c>
      <c r="F19" s="231"/>
      <c r="G19" s="231"/>
      <c r="H19" s="231"/>
      <c r="I19" s="231"/>
      <c r="J19" s="231"/>
      <c r="K19" s="231"/>
      <c r="L19" s="231"/>
      <c r="M19" s="231" t="s">
        <v>287</v>
      </c>
      <c r="N19" s="231"/>
      <c r="O19" s="126"/>
      <c r="P19" s="126"/>
      <c r="Q19" s="126"/>
      <c r="R19" s="126"/>
      <c r="S19" s="126"/>
      <c r="T19" s="126"/>
    </row>
    <row r="20" ht="13.5" customHeight="1">
      <c r="A20" s="178"/>
      <c r="B20" s="172"/>
      <c r="C20" s="173"/>
      <c r="D20" s="174" t="s">
        <v>608</v>
      </c>
      <c r="E20" s="181"/>
      <c r="F20" s="231"/>
      <c r="G20" s="231"/>
      <c r="H20" s="231"/>
      <c r="I20" s="231"/>
      <c r="J20" s="231"/>
      <c r="K20" s="231"/>
      <c r="L20" s="231"/>
      <c r="M20" s="231"/>
      <c r="N20" s="231" t="s">
        <v>287</v>
      </c>
      <c r="O20" s="126"/>
      <c r="P20" s="126"/>
      <c r="Q20" s="126"/>
      <c r="R20" s="126"/>
      <c r="S20" s="126"/>
      <c r="T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126"/>
      <c r="P21" s="126"/>
      <c r="Q21" s="126"/>
      <c r="R21" s="126"/>
      <c r="S21" s="126"/>
      <c r="T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126"/>
      <c r="P22" s="126"/>
      <c r="Q22" s="126"/>
      <c r="R22" s="126"/>
      <c r="S22" s="126"/>
      <c r="T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126"/>
      <c r="P23" s="126"/>
      <c r="Q23" s="126"/>
      <c r="R23" s="126"/>
      <c r="S23" s="126"/>
      <c r="T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126"/>
      <c r="P24" s="126"/>
      <c r="Q24" s="126"/>
      <c r="R24" s="126"/>
      <c r="S24" s="126"/>
      <c r="T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126"/>
      <c r="P25" s="126"/>
      <c r="Q25" s="126"/>
      <c r="R25" s="126"/>
      <c r="S25" s="126"/>
      <c r="T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126"/>
      <c r="P26" s="126"/>
      <c r="Q26" s="126"/>
      <c r="R26" s="126"/>
      <c r="S26" s="126"/>
      <c r="T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126"/>
      <c r="P27" s="126"/>
      <c r="Q27" s="126"/>
      <c r="R27" s="126"/>
      <c r="S27" s="126"/>
      <c r="T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126"/>
      <c r="P28" s="126"/>
      <c r="Q28" s="126"/>
      <c r="R28" s="126"/>
      <c r="S28" s="126"/>
      <c r="T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126"/>
      <c r="P29" s="126"/>
      <c r="Q29" s="126"/>
      <c r="R29" s="126"/>
      <c r="S29" s="126"/>
      <c r="T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126"/>
      <c r="P30" s="126"/>
      <c r="Q30" s="126"/>
      <c r="R30" s="126"/>
      <c r="S30" s="126"/>
      <c r="T30" s="126"/>
    </row>
    <row r="31" ht="13.5" customHeight="1">
      <c r="A31" s="189" t="s">
        <v>290</v>
      </c>
      <c r="B31" s="190" t="s">
        <v>291</v>
      </c>
      <c r="C31" s="191"/>
      <c r="D31" s="192" t="s">
        <v>618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126"/>
      <c r="P31" s="126"/>
      <c r="Q31" s="126"/>
      <c r="R31" s="126"/>
      <c r="S31" s="126"/>
      <c r="T31" s="126"/>
    </row>
    <row r="32" ht="13.5" customHeight="1">
      <c r="A32" s="196"/>
      <c r="B32" s="201"/>
      <c r="C32" s="198"/>
      <c r="D32" s="199" t="s">
        <v>620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126"/>
      <c r="P32" s="126"/>
      <c r="Q32" s="126"/>
      <c r="R32" s="126"/>
      <c r="S32" s="126"/>
      <c r="T32" s="126"/>
    </row>
    <row r="33" ht="13.5" customHeight="1">
      <c r="A33" s="196"/>
      <c r="B33" s="201"/>
      <c r="C33" s="248"/>
      <c r="D33" s="199" t="s">
        <v>622</v>
      </c>
      <c r="E33" s="203"/>
      <c r="F33" s="231"/>
      <c r="G33" s="231"/>
      <c r="H33" s="231" t="s">
        <v>287</v>
      </c>
      <c r="I33" s="231"/>
      <c r="J33" s="231" t="s">
        <v>287</v>
      </c>
      <c r="K33" s="231"/>
      <c r="L33" s="231"/>
      <c r="M33" s="231"/>
      <c r="N33" s="231"/>
      <c r="O33" s="126"/>
      <c r="P33" s="126"/>
      <c r="Q33" s="126"/>
      <c r="R33" s="126"/>
      <c r="S33" s="126"/>
      <c r="T33" s="126"/>
    </row>
    <row r="34" ht="13.5" customHeight="1">
      <c r="A34" s="196"/>
      <c r="B34" s="201"/>
      <c r="C34" s="248"/>
      <c r="D34" s="199" t="s">
        <v>625</v>
      </c>
      <c r="E34" s="203"/>
      <c r="F34" s="231"/>
      <c r="G34" s="231"/>
      <c r="H34" s="231"/>
      <c r="I34" s="231" t="s">
        <v>287</v>
      </c>
      <c r="J34" s="231"/>
      <c r="K34" s="231"/>
      <c r="L34" s="231"/>
      <c r="M34" s="231"/>
      <c r="N34" s="231"/>
      <c r="O34" s="126"/>
      <c r="P34" s="126"/>
      <c r="Q34" s="126"/>
      <c r="R34" s="126"/>
      <c r="S34" s="126"/>
      <c r="T34" s="126"/>
    </row>
    <row r="35" ht="13.5" customHeight="1">
      <c r="A35" s="196"/>
      <c r="B35" s="201"/>
      <c r="C35" s="248"/>
      <c r="D35" s="199" t="s">
        <v>628</v>
      </c>
      <c r="E35" s="203"/>
      <c r="F35" s="231"/>
      <c r="G35" s="231"/>
      <c r="H35" s="231"/>
      <c r="I35" s="231"/>
      <c r="J35" s="231"/>
      <c r="K35" s="231" t="s">
        <v>287</v>
      </c>
      <c r="L35" s="231"/>
      <c r="M35" s="231"/>
      <c r="N35" s="231"/>
      <c r="O35" s="126"/>
      <c r="P35" s="126"/>
      <c r="Q35" s="126"/>
      <c r="R35" s="126"/>
      <c r="S35" s="126"/>
      <c r="T35" s="126"/>
    </row>
    <row r="36" ht="13.5" customHeight="1">
      <c r="A36" s="196"/>
      <c r="B36" s="201"/>
      <c r="C36" s="248"/>
      <c r="D36" s="199" t="s">
        <v>631</v>
      </c>
      <c r="E36" s="203"/>
      <c r="F36" s="231"/>
      <c r="G36" s="231"/>
      <c r="H36" s="231"/>
      <c r="I36" s="231"/>
      <c r="J36" s="231"/>
      <c r="K36" s="231"/>
      <c r="L36" s="231" t="s">
        <v>287</v>
      </c>
      <c r="M36" s="231"/>
      <c r="N36" s="231"/>
      <c r="O36" s="126"/>
      <c r="P36" s="126"/>
      <c r="Q36" s="126"/>
      <c r="R36" s="126"/>
      <c r="S36" s="126"/>
      <c r="T36" s="126"/>
    </row>
    <row r="37" ht="13.5" customHeight="1">
      <c r="A37" s="196"/>
      <c r="B37" s="201"/>
      <c r="C37" s="248"/>
      <c r="D37" s="199" t="s">
        <v>634</v>
      </c>
      <c r="E37" s="203"/>
      <c r="F37" s="231"/>
      <c r="G37" s="231"/>
      <c r="H37" s="231"/>
      <c r="I37" s="231"/>
      <c r="J37" s="231"/>
      <c r="K37" s="231"/>
      <c r="L37" s="231"/>
      <c r="M37" s="231" t="s">
        <v>287</v>
      </c>
      <c r="N37" s="231"/>
      <c r="O37" s="126"/>
      <c r="P37" s="126"/>
      <c r="Q37" s="126"/>
      <c r="R37" s="126"/>
      <c r="S37" s="126"/>
      <c r="T37" s="126"/>
    </row>
    <row r="38" ht="13.5" customHeight="1">
      <c r="A38" s="196"/>
      <c r="B38" s="204"/>
      <c r="C38" s="205"/>
      <c r="D38" s="206" t="s">
        <v>637</v>
      </c>
      <c r="E38" s="207"/>
      <c r="F38" s="249"/>
      <c r="G38" s="249"/>
      <c r="H38" s="249"/>
      <c r="I38" s="249"/>
      <c r="J38" s="249"/>
      <c r="K38" s="249"/>
      <c r="L38" s="249"/>
      <c r="M38" s="249"/>
      <c r="N38" s="249" t="s">
        <v>287</v>
      </c>
      <c r="O38" s="126"/>
      <c r="P38" s="126"/>
      <c r="Q38" s="126"/>
      <c r="R38" s="126"/>
      <c r="S38" s="126"/>
      <c r="T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135</v>
      </c>
      <c r="H39" s="251" t="s">
        <v>35</v>
      </c>
      <c r="I39" s="251" t="s">
        <v>135</v>
      </c>
      <c r="J39" s="251" t="s">
        <v>35</v>
      </c>
      <c r="K39" s="251" t="s">
        <v>135</v>
      </c>
      <c r="L39" s="251" t="s">
        <v>137</v>
      </c>
      <c r="M39" s="251" t="s">
        <v>137</v>
      </c>
      <c r="N39" s="251" t="s">
        <v>35</v>
      </c>
      <c r="O39" s="126"/>
      <c r="P39" s="126"/>
      <c r="Q39" s="126"/>
      <c r="R39" s="126"/>
      <c r="S39" s="126"/>
      <c r="T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 t="s">
        <v>326</v>
      </c>
      <c r="M40" s="253" t="s">
        <v>326</v>
      </c>
      <c r="N40" s="253" t="s">
        <v>326</v>
      </c>
      <c r="O40" s="126"/>
      <c r="P40" s="126"/>
      <c r="Q40" s="126"/>
      <c r="R40" s="126"/>
      <c r="S40" s="126"/>
      <c r="T40" s="126"/>
    </row>
    <row r="41" ht="60.0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>
        <v>46260.0</v>
      </c>
      <c r="M41" s="236">
        <v>46260.0</v>
      </c>
      <c r="N41" s="236">
        <v>46260.0</v>
      </c>
      <c r="O41" s="126"/>
      <c r="P41" s="126"/>
      <c r="Q41" s="126"/>
      <c r="R41" s="126"/>
      <c r="S41" s="126"/>
      <c r="T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126"/>
      <c r="P42" s="126"/>
      <c r="Q42" s="126"/>
      <c r="R42" s="126"/>
      <c r="S42" s="126"/>
      <c r="T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N40">
      <formula1>"P,F"</formula1>
    </dataValidation>
    <dataValidation type="list" allowBlank="1" showInputMessage="1" showErrorMessage="1" prompt=" - " sqref="F10:N38">
      <formula1>"O"</formula1>
    </dataValidation>
    <dataValidation type="list" allowBlank="1" showInputMessage="1" showErrorMessage="1" prompt=" - " sqref="F39:N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2.75"/>
    <col customWidth="1" hidden="1" min="5" max="5" width="1.88"/>
    <col customWidth="1" min="6" max="20" width="4.13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Functions!E31</f>
        <v>FUNC-LISTING-003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Functions!D31</f>
        <v>CreateListingReportAsync / GetListingReportsAsync / GetReportedListingsAsync / ClearListingReportsAsync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233.0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0.32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591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9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5</v>
      </c>
      <c r="M7" s="160">
        <f>COUNTIF(F39:T39,"A")</f>
        <v>2</v>
      </c>
      <c r="N7" s="160">
        <f>COUNTIF(F39:T39,"B")</f>
        <v>2</v>
      </c>
      <c r="O7" s="158">
        <f>COUNTA(F40:T40)</f>
        <v>9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597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 t="s">
        <v>287</v>
      </c>
      <c r="M11" s="231" t="s">
        <v>287</v>
      </c>
      <c r="N11" s="231" t="s">
        <v>287</v>
      </c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593</v>
      </c>
      <c r="C12" s="173"/>
      <c r="D12" s="174" t="s">
        <v>599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601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603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605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607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609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 t="s">
        <v>611</v>
      </c>
      <c r="E18" s="181"/>
      <c r="F18" s="231"/>
      <c r="G18" s="231"/>
      <c r="H18" s="231"/>
      <c r="I18" s="231"/>
      <c r="J18" s="231"/>
      <c r="K18" s="231"/>
      <c r="L18" s="231" t="s">
        <v>287</v>
      </c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 t="s">
        <v>612</v>
      </c>
      <c r="F19" s="231"/>
      <c r="G19" s="231"/>
      <c r="H19" s="231"/>
      <c r="I19" s="231"/>
      <c r="J19" s="231"/>
      <c r="K19" s="231"/>
      <c r="L19" s="231"/>
      <c r="M19" s="231" t="s">
        <v>287</v>
      </c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 t="s">
        <v>613</v>
      </c>
      <c r="E20" s="181"/>
      <c r="F20" s="231"/>
      <c r="G20" s="231"/>
      <c r="H20" s="231"/>
      <c r="I20" s="231"/>
      <c r="J20" s="231"/>
      <c r="K20" s="231"/>
      <c r="L20" s="231"/>
      <c r="M20" s="231"/>
      <c r="N20" s="231" t="s">
        <v>287</v>
      </c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623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626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629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632</v>
      </c>
      <c r="E34" s="203"/>
      <c r="F34" s="231"/>
      <c r="G34" s="231"/>
      <c r="H34" s="231"/>
      <c r="I34" s="231" t="s">
        <v>287</v>
      </c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635</v>
      </c>
      <c r="E35" s="203"/>
      <c r="F35" s="231"/>
      <c r="G35" s="231"/>
      <c r="H35" s="231"/>
      <c r="I35" s="231"/>
      <c r="J35" s="231" t="s">
        <v>287</v>
      </c>
      <c r="K35" s="231"/>
      <c r="L35" s="231"/>
      <c r="M35" s="231" t="s">
        <v>287</v>
      </c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 t="s">
        <v>638</v>
      </c>
      <c r="E36" s="203"/>
      <c r="F36" s="231"/>
      <c r="G36" s="231"/>
      <c r="H36" s="231"/>
      <c r="I36" s="231"/>
      <c r="J36" s="231"/>
      <c r="K36" s="231" t="s">
        <v>287</v>
      </c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 t="s">
        <v>639</v>
      </c>
      <c r="E37" s="203"/>
      <c r="F37" s="231"/>
      <c r="G37" s="231"/>
      <c r="H37" s="231"/>
      <c r="I37" s="231"/>
      <c r="J37" s="231"/>
      <c r="K37" s="231"/>
      <c r="L37" s="231" t="s">
        <v>287</v>
      </c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 t="s">
        <v>640</v>
      </c>
      <c r="E38" s="207"/>
      <c r="F38" s="249"/>
      <c r="G38" s="249"/>
      <c r="H38" s="249"/>
      <c r="I38" s="249"/>
      <c r="J38" s="249"/>
      <c r="K38" s="249"/>
      <c r="L38" s="249"/>
      <c r="M38" s="249"/>
      <c r="N38" s="249" t="s">
        <v>287</v>
      </c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135</v>
      </c>
      <c r="H39" s="251" t="s">
        <v>135</v>
      </c>
      <c r="I39" s="251" t="s">
        <v>135</v>
      </c>
      <c r="J39" s="251" t="s">
        <v>35</v>
      </c>
      <c r="K39" s="251" t="s">
        <v>135</v>
      </c>
      <c r="L39" s="251" t="s">
        <v>135</v>
      </c>
      <c r="M39" s="251" t="s">
        <v>137</v>
      </c>
      <c r="N39" s="251" t="s">
        <v>137</v>
      </c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 t="s">
        <v>326</v>
      </c>
      <c r="M40" s="253" t="s">
        <v>326</v>
      </c>
      <c r="N40" s="253" t="s">
        <v>326</v>
      </c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66.7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>
        <v>46260.0</v>
      </c>
      <c r="M41" s="236">
        <v>46260.0</v>
      </c>
      <c r="N41" s="236">
        <v>46260.0</v>
      </c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9.0"/>
    <col customWidth="1" hidden="1" min="5" max="5" width="1.88"/>
    <col customWidth="1" min="6" max="20" width="4.63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Functions!E32</f>
        <v>FUNC-LISTING-004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Functions!D32</f>
        <v>CreateShareListingAsync / UpdateShareListingAsync / GetShareListingTimePolicyAsync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163.0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-3.48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610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9</v>
      </c>
      <c r="B7" s="157"/>
      <c r="C7" s="158">
        <f>COUNTIF(F40:T40,"F")</f>
        <v>1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3</v>
      </c>
      <c r="M7" s="160">
        <f>COUNTIF(F39:T39,"A")</f>
        <v>5</v>
      </c>
      <c r="N7" s="160">
        <f>COUNTIF(F39:T39,"B")</f>
        <v>2</v>
      </c>
      <c r="O7" s="158">
        <f>COUNTA(F40:T40)</f>
        <v>10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614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 t="s">
        <v>287</v>
      </c>
      <c r="M11" s="231" t="s">
        <v>287</v>
      </c>
      <c r="N11" s="231" t="s">
        <v>287</v>
      </c>
      <c r="O11" s="231" t="s">
        <v>287</v>
      </c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593</v>
      </c>
      <c r="C12" s="173"/>
      <c r="D12" s="174" t="s">
        <v>615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616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617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619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621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624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 t="s">
        <v>627</v>
      </c>
      <c r="E18" s="181"/>
      <c r="F18" s="231"/>
      <c r="G18" s="231"/>
      <c r="H18" s="231"/>
      <c r="I18" s="231"/>
      <c r="J18" s="231"/>
      <c r="K18" s="231"/>
      <c r="L18" s="231" t="s">
        <v>287</v>
      </c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 t="s">
        <v>630</v>
      </c>
      <c r="F19" s="231"/>
      <c r="G19" s="231"/>
      <c r="H19" s="231"/>
      <c r="I19" s="231"/>
      <c r="J19" s="231"/>
      <c r="K19" s="231"/>
      <c r="L19" s="231"/>
      <c r="M19" s="231" t="s">
        <v>287</v>
      </c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 t="s">
        <v>633</v>
      </c>
      <c r="E20" s="181"/>
      <c r="F20" s="231"/>
      <c r="G20" s="231"/>
      <c r="H20" s="231"/>
      <c r="I20" s="231"/>
      <c r="J20" s="231"/>
      <c r="K20" s="231"/>
      <c r="L20" s="231"/>
      <c r="M20" s="231"/>
      <c r="N20" s="231" t="s">
        <v>287</v>
      </c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 t="s">
        <v>636</v>
      </c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 t="s">
        <v>287</v>
      </c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642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497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643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644</v>
      </c>
      <c r="E34" s="203"/>
      <c r="F34" s="231"/>
      <c r="G34" s="231"/>
      <c r="H34" s="231"/>
      <c r="I34" s="231" t="s">
        <v>287</v>
      </c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645</v>
      </c>
      <c r="E35" s="203"/>
      <c r="F35" s="231"/>
      <c r="G35" s="231"/>
      <c r="H35" s="231"/>
      <c r="I35" s="231"/>
      <c r="J35" s="231" t="s">
        <v>287</v>
      </c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 t="s">
        <v>646</v>
      </c>
      <c r="E36" s="203"/>
      <c r="F36" s="231"/>
      <c r="G36" s="231"/>
      <c r="H36" s="231"/>
      <c r="I36" s="231"/>
      <c r="J36" s="231"/>
      <c r="K36" s="231" t="s">
        <v>287</v>
      </c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 t="s">
        <v>647</v>
      </c>
      <c r="E37" s="203"/>
      <c r="F37" s="231"/>
      <c r="G37" s="231"/>
      <c r="H37" s="231"/>
      <c r="I37" s="231"/>
      <c r="J37" s="231"/>
      <c r="K37" s="231"/>
      <c r="L37" s="231" t="s">
        <v>287</v>
      </c>
      <c r="M37" s="231" t="s">
        <v>287</v>
      </c>
      <c r="N37" s="231" t="s">
        <v>287</v>
      </c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 t="s">
        <v>648</v>
      </c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 t="s">
        <v>287</v>
      </c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35</v>
      </c>
      <c r="H39" s="251" t="s">
        <v>135</v>
      </c>
      <c r="I39" s="251" t="s">
        <v>135</v>
      </c>
      <c r="J39" s="251" t="s">
        <v>35</v>
      </c>
      <c r="K39" s="251" t="s">
        <v>35</v>
      </c>
      <c r="L39" s="251" t="s">
        <v>137</v>
      </c>
      <c r="M39" s="251" t="s">
        <v>35</v>
      </c>
      <c r="N39" s="251" t="s">
        <v>137</v>
      </c>
      <c r="O39" s="251" t="s">
        <v>135</v>
      </c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 t="s">
        <v>326</v>
      </c>
      <c r="M40" s="253" t="s">
        <v>326</v>
      </c>
      <c r="N40" s="253" t="s">
        <v>326</v>
      </c>
      <c r="O40" s="253" t="s">
        <v>440</v>
      </c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69.7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>
        <v>46260.0</v>
      </c>
      <c r="M41" s="236">
        <v>46260.0</v>
      </c>
      <c r="N41" s="236">
        <v>46260.0</v>
      </c>
      <c r="O41" s="236">
        <v>46260.0</v>
      </c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31.88"/>
    <col customWidth="1" hidden="1" min="5" max="5" width="1.88"/>
    <col customWidth="1" min="6" max="20" width="4.63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Functions!E32</f>
        <v>FUNC-LISTING-004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Functions!D32</f>
        <v>CreateShareListingAsync / UpdateShareListingAsync / GetShareListingTimePolicyAsync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162.0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-1.52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641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8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2</v>
      </c>
      <c r="M7" s="160">
        <f>COUNTIF(F39:T39,"A")</f>
        <v>4</v>
      </c>
      <c r="N7" s="160">
        <f>COUNTIF(F39:T39,"B")</f>
        <v>2</v>
      </c>
      <c r="O7" s="158">
        <f>COUNTA(F40:T40)</f>
        <v>8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649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 t="s">
        <v>287</v>
      </c>
      <c r="M11" s="231" t="s">
        <v>287</v>
      </c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593</v>
      </c>
      <c r="C12" s="173"/>
      <c r="D12" s="174" t="s">
        <v>650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651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652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653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654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655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 t="s">
        <v>656</v>
      </c>
      <c r="E18" s="181"/>
      <c r="F18" s="231"/>
      <c r="G18" s="231"/>
      <c r="H18" s="231"/>
      <c r="I18" s="231"/>
      <c r="J18" s="231"/>
      <c r="K18" s="231"/>
      <c r="L18" s="231" t="s">
        <v>287</v>
      </c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 t="s">
        <v>657</v>
      </c>
      <c r="F19" s="231"/>
      <c r="G19" s="231"/>
      <c r="H19" s="231"/>
      <c r="I19" s="231"/>
      <c r="J19" s="231"/>
      <c r="K19" s="231"/>
      <c r="L19" s="231"/>
      <c r="M19" s="231" t="s">
        <v>287</v>
      </c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658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659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660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661</v>
      </c>
      <c r="E34" s="203"/>
      <c r="F34" s="231"/>
      <c r="G34" s="231"/>
      <c r="H34" s="231"/>
      <c r="I34" s="231" t="s">
        <v>287</v>
      </c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662</v>
      </c>
      <c r="E35" s="203"/>
      <c r="F35" s="231"/>
      <c r="G35" s="231"/>
      <c r="H35" s="231"/>
      <c r="I35" s="231"/>
      <c r="J35" s="231" t="s">
        <v>287</v>
      </c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 t="s">
        <v>663</v>
      </c>
      <c r="E36" s="203"/>
      <c r="F36" s="231"/>
      <c r="G36" s="231"/>
      <c r="H36" s="231"/>
      <c r="I36" s="231"/>
      <c r="J36" s="231"/>
      <c r="K36" s="231" t="s">
        <v>287</v>
      </c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 t="s">
        <v>664</v>
      </c>
      <c r="E37" s="203"/>
      <c r="F37" s="231"/>
      <c r="G37" s="231"/>
      <c r="H37" s="231"/>
      <c r="I37" s="231"/>
      <c r="J37" s="231"/>
      <c r="K37" s="231"/>
      <c r="L37" s="231" t="s">
        <v>287</v>
      </c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 t="s">
        <v>665</v>
      </c>
      <c r="E38" s="207"/>
      <c r="F38" s="249"/>
      <c r="G38" s="249"/>
      <c r="H38" s="249"/>
      <c r="I38" s="249"/>
      <c r="J38" s="249"/>
      <c r="K38" s="249"/>
      <c r="L38" s="249"/>
      <c r="M38" s="249" t="s">
        <v>287</v>
      </c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135</v>
      </c>
      <c r="G39" s="251" t="s">
        <v>137</v>
      </c>
      <c r="H39" s="251" t="s">
        <v>35</v>
      </c>
      <c r="I39" s="251" t="s">
        <v>35</v>
      </c>
      <c r="J39" s="251" t="s">
        <v>35</v>
      </c>
      <c r="K39" s="251" t="s">
        <v>135</v>
      </c>
      <c r="L39" s="251" t="s">
        <v>35</v>
      </c>
      <c r="M39" s="251" t="s">
        <v>137</v>
      </c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 t="s">
        <v>326</v>
      </c>
      <c r="M40" s="253" t="s">
        <v>326</v>
      </c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65.2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>
        <v>46260.0</v>
      </c>
      <c r="M41" s="236">
        <v>46260.0</v>
      </c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9.63"/>
    <col customWidth="1" hidden="1" min="5" max="5" width="1.88"/>
    <col customWidth="1" min="6" max="20" width="4.63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Functions!E33</f>
        <v>FUNC-WALLET-001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Functions!D33</f>
        <v>GetOwnWallet / GetWalletByUserId / UpdateWalletBalance / SpendWalletBalance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240.0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-4.4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666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14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4</v>
      </c>
      <c r="M7" s="160">
        <f>COUNTIF(F39:T39,"A")</f>
        <v>9</v>
      </c>
      <c r="N7" s="160">
        <f>COUNTIF(F39:T39,"B")</f>
        <v>1</v>
      </c>
      <c r="O7" s="158">
        <f>COUNTA(F40:T40)</f>
        <v>14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667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 t="s">
        <v>287</v>
      </c>
      <c r="M11" s="231" t="s">
        <v>287</v>
      </c>
      <c r="N11" s="231" t="s">
        <v>287</v>
      </c>
      <c r="O11" s="231" t="s">
        <v>287</v>
      </c>
      <c r="P11" s="231" t="s">
        <v>287</v>
      </c>
      <c r="Q11" s="231" t="s">
        <v>287</v>
      </c>
      <c r="R11" s="231" t="s">
        <v>287</v>
      </c>
      <c r="S11" s="231" t="s">
        <v>287</v>
      </c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593</v>
      </c>
      <c r="C12" s="173"/>
      <c r="D12" s="174" t="s">
        <v>668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669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670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671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672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673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 t="s">
        <v>674</v>
      </c>
      <c r="E18" s="181"/>
      <c r="F18" s="231"/>
      <c r="G18" s="231"/>
      <c r="H18" s="231"/>
      <c r="I18" s="231"/>
      <c r="J18" s="231"/>
      <c r="K18" s="231"/>
      <c r="L18" s="231" t="s">
        <v>287</v>
      </c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 t="s">
        <v>675</v>
      </c>
      <c r="F19" s="231"/>
      <c r="G19" s="231"/>
      <c r="H19" s="231"/>
      <c r="I19" s="231"/>
      <c r="J19" s="231"/>
      <c r="K19" s="231"/>
      <c r="L19" s="231"/>
      <c r="M19" s="231" t="s">
        <v>287</v>
      </c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 t="s">
        <v>676</v>
      </c>
      <c r="E20" s="181"/>
      <c r="F20" s="231"/>
      <c r="G20" s="231"/>
      <c r="H20" s="231"/>
      <c r="I20" s="231"/>
      <c r="J20" s="231"/>
      <c r="K20" s="231"/>
      <c r="L20" s="231"/>
      <c r="M20" s="231"/>
      <c r="N20" s="231" t="s">
        <v>287</v>
      </c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 t="s">
        <v>677</v>
      </c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 t="s">
        <v>287</v>
      </c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 t="s">
        <v>678</v>
      </c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 t="s">
        <v>287</v>
      </c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 t="s">
        <v>679</v>
      </c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 t="s">
        <v>287</v>
      </c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 t="s">
        <v>680</v>
      </c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 t="s">
        <v>287</v>
      </c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 t="s">
        <v>681</v>
      </c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 t="s">
        <v>287</v>
      </c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682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683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 t="s">
        <v>287</v>
      </c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684</v>
      </c>
      <c r="E33" s="203"/>
      <c r="F33" s="231"/>
      <c r="G33" s="231"/>
      <c r="H33" s="231" t="s">
        <v>287</v>
      </c>
      <c r="I33" s="231"/>
      <c r="J33" s="231"/>
      <c r="K33" s="231" t="s">
        <v>287</v>
      </c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685</v>
      </c>
      <c r="E34" s="203"/>
      <c r="F34" s="231"/>
      <c r="G34" s="231"/>
      <c r="H34" s="231"/>
      <c r="I34" s="231" t="s">
        <v>287</v>
      </c>
      <c r="J34" s="231" t="s">
        <v>287</v>
      </c>
      <c r="K34" s="231"/>
      <c r="L34" s="231"/>
      <c r="M34" s="231"/>
      <c r="N34" s="231" t="s">
        <v>287</v>
      </c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686</v>
      </c>
      <c r="E35" s="203"/>
      <c r="F35" s="231"/>
      <c r="G35" s="231"/>
      <c r="H35" s="231"/>
      <c r="I35" s="231"/>
      <c r="J35" s="231"/>
      <c r="K35" s="231"/>
      <c r="L35" s="231" t="s">
        <v>287</v>
      </c>
      <c r="M35" s="231"/>
      <c r="N35" s="231"/>
      <c r="O35" s="231"/>
      <c r="P35" s="231"/>
      <c r="Q35" s="231"/>
      <c r="R35" s="231" t="s">
        <v>287</v>
      </c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 t="s">
        <v>687</v>
      </c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 t="s">
        <v>287</v>
      </c>
      <c r="P36" s="231"/>
      <c r="Q36" s="231"/>
      <c r="R36" s="231"/>
      <c r="S36" s="231" t="s">
        <v>287</v>
      </c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 t="s">
        <v>688</v>
      </c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 t="s">
        <v>287</v>
      </c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 t="s">
        <v>689</v>
      </c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 t="s">
        <v>287</v>
      </c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135</v>
      </c>
      <c r="G39" s="251" t="s">
        <v>35</v>
      </c>
      <c r="H39" s="251" t="s">
        <v>135</v>
      </c>
      <c r="I39" s="251" t="s">
        <v>35</v>
      </c>
      <c r="J39" s="251" t="s">
        <v>35</v>
      </c>
      <c r="K39" s="251" t="s">
        <v>135</v>
      </c>
      <c r="L39" s="251" t="s">
        <v>35</v>
      </c>
      <c r="M39" s="251" t="s">
        <v>35</v>
      </c>
      <c r="N39" s="251" t="s">
        <v>35</v>
      </c>
      <c r="O39" s="251" t="s">
        <v>35</v>
      </c>
      <c r="P39" s="251" t="s">
        <v>135</v>
      </c>
      <c r="Q39" s="251" t="s">
        <v>137</v>
      </c>
      <c r="R39" s="251" t="s">
        <v>35</v>
      </c>
      <c r="S39" s="251" t="s">
        <v>35</v>
      </c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 t="s">
        <v>326</v>
      </c>
      <c r="M40" s="253" t="s">
        <v>326</v>
      </c>
      <c r="N40" s="253" t="s">
        <v>326</v>
      </c>
      <c r="O40" s="253" t="s">
        <v>326</v>
      </c>
      <c r="P40" s="253" t="s">
        <v>326</v>
      </c>
      <c r="Q40" s="253" t="s">
        <v>326</v>
      </c>
      <c r="R40" s="253" t="s">
        <v>326</v>
      </c>
      <c r="S40" s="253" t="s">
        <v>326</v>
      </c>
      <c r="T40" s="254"/>
      <c r="U40" s="126"/>
      <c r="V40" s="126"/>
      <c r="W40" s="126"/>
      <c r="X40" s="126"/>
      <c r="Y40" s="126"/>
      <c r="Z40" s="126"/>
    </row>
    <row r="41" ht="58.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>
        <v>46260.0</v>
      </c>
      <c r="M41" s="236">
        <v>46260.0</v>
      </c>
      <c r="N41" s="236">
        <v>46260.0</v>
      </c>
      <c r="O41" s="236">
        <v>46260.0</v>
      </c>
      <c r="P41" s="236">
        <v>46260.0</v>
      </c>
      <c r="Q41" s="236">
        <v>46260.0</v>
      </c>
      <c r="R41" s="236">
        <v>46260.0</v>
      </c>
      <c r="S41" s="236">
        <v>46260.0</v>
      </c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9.63"/>
    <col customWidth="1" hidden="1" min="5" max="5" width="1.88"/>
    <col customWidth="1" min="6" max="20" width="4.75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Functions!E34</f>
        <v>FUNC-BOOKING-001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Functions!D34</f>
        <v>CreateBookingRequestAsync / UpdateBookingRequestAsync / UpdateStatusAsync / DeleteBookingRequestAsync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244.0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-4.24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690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14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3</v>
      </c>
      <c r="M7" s="160">
        <f>COUNTIF(F39:T39,"A")</f>
        <v>9</v>
      </c>
      <c r="N7" s="160">
        <f>COUNTIF(F39:T39,"B")</f>
        <v>2</v>
      </c>
      <c r="O7" s="158">
        <f>COUNTA(F40:T40)</f>
        <v>14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691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 t="s">
        <v>287</v>
      </c>
      <c r="M11" s="231" t="s">
        <v>287</v>
      </c>
      <c r="N11" s="231" t="s">
        <v>287</v>
      </c>
      <c r="O11" s="231" t="s">
        <v>287</v>
      </c>
      <c r="P11" s="231" t="s">
        <v>287</v>
      </c>
      <c r="Q11" s="231" t="s">
        <v>287</v>
      </c>
      <c r="R11" s="231" t="s">
        <v>287</v>
      </c>
      <c r="S11" s="231" t="s">
        <v>287</v>
      </c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593</v>
      </c>
      <c r="C12" s="173"/>
      <c r="D12" s="174" t="s">
        <v>692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693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694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695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697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698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 t="s">
        <v>699</v>
      </c>
      <c r="E18" s="181"/>
      <c r="F18" s="231"/>
      <c r="G18" s="231"/>
      <c r="H18" s="231"/>
      <c r="I18" s="231"/>
      <c r="J18" s="231"/>
      <c r="K18" s="231"/>
      <c r="L18" s="231" t="s">
        <v>287</v>
      </c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 t="s">
        <v>700</v>
      </c>
      <c r="F19" s="231"/>
      <c r="G19" s="231"/>
      <c r="H19" s="231"/>
      <c r="I19" s="231"/>
      <c r="J19" s="231"/>
      <c r="K19" s="231"/>
      <c r="L19" s="231"/>
      <c r="M19" s="231" t="s">
        <v>287</v>
      </c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 t="s">
        <v>701</v>
      </c>
      <c r="E20" s="181"/>
      <c r="F20" s="231"/>
      <c r="G20" s="231"/>
      <c r="H20" s="231"/>
      <c r="I20" s="231"/>
      <c r="J20" s="231"/>
      <c r="K20" s="231"/>
      <c r="L20" s="231"/>
      <c r="M20" s="231"/>
      <c r="N20" s="231" t="s">
        <v>287</v>
      </c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 t="s">
        <v>702</v>
      </c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 t="s">
        <v>287</v>
      </c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 t="s">
        <v>703</v>
      </c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 t="s">
        <v>287</v>
      </c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 t="s">
        <v>704</v>
      </c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 t="s">
        <v>287</v>
      </c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 t="s">
        <v>706</v>
      </c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 t="s">
        <v>287</v>
      </c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 t="s">
        <v>707</v>
      </c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 t="s">
        <v>287</v>
      </c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713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715</v>
      </c>
      <c r="E32" s="200"/>
      <c r="F32" s="231"/>
      <c r="G32" s="231" t="s">
        <v>287</v>
      </c>
      <c r="H32" s="231" t="s">
        <v>287</v>
      </c>
      <c r="I32" s="231" t="s">
        <v>287</v>
      </c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716</v>
      </c>
      <c r="E33" s="203"/>
      <c r="F33" s="231"/>
      <c r="G33" s="231"/>
      <c r="H33" s="231"/>
      <c r="I33" s="231"/>
      <c r="J33" s="231" t="s">
        <v>287</v>
      </c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718</v>
      </c>
      <c r="E34" s="203"/>
      <c r="F34" s="231"/>
      <c r="G34" s="231"/>
      <c r="H34" s="231"/>
      <c r="I34" s="231"/>
      <c r="J34" s="231"/>
      <c r="K34" s="231" t="s">
        <v>287</v>
      </c>
      <c r="L34" s="231"/>
      <c r="M34" s="231"/>
      <c r="N34" s="231"/>
      <c r="O34" s="231" t="s">
        <v>287</v>
      </c>
      <c r="P34" s="231"/>
      <c r="Q34" s="231"/>
      <c r="R34" s="231"/>
      <c r="S34" s="231" t="s">
        <v>287</v>
      </c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720</v>
      </c>
      <c r="E35" s="203"/>
      <c r="F35" s="231"/>
      <c r="G35" s="231"/>
      <c r="H35" s="231"/>
      <c r="I35" s="231"/>
      <c r="J35" s="231"/>
      <c r="K35" s="231"/>
      <c r="L35" s="231" t="s">
        <v>287</v>
      </c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 t="s">
        <v>722</v>
      </c>
      <c r="E36" s="203"/>
      <c r="F36" s="231"/>
      <c r="G36" s="231"/>
      <c r="H36" s="231"/>
      <c r="I36" s="231"/>
      <c r="J36" s="231"/>
      <c r="K36" s="231"/>
      <c r="L36" s="231"/>
      <c r="M36" s="231" t="s">
        <v>287</v>
      </c>
      <c r="N36" s="231"/>
      <c r="O36" s="231"/>
      <c r="P36" s="231"/>
      <c r="Q36" s="231"/>
      <c r="R36" s="231" t="s">
        <v>287</v>
      </c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 t="s">
        <v>723</v>
      </c>
      <c r="E37" s="203"/>
      <c r="F37" s="231"/>
      <c r="G37" s="231"/>
      <c r="H37" s="231"/>
      <c r="I37" s="231"/>
      <c r="J37" s="231"/>
      <c r="K37" s="231"/>
      <c r="L37" s="231"/>
      <c r="M37" s="231"/>
      <c r="N37" s="231" t="s">
        <v>287</v>
      </c>
      <c r="O37" s="231"/>
      <c r="P37" s="231" t="s">
        <v>287</v>
      </c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 t="s">
        <v>725</v>
      </c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 t="s">
        <v>287</v>
      </c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35</v>
      </c>
      <c r="H39" s="251" t="s">
        <v>35</v>
      </c>
      <c r="I39" s="251" t="s">
        <v>137</v>
      </c>
      <c r="J39" s="251" t="s">
        <v>135</v>
      </c>
      <c r="K39" s="251" t="s">
        <v>35</v>
      </c>
      <c r="L39" s="251" t="s">
        <v>135</v>
      </c>
      <c r="M39" s="251" t="s">
        <v>35</v>
      </c>
      <c r="N39" s="251" t="s">
        <v>35</v>
      </c>
      <c r="O39" s="251" t="s">
        <v>35</v>
      </c>
      <c r="P39" s="251" t="s">
        <v>35</v>
      </c>
      <c r="Q39" s="251" t="s">
        <v>135</v>
      </c>
      <c r="R39" s="251" t="s">
        <v>137</v>
      </c>
      <c r="S39" s="251" t="s">
        <v>35</v>
      </c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 t="s">
        <v>326</v>
      </c>
      <c r="M40" s="253" t="s">
        <v>326</v>
      </c>
      <c r="N40" s="253" t="s">
        <v>326</v>
      </c>
      <c r="O40" s="253" t="s">
        <v>326</v>
      </c>
      <c r="P40" s="253" t="s">
        <v>326</v>
      </c>
      <c r="Q40" s="253" t="s">
        <v>326</v>
      </c>
      <c r="R40" s="253" t="s">
        <v>326</v>
      </c>
      <c r="S40" s="253" t="s">
        <v>326</v>
      </c>
      <c r="T40" s="254"/>
      <c r="U40" s="126"/>
      <c r="V40" s="126"/>
      <c r="W40" s="126"/>
      <c r="X40" s="126"/>
      <c r="Y40" s="126"/>
      <c r="Z40" s="126"/>
    </row>
    <row r="41" ht="56.2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>
        <v>46260.0</v>
      </c>
      <c r="M41" s="236">
        <v>46260.0</v>
      </c>
      <c r="N41" s="236">
        <v>46260.0</v>
      </c>
      <c r="O41" s="236">
        <v>46260.0</v>
      </c>
      <c r="P41" s="236">
        <v>46260.0</v>
      </c>
      <c r="Q41" s="236">
        <v>46260.0</v>
      </c>
      <c r="R41" s="236">
        <v>46260.0</v>
      </c>
      <c r="S41" s="236">
        <v>46260.0</v>
      </c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3.5"/>
    <col customWidth="1" hidden="1" min="5" max="5" width="1.88"/>
    <col customWidth="1" min="6" max="20" width="4.63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Functions!E35</f>
        <v>FUNC-REVIEW-001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Functions!D35</f>
        <v>GetAllAsync / GetByUserIdAsync / GetBySpaceIdAsync / CreateAsync / DeleteAsync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318.0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-0.28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696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13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5</v>
      </c>
      <c r="M7" s="160">
        <f>COUNTIF(F39:T39,"A")</f>
        <v>7</v>
      </c>
      <c r="N7" s="160">
        <f>COUNTIF(F39:T39,"B")</f>
        <v>1</v>
      </c>
      <c r="O7" s="158">
        <f>COUNTA(F40:T40)</f>
        <v>13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705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 t="s">
        <v>287</v>
      </c>
      <c r="M11" s="231" t="s">
        <v>287</v>
      </c>
      <c r="N11" s="231" t="s">
        <v>287</v>
      </c>
      <c r="O11" s="231" t="s">
        <v>287</v>
      </c>
      <c r="P11" s="231" t="s">
        <v>287</v>
      </c>
      <c r="Q11" s="231" t="s">
        <v>287</v>
      </c>
      <c r="R11" s="231" t="s">
        <v>287</v>
      </c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593</v>
      </c>
      <c r="C12" s="173"/>
      <c r="D12" s="174" t="s">
        <v>708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709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710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711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712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714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 t="s">
        <v>717</v>
      </c>
      <c r="E18" s="181"/>
      <c r="F18" s="231"/>
      <c r="G18" s="231"/>
      <c r="H18" s="231"/>
      <c r="I18" s="231"/>
      <c r="J18" s="231"/>
      <c r="K18" s="231"/>
      <c r="L18" s="231" t="s">
        <v>287</v>
      </c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 t="s">
        <v>719</v>
      </c>
      <c r="F19" s="231"/>
      <c r="G19" s="231"/>
      <c r="H19" s="231"/>
      <c r="I19" s="231"/>
      <c r="J19" s="231"/>
      <c r="K19" s="231"/>
      <c r="L19" s="231"/>
      <c r="M19" s="231" t="s">
        <v>287</v>
      </c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 t="s">
        <v>721</v>
      </c>
      <c r="E20" s="181"/>
      <c r="F20" s="231"/>
      <c r="G20" s="231"/>
      <c r="H20" s="231"/>
      <c r="I20" s="231"/>
      <c r="J20" s="231"/>
      <c r="K20" s="231"/>
      <c r="L20" s="231"/>
      <c r="M20" s="231"/>
      <c r="N20" s="231" t="s">
        <v>287</v>
      </c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 t="s">
        <v>724</v>
      </c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 t="s">
        <v>287</v>
      </c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 t="s">
        <v>726</v>
      </c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 t="s">
        <v>287</v>
      </c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 t="s">
        <v>727</v>
      </c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 t="s">
        <v>287</v>
      </c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 t="s">
        <v>728</v>
      </c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 t="s">
        <v>287</v>
      </c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729</v>
      </c>
      <c r="E31" s="193"/>
      <c r="F31" s="226" t="s">
        <v>287</v>
      </c>
      <c r="G31" s="226"/>
      <c r="H31" s="226" t="s">
        <v>287</v>
      </c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731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732</v>
      </c>
      <c r="E33" s="203"/>
      <c r="F33" s="231"/>
      <c r="G33" s="231"/>
      <c r="H33" s="231"/>
      <c r="I33" s="231" t="s">
        <v>287</v>
      </c>
      <c r="J33" s="231" t="s">
        <v>287</v>
      </c>
      <c r="K33" s="231" t="s">
        <v>287</v>
      </c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733</v>
      </c>
      <c r="E34" s="203"/>
      <c r="F34" s="231"/>
      <c r="G34" s="231"/>
      <c r="H34" s="231"/>
      <c r="I34" s="231"/>
      <c r="J34" s="231"/>
      <c r="K34" s="231"/>
      <c r="L34" s="231" t="s">
        <v>287</v>
      </c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734</v>
      </c>
      <c r="E35" s="203"/>
      <c r="F35" s="231"/>
      <c r="G35" s="231"/>
      <c r="H35" s="231"/>
      <c r="I35" s="231"/>
      <c r="J35" s="231"/>
      <c r="K35" s="231"/>
      <c r="L35" s="231"/>
      <c r="M35" s="231" t="s">
        <v>287</v>
      </c>
      <c r="N35" s="231"/>
      <c r="O35" s="231"/>
      <c r="P35" s="231" t="s">
        <v>287</v>
      </c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 t="s">
        <v>736</v>
      </c>
      <c r="E36" s="203"/>
      <c r="F36" s="231"/>
      <c r="G36" s="231"/>
      <c r="H36" s="231"/>
      <c r="I36" s="231"/>
      <c r="J36" s="231"/>
      <c r="K36" s="231"/>
      <c r="L36" s="231"/>
      <c r="M36" s="231"/>
      <c r="N36" s="231" t="s">
        <v>287</v>
      </c>
      <c r="O36" s="231" t="s">
        <v>287</v>
      </c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 t="s">
        <v>739</v>
      </c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 t="s">
        <v>287</v>
      </c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 t="s">
        <v>741</v>
      </c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 t="s">
        <v>287</v>
      </c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135</v>
      </c>
      <c r="G39" s="251" t="s">
        <v>35</v>
      </c>
      <c r="H39" s="251" t="s">
        <v>135</v>
      </c>
      <c r="I39" s="251" t="s">
        <v>35</v>
      </c>
      <c r="J39" s="251" t="s">
        <v>35</v>
      </c>
      <c r="K39" s="251" t="s">
        <v>137</v>
      </c>
      <c r="L39" s="251" t="s">
        <v>35</v>
      </c>
      <c r="M39" s="251" t="s">
        <v>135</v>
      </c>
      <c r="N39" s="251" t="s">
        <v>35</v>
      </c>
      <c r="O39" s="251" t="s">
        <v>35</v>
      </c>
      <c r="P39" s="251" t="s">
        <v>135</v>
      </c>
      <c r="Q39" s="251" t="s">
        <v>135</v>
      </c>
      <c r="R39" s="251" t="s">
        <v>35</v>
      </c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 t="s">
        <v>326</v>
      </c>
      <c r="M40" s="253" t="s">
        <v>326</v>
      </c>
      <c r="N40" s="253" t="s">
        <v>326</v>
      </c>
      <c r="O40" s="253" t="s">
        <v>326</v>
      </c>
      <c r="P40" s="253" t="s">
        <v>326</v>
      </c>
      <c r="Q40" s="253" t="s">
        <v>326</v>
      </c>
      <c r="R40" s="253" t="s">
        <v>326</v>
      </c>
      <c r="S40" s="253"/>
      <c r="T40" s="254"/>
      <c r="U40" s="126"/>
      <c r="V40" s="126"/>
      <c r="W40" s="126"/>
      <c r="X40" s="126"/>
      <c r="Y40" s="126"/>
      <c r="Z40" s="126"/>
    </row>
    <row r="41" ht="66.7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>
        <v>46260.0</v>
      </c>
      <c r="M41" s="236">
        <v>46260.0</v>
      </c>
      <c r="N41" s="236">
        <v>46260.0</v>
      </c>
      <c r="O41" s="236">
        <v>46260.0</v>
      </c>
      <c r="P41" s="236">
        <v>46260.0</v>
      </c>
      <c r="Q41" s="236">
        <v>46260.0</v>
      </c>
      <c r="R41" s="236">
        <v>46260.0</v>
      </c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9.88"/>
    <col customWidth="1" hidden="1" min="5" max="5" width="1.88"/>
    <col customWidth="1" min="6" max="20" width="4.5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Functions!E36</f>
        <v>FUNC-MSG-001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Functions!D36</f>
        <v>GetMessagesAsync / SaveMessageAsync / UpdateMessagesToReadAsync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74.0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-2.04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730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5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3</v>
      </c>
      <c r="M7" s="160">
        <f>COUNTIF(F39:T39,"A")</f>
        <v>1</v>
      </c>
      <c r="N7" s="160">
        <f>COUNTIF(F39:T39,"B")</f>
        <v>1</v>
      </c>
      <c r="O7" s="158">
        <f>COUNTA(F40:T40)</f>
        <v>5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735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593</v>
      </c>
      <c r="C12" s="173"/>
      <c r="D12" s="174" t="s">
        <v>737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738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740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742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743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749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751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754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756</v>
      </c>
      <c r="E34" s="203"/>
      <c r="F34" s="231"/>
      <c r="G34" s="231"/>
      <c r="H34" s="231"/>
      <c r="I34" s="231" t="s">
        <v>287</v>
      </c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757</v>
      </c>
      <c r="E35" s="203"/>
      <c r="F35" s="231"/>
      <c r="G35" s="231"/>
      <c r="H35" s="231"/>
      <c r="I35" s="231"/>
      <c r="J35" s="231" t="s">
        <v>287</v>
      </c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135</v>
      </c>
      <c r="G39" s="251" t="s">
        <v>35</v>
      </c>
      <c r="H39" s="251" t="s">
        <v>135</v>
      </c>
      <c r="I39" s="251" t="s">
        <v>137</v>
      </c>
      <c r="J39" s="251" t="s">
        <v>135</v>
      </c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52.5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4.38"/>
    <col customWidth="1" hidden="1" min="5" max="5" width="1.88"/>
    <col customWidth="1" min="6" max="20" width="4.75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Functions!E37</f>
        <v>FUNC-FAV-001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Functions!D37</f>
        <v>AddListingsAsync / GetByUserIdAsync / RemoveListingAsync / GetListingDetailAsync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66.0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-4.36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744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7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3</v>
      </c>
      <c r="M7" s="160">
        <f>COUNTIF(F39:T39,"A")</f>
        <v>4</v>
      </c>
      <c r="N7" s="160">
        <f>COUNTIF(F39:T39,"B")</f>
        <v>0</v>
      </c>
      <c r="O7" s="158">
        <f>COUNTA(F40:T40)</f>
        <v>7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745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 t="s">
        <v>287</v>
      </c>
      <c r="L11" s="231" t="s">
        <v>287</v>
      </c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593</v>
      </c>
      <c r="C12" s="173"/>
      <c r="D12" s="174" t="s">
        <v>746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747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748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750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752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 t="s">
        <v>753</v>
      </c>
      <c r="E17" s="181"/>
      <c r="F17" s="231"/>
      <c r="G17" s="231"/>
      <c r="H17" s="231"/>
      <c r="I17" s="231"/>
      <c r="J17" s="231"/>
      <c r="K17" s="231" t="s">
        <v>287</v>
      </c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 t="s">
        <v>755</v>
      </c>
      <c r="E18" s="181"/>
      <c r="F18" s="231"/>
      <c r="G18" s="231"/>
      <c r="H18" s="231"/>
      <c r="I18" s="231"/>
      <c r="J18" s="231"/>
      <c r="K18" s="231"/>
      <c r="L18" s="231" t="s">
        <v>287</v>
      </c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758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759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760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761</v>
      </c>
      <c r="E34" s="203"/>
      <c r="F34" s="231"/>
      <c r="G34" s="231"/>
      <c r="H34" s="231"/>
      <c r="I34" s="231" t="s">
        <v>287</v>
      </c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762</v>
      </c>
      <c r="E35" s="203"/>
      <c r="F35" s="231"/>
      <c r="G35" s="231"/>
      <c r="H35" s="231"/>
      <c r="I35" s="231"/>
      <c r="J35" s="231" t="s">
        <v>287</v>
      </c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 t="s">
        <v>497</v>
      </c>
      <c r="E36" s="203"/>
      <c r="F36" s="231"/>
      <c r="G36" s="231"/>
      <c r="H36" s="231"/>
      <c r="I36" s="231"/>
      <c r="J36" s="231"/>
      <c r="K36" s="231" t="s">
        <v>287</v>
      </c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 t="s">
        <v>763</v>
      </c>
      <c r="E37" s="203"/>
      <c r="F37" s="231"/>
      <c r="G37" s="231"/>
      <c r="H37" s="231"/>
      <c r="I37" s="231"/>
      <c r="J37" s="231"/>
      <c r="K37" s="231"/>
      <c r="L37" s="231" t="s">
        <v>287</v>
      </c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35</v>
      </c>
      <c r="H39" s="251" t="s">
        <v>135</v>
      </c>
      <c r="I39" s="251" t="s">
        <v>35</v>
      </c>
      <c r="J39" s="251" t="s">
        <v>135</v>
      </c>
      <c r="K39" s="251" t="s">
        <v>35</v>
      </c>
      <c r="L39" s="251" t="s">
        <v>135</v>
      </c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 t="s">
        <v>326</v>
      </c>
      <c r="L40" s="253" t="s">
        <v>326</v>
      </c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48.0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>
        <v>46260.0</v>
      </c>
      <c r="L41" s="236">
        <v>46260.0</v>
      </c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8.13"/>
    <col customWidth="1" min="2" max="4" width="29.5"/>
    <col customWidth="1" hidden="1" min="5" max="5" width="1.88"/>
    <col customWidth="1" min="6" max="20" width="4.38"/>
    <col customWidth="1" min="21" max="21" width="2.88"/>
    <col customWidth="1" min="22" max="23" width="9.0"/>
    <col customWidth="1" min="24" max="26" width="10.0"/>
  </cols>
  <sheetData>
    <row r="1" ht="13.5" customHeight="1">
      <c r="A1" s="124"/>
      <c r="B1" s="125"/>
      <c r="C1" s="126"/>
      <c r="D1" s="127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13.5" customHeight="1">
      <c r="A2" s="128" t="s">
        <v>264</v>
      </c>
      <c r="B2" s="129"/>
      <c r="C2" s="130" t="str">
        <f>Functions!E38</f>
        <v>FUNC-TXN-001</v>
      </c>
      <c r="D2" s="131"/>
      <c r="E2" s="132"/>
      <c r="F2" s="133" t="s">
        <v>45</v>
      </c>
      <c r="G2" s="134"/>
      <c r="H2" s="134"/>
      <c r="I2" s="134"/>
      <c r="J2" s="134"/>
      <c r="K2" s="135"/>
      <c r="L2" s="136" t="str">
        <f>Functions!D38</f>
        <v>CreateTransactionAsync</v>
      </c>
      <c r="M2" s="131"/>
      <c r="N2" s="131"/>
      <c r="O2" s="131"/>
      <c r="P2" s="131"/>
      <c r="Q2" s="131"/>
      <c r="R2" s="131"/>
      <c r="S2" s="131"/>
      <c r="T2" s="137"/>
      <c r="U2" s="126"/>
      <c r="V2" s="138"/>
      <c r="W2" s="126"/>
      <c r="X2" s="126"/>
      <c r="Y2" s="126"/>
      <c r="Z2" s="126"/>
    </row>
    <row r="3" ht="13.5" customHeight="1">
      <c r="A3" s="139" t="s">
        <v>265</v>
      </c>
      <c r="B3" s="14"/>
      <c r="C3" s="140" t="s">
        <v>266</v>
      </c>
      <c r="D3" s="141"/>
      <c r="E3" s="142"/>
      <c r="F3" s="143" t="s">
        <v>267</v>
      </c>
      <c r="G3" s="13"/>
      <c r="H3" s="13"/>
      <c r="I3" s="13"/>
      <c r="J3" s="13"/>
      <c r="K3" s="14"/>
      <c r="L3" s="144"/>
      <c r="M3" s="141"/>
      <c r="N3" s="145"/>
      <c r="O3" s="146"/>
      <c r="P3" s="146"/>
      <c r="Q3" s="146"/>
      <c r="R3" s="146"/>
      <c r="S3" s="146"/>
      <c r="T3" s="147"/>
      <c r="U3" s="126"/>
      <c r="V3" s="126"/>
      <c r="W3" s="126"/>
      <c r="X3" s="126"/>
      <c r="Y3" s="126"/>
      <c r="Z3" s="126"/>
    </row>
    <row r="4" ht="13.5" customHeight="1">
      <c r="A4" s="139" t="s">
        <v>268</v>
      </c>
      <c r="B4" s="14"/>
      <c r="C4" s="148">
        <v>69.0</v>
      </c>
      <c r="D4" s="29"/>
      <c r="E4" s="149"/>
      <c r="F4" s="143" t="s">
        <v>269</v>
      </c>
      <c r="G4" s="13"/>
      <c r="H4" s="13"/>
      <c r="I4" s="13"/>
      <c r="J4" s="13"/>
      <c r="K4" s="14"/>
      <c r="L4" s="150">
        <f>IF(Functions!E6&lt;&gt;"N/A",SUM(C4*Functions!E6/1000,-O7),"N/A")</f>
        <v>-2.24</v>
      </c>
      <c r="M4" s="13"/>
      <c r="N4" s="13"/>
      <c r="O4" s="13"/>
      <c r="P4" s="13"/>
      <c r="Q4" s="13"/>
      <c r="R4" s="13"/>
      <c r="S4" s="13"/>
      <c r="T4" s="151"/>
      <c r="U4" s="126"/>
      <c r="V4" s="138"/>
      <c r="W4" s="126"/>
      <c r="X4" s="126"/>
      <c r="Y4" s="126"/>
      <c r="Z4" s="126"/>
    </row>
    <row r="5" ht="13.5" customHeight="1">
      <c r="A5" s="139" t="s">
        <v>270</v>
      </c>
      <c r="B5" s="14"/>
      <c r="C5" s="152" t="s">
        <v>764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51"/>
      <c r="U5" s="126"/>
      <c r="V5" s="126"/>
      <c r="W5" s="126"/>
      <c r="X5" s="126"/>
      <c r="Y5" s="126"/>
      <c r="Z5" s="126"/>
    </row>
    <row r="6" ht="13.5" customHeight="1">
      <c r="A6" s="153" t="s">
        <v>130</v>
      </c>
      <c r="B6" s="14"/>
      <c r="C6" s="154" t="s">
        <v>132</v>
      </c>
      <c r="D6" s="13"/>
      <c r="E6" s="14"/>
      <c r="F6" s="154" t="s">
        <v>134</v>
      </c>
      <c r="G6" s="13"/>
      <c r="H6" s="13"/>
      <c r="I6" s="13"/>
      <c r="J6" s="13"/>
      <c r="K6" s="14"/>
      <c r="L6" s="155" t="s">
        <v>272</v>
      </c>
      <c r="M6" s="13"/>
      <c r="N6" s="29"/>
      <c r="O6" s="154" t="s">
        <v>138</v>
      </c>
      <c r="P6" s="13"/>
      <c r="Q6" s="13"/>
      <c r="R6" s="13"/>
      <c r="S6" s="13"/>
      <c r="T6" s="151"/>
      <c r="U6" s="126"/>
      <c r="V6" s="138"/>
      <c r="W6" s="126"/>
      <c r="X6" s="126"/>
      <c r="Y6" s="126"/>
      <c r="Z6" s="126"/>
    </row>
    <row r="7" ht="13.5" customHeight="1">
      <c r="A7" s="156">
        <f>COUNTIF(F40:T40,"P")</f>
        <v>5</v>
      </c>
      <c r="B7" s="157"/>
      <c r="C7" s="158">
        <f>COUNTIF(F40:T40,"F")</f>
        <v>0</v>
      </c>
      <c r="D7" s="159"/>
      <c r="E7" s="157"/>
      <c r="F7" s="158">
        <f>SUM(O7,-A7,-C7)</f>
        <v>0</v>
      </c>
      <c r="G7" s="159"/>
      <c r="H7" s="159"/>
      <c r="I7" s="159"/>
      <c r="J7" s="159"/>
      <c r="K7" s="157"/>
      <c r="L7" s="160">
        <f>COUNTIF(F39:T39,"N")</f>
        <v>1</v>
      </c>
      <c r="M7" s="160">
        <f>COUNTIF(F39:T39,"A")</f>
        <v>3</v>
      </c>
      <c r="N7" s="160">
        <f>COUNTIF(F39:T39,"B")</f>
        <v>1</v>
      </c>
      <c r="O7" s="158">
        <f>COUNTA(F40:T40)</f>
        <v>5</v>
      </c>
      <c r="P7" s="159"/>
      <c r="Q7" s="159"/>
      <c r="R7" s="159"/>
      <c r="S7" s="159"/>
      <c r="T7" s="161"/>
      <c r="U7" s="162"/>
      <c r="V7" s="126"/>
      <c r="W7" s="126"/>
      <c r="X7" s="126"/>
      <c r="Y7" s="126"/>
      <c r="Z7" s="126"/>
    </row>
    <row r="8" ht="12.0" customHeight="1">
      <c r="A8" s="126"/>
      <c r="B8" s="163"/>
      <c r="C8" s="126"/>
      <c r="D8" s="127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46.5" customHeight="1">
      <c r="A9" s="210"/>
      <c r="B9" s="212"/>
      <c r="C9" s="214"/>
      <c r="D9" s="216"/>
      <c r="E9" s="214"/>
      <c r="F9" s="218" t="s">
        <v>273</v>
      </c>
      <c r="G9" s="218" t="s">
        <v>274</v>
      </c>
      <c r="H9" s="218" t="s">
        <v>304</v>
      </c>
      <c r="I9" s="218" t="s">
        <v>305</v>
      </c>
      <c r="J9" s="218" t="s">
        <v>306</v>
      </c>
      <c r="K9" s="218" t="s">
        <v>307</v>
      </c>
      <c r="L9" s="218" t="s">
        <v>275</v>
      </c>
      <c r="M9" s="218" t="s">
        <v>276</v>
      </c>
      <c r="N9" s="218" t="s">
        <v>277</v>
      </c>
      <c r="O9" s="218" t="s">
        <v>278</v>
      </c>
      <c r="P9" s="218" t="s">
        <v>279</v>
      </c>
      <c r="Q9" s="218" t="s">
        <v>280</v>
      </c>
      <c r="R9" s="218" t="s">
        <v>281</v>
      </c>
      <c r="S9" s="218" t="s">
        <v>282</v>
      </c>
      <c r="T9" s="220" t="s">
        <v>283</v>
      </c>
      <c r="U9" s="170"/>
      <c r="V9" s="138"/>
      <c r="W9" s="126"/>
      <c r="X9" s="126"/>
      <c r="Y9" s="126"/>
      <c r="Z9" s="126"/>
    </row>
    <row r="10" ht="13.5" customHeight="1">
      <c r="A10" s="171" t="s">
        <v>284</v>
      </c>
      <c r="B10" s="221" t="s">
        <v>285</v>
      </c>
      <c r="C10" s="223"/>
      <c r="D10" s="224"/>
      <c r="E10" s="179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30"/>
      <c r="U10" s="126"/>
      <c r="V10" s="126"/>
      <c r="W10" s="126"/>
      <c r="X10" s="126"/>
      <c r="Y10" s="126"/>
      <c r="Z10" s="126"/>
    </row>
    <row r="11" ht="13.5" customHeight="1">
      <c r="A11" s="178"/>
      <c r="B11" s="172"/>
      <c r="C11" s="173"/>
      <c r="D11" s="174" t="s">
        <v>765</v>
      </c>
      <c r="E11" s="179"/>
      <c r="F11" s="231" t="s">
        <v>287</v>
      </c>
      <c r="G11" s="231" t="s">
        <v>287</v>
      </c>
      <c r="H11" s="231" t="s">
        <v>287</v>
      </c>
      <c r="I11" s="231" t="s">
        <v>287</v>
      </c>
      <c r="J11" s="231" t="s">
        <v>287</v>
      </c>
      <c r="K11" s="231"/>
      <c r="L11" s="231"/>
      <c r="M11" s="231"/>
      <c r="N11" s="231"/>
      <c r="O11" s="231"/>
      <c r="P11" s="231"/>
      <c r="Q11" s="231"/>
      <c r="R11" s="231"/>
      <c r="S11" s="231"/>
      <c r="T11" s="234"/>
      <c r="U11" s="126"/>
      <c r="V11" s="138"/>
      <c r="W11" s="126"/>
      <c r="X11" s="126"/>
      <c r="Y11" s="126"/>
      <c r="Z11" s="126"/>
    </row>
    <row r="12" ht="13.5" customHeight="1">
      <c r="A12" s="178"/>
      <c r="B12" s="172" t="s">
        <v>766</v>
      </c>
      <c r="C12" s="173"/>
      <c r="D12" s="174" t="s">
        <v>767</v>
      </c>
      <c r="E12" s="179"/>
      <c r="F12" s="231" t="s">
        <v>287</v>
      </c>
      <c r="G12" s="231"/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4"/>
      <c r="U12" s="126"/>
      <c r="V12" s="126"/>
      <c r="W12" s="126"/>
      <c r="X12" s="126"/>
      <c r="Y12" s="126"/>
      <c r="Z12" s="126"/>
    </row>
    <row r="13" ht="13.5" customHeight="1">
      <c r="A13" s="178"/>
      <c r="B13" s="172"/>
      <c r="C13" s="173"/>
      <c r="D13" s="174" t="s">
        <v>768</v>
      </c>
      <c r="E13" s="180"/>
      <c r="F13" s="231"/>
      <c r="G13" s="231" t="s">
        <v>287</v>
      </c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31"/>
      <c r="T13" s="234"/>
      <c r="U13" s="126"/>
      <c r="V13" s="126"/>
      <c r="W13" s="126"/>
      <c r="X13" s="126"/>
      <c r="Y13" s="126"/>
      <c r="Z13" s="126"/>
    </row>
    <row r="14" ht="13.5" customHeight="1">
      <c r="A14" s="178"/>
      <c r="B14" s="172"/>
      <c r="C14" s="173"/>
      <c r="D14" s="174" t="s">
        <v>769</v>
      </c>
      <c r="E14" s="181"/>
      <c r="F14" s="231"/>
      <c r="G14" s="231"/>
      <c r="H14" s="231" t="s">
        <v>287</v>
      </c>
      <c r="I14" s="231"/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4"/>
      <c r="U14" s="126"/>
      <c r="V14" s="126"/>
      <c r="W14" s="126"/>
      <c r="X14" s="126"/>
      <c r="Y14" s="126"/>
      <c r="Z14" s="126"/>
    </row>
    <row r="15" ht="13.5" customHeight="1">
      <c r="A15" s="178"/>
      <c r="B15" s="172"/>
      <c r="C15" s="173"/>
      <c r="D15" s="174" t="s">
        <v>770</v>
      </c>
      <c r="E15" s="181"/>
      <c r="F15" s="231"/>
      <c r="G15" s="231"/>
      <c r="H15" s="231"/>
      <c r="I15" s="231" t="s">
        <v>287</v>
      </c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4"/>
      <c r="U15" s="126"/>
      <c r="V15" s="126"/>
      <c r="W15" s="126"/>
      <c r="X15" s="126"/>
      <c r="Y15" s="126"/>
      <c r="Z15" s="126"/>
    </row>
    <row r="16" ht="13.5" customHeight="1">
      <c r="A16" s="178"/>
      <c r="B16" s="172"/>
      <c r="C16" s="173"/>
      <c r="D16" s="174" t="s">
        <v>771</v>
      </c>
      <c r="E16" s="181"/>
      <c r="F16" s="231"/>
      <c r="G16" s="231"/>
      <c r="H16" s="231"/>
      <c r="I16" s="231"/>
      <c r="J16" s="231" t="s">
        <v>287</v>
      </c>
      <c r="K16" s="231"/>
      <c r="L16" s="231"/>
      <c r="M16" s="231"/>
      <c r="N16" s="231"/>
      <c r="O16" s="231"/>
      <c r="P16" s="231"/>
      <c r="Q16" s="231"/>
      <c r="R16" s="231"/>
      <c r="S16" s="231"/>
      <c r="T16" s="234"/>
      <c r="U16" s="126"/>
      <c r="V16" s="126"/>
      <c r="W16" s="126"/>
      <c r="X16" s="126"/>
      <c r="Y16" s="126"/>
      <c r="Z16" s="126"/>
    </row>
    <row r="17" ht="13.5" customHeight="1">
      <c r="A17" s="178"/>
      <c r="B17" s="172"/>
      <c r="C17" s="173"/>
      <c r="D17" s="174"/>
      <c r="E17" s="18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4"/>
      <c r="U17" s="245"/>
      <c r="V17" s="126"/>
      <c r="W17" s="126"/>
      <c r="X17" s="126"/>
      <c r="Y17" s="126"/>
      <c r="Z17" s="126"/>
    </row>
    <row r="18" ht="13.5" customHeight="1">
      <c r="A18" s="178"/>
      <c r="B18" s="172"/>
      <c r="C18" s="173"/>
      <c r="D18" s="174"/>
      <c r="E18" s="18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1"/>
      <c r="T18" s="234"/>
      <c r="U18" s="245"/>
      <c r="V18" s="126"/>
      <c r="W18" s="126"/>
      <c r="X18" s="126"/>
      <c r="Y18" s="126"/>
      <c r="Z18" s="126"/>
    </row>
    <row r="19" ht="13.5" customHeight="1">
      <c r="A19" s="178"/>
      <c r="B19" s="172"/>
      <c r="C19" s="173"/>
      <c r="D19" s="127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4"/>
      <c r="U19" s="126"/>
      <c r="V19" s="126"/>
      <c r="W19" s="126"/>
      <c r="X19" s="126"/>
      <c r="Y19" s="126"/>
      <c r="Z19" s="126"/>
    </row>
    <row r="20" ht="13.5" customHeight="1">
      <c r="A20" s="178"/>
      <c r="B20" s="172"/>
      <c r="C20" s="173"/>
      <c r="D20" s="174"/>
      <c r="E20" s="18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1"/>
      <c r="T20" s="234"/>
      <c r="U20" s="126"/>
      <c r="V20" s="126"/>
      <c r="W20" s="126"/>
      <c r="X20" s="126"/>
      <c r="Y20" s="126"/>
      <c r="Z20" s="126"/>
    </row>
    <row r="21" ht="13.5" customHeight="1">
      <c r="A21" s="178"/>
      <c r="B21" s="172"/>
      <c r="C21" s="173"/>
      <c r="D21" s="174"/>
      <c r="E21" s="18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1"/>
      <c r="T21" s="234"/>
      <c r="U21" s="126"/>
      <c r="V21" s="126"/>
      <c r="W21" s="126"/>
      <c r="X21" s="126"/>
      <c r="Y21" s="126"/>
      <c r="Z21" s="126"/>
    </row>
    <row r="22" ht="13.5" customHeight="1">
      <c r="A22" s="178"/>
      <c r="B22" s="172"/>
      <c r="C22" s="173"/>
      <c r="D22" s="174"/>
      <c r="E22" s="18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4"/>
      <c r="U22" s="126"/>
      <c r="V22" s="126"/>
      <c r="W22" s="126"/>
      <c r="X22" s="126"/>
      <c r="Y22" s="126"/>
      <c r="Z22" s="126"/>
    </row>
    <row r="23" ht="13.5" customHeight="1">
      <c r="A23" s="178"/>
      <c r="B23" s="172"/>
      <c r="C23" s="173"/>
      <c r="D23" s="174"/>
      <c r="E23" s="18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1"/>
      <c r="T23" s="234"/>
      <c r="U23" s="126"/>
      <c r="V23" s="126"/>
      <c r="W23" s="126"/>
      <c r="X23" s="126"/>
      <c r="Y23" s="126"/>
      <c r="Z23" s="126"/>
    </row>
    <row r="24" ht="13.5" customHeight="1">
      <c r="A24" s="178"/>
      <c r="B24" s="172"/>
      <c r="C24" s="173"/>
      <c r="D24" s="174"/>
      <c r="E24" s="18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1"/>
      <c r="T24" s="234"/>
      <c r="U24" s="126"/>
      <c r="V24" s="126"/>
      <c r="W24" s="126"/>
      <c r="X24" s="126"/>
      <c r="Y24" s="126"/>
      <c r="Z24" s="126"/>
    </row>
    <row r="25" ht="13.5" customHeight="1">
      <c r="A25" s="178"/>
      <c r="B25" s="172"/>
      <c r="C25" s="173"/>
      <c r="D25" s="174"/>
      <c r="E25" s="18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1"/>
      <c r="T25" s="234"/>
      <c r="U25" s="126"/>
      <c r="V25" s="126"/>
      <c r="W25" s="126"/>
      <c r="X25" s="126"/>
      <c r="Y25" s="126"/>
      <c r="Z25" s="126"/>
    </row>
    <row r="26" ht="13.5" customHeight="1">
      <c r="A26" s="178"/>
      <c r="B26" s="172"/>
      <c r="C26" s="173"/>
      <c r="D26" s="174"/>
      <c r="E26" s="18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4"/>
      <c r="U26" s="126"/>
      <c r="V26" s="126"/>
      <c r="W26" s="126"/>
      <c r="X26" s="126"/>
      <c r="Y26" s="126"/>
      <c r="Z26" s="126"/>
    </row>
    <row r="27" ht="13.5" customHeight="1">
      <c r="A27" s="178"/>
      <c r="B27" s="172"/>
      <c r="C27" s="173"/>
      <c r="D27" s="174"/>
      <c r="E27" s="18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4"/>
      <c r="U27" s="126"/>
      <c r="V27" s="126"/>
      <c r="W27" s="126"/>
      <c r="X27" s="126"/>
      <c r="Y27" s="126"/>
      <c r="Z27" s="126"/>
    </row>
    <row r="28" ht="13.5" customHeight="1">
      <c r="A28" s="178"/>
      <c r="B28" s="172"/>
      <c r="C28" s="173"/>
      <c r="D28" s="174"/>
      <c r="E28" s="181"/>
      <c r="F28" s="231"/>
      <c r="G28" s="231"/>
      <c r="H28" s="231"/>
      <c r="I28" s="231"/>
      <c r="J28" s="231"/>
      <c r="K28" s="231"/>
      <c r="L28" s="231"/>
      <c r="M28" s="231"/>
      <c r="N28" s="231"/>
      <c r="O28" s="231"/>
      <c r="P28" s="231"/>
      <c r="Q28" s="231"/>
      <c r="R28" s="231"/>
      <c r="S28" s="231"/>
      <c r="T28" s="234"/>
      <c r="U28" s="126"/>
      <c r="V28" s="126"/>
      <c r="W28" s="126"/>
      <c r="X28" s="126"/>
      <c r="Y28" s="126"/>
      <c r="Z28" s="126"/>
    </row>
    <row r="29" ht="13.5" customHeight="1">
      <c r="A29" s="178"/>
      <c r="B29" s="172"/>
      <c r="C29" s="173"/>
      <c r="D29" s="174"/>
      <c r="E29" s="18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4"/>
      <c r="U29" s="126"/>
      <c r="V29" s="126"/>
      <c r="W29" s="126"/>
      <c r="X29" s="126"/>
      <c r="Y29" s="126"/>
      <c r="Z29" s="126"/>
    </row>
    <row r="30" ht="13.5" customHeight="1">
      <c r="A30" s="178"/>
      <c r="B30" s="183"/>
      <c r="C30" s="184"/>
      <c r="D30" s="185"/>
      <c r="E30" s="18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7"/>
      <c r="U30" s="126"/>
      <c r="V30" s="126"/>
      <c r="W30" s="126"/>
      <c r="X30" s="126"/>
      <c r="Y30" s="126"/>
      <c r="Z30" s="126"/>
    </row>
    <row r="31" ht="13.5" customHeight="1">
      <c r="A31" s="189" t="s">
        <v>290</v>
      </c>
      <c r="B31" s="190" t="s">
        <v>291</v>
      </c>
      <c r="C31" s="191"/>
      <c r="D31" s="192" t="s">
        <v>772</v>
      </c>
      <c r="E31" s="193"/>
      <c r="F31" s="226" t="s">
        <v>287</v>
      </c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30"/>
      <c r="U31" s="126"/>
      <c r="V31" s="126"/>
      <c r="W31" s="126"/>
      <c r="X31" s="126"/>
      <c r="Y31" s="126"/>
      <c r="Z31" s="126"/>
    </row>
    <row r="32" ht="13.5" customHeight="1">
      <c r="A32" s="196"/>
      <c r="B32" s="201"/>
      <c r="C32" s="198"/>
      <c r="D32" s="199" t="s">
        <v>773</v>
      </c>
      <c r="E32" s="200"/>
      <c r="F32" s="231"/>
      <c r="G32" s="231" t="s">
        <v>287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4"/>
      <c r="U32" s="126"/>
      <c r="V32" s="126"/>
      <c r="W32" s="126"/>
      <c r="X32" s="126"/>
      <c r="Y32" s="126"/>
      <c r="Z32" s="126"/>
    </row>
    <row r="33" ht="13.5" customHeight="1">
      <c r="A33" s="196"/>
      <c r="B33" s="201"/>
      <c r="C33" s="248"/>
      <c r="D33" s="199" t="s">
        <v>774</v>
      </c>
      <c r="E33" s="203"/>
      <c r="F33" s="231"/>
      <c r="G33" s="231"/>
      <c r="H33" s="231" t="s">
        <v>287</v>
      </c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4"/>
      <c r="U33" s="126"/>
      <c r="V33" s="126"/>
      <c r="W33" s="126"/>
      <c r="X33" s="126"/>
      <c r="Y33" s="126"/>
      <c r="Z33" s="126"/>
    </row>
    <row r="34" ht="13.5" customHeight="1">
      <c r="A34" s="196"/>
      <c r="B34" s="201"/>
      <c r="C34" s="248"/>
      <c r="D34" s="199" t="s">
        <v>775</v>
      </c>
      <c r="E34" s="203"/>
      <c r="F34" s="231"/>
      <c r="G34" s="231"/>
      <c r="H34" s="231"/>
      <c r="I34" s="231" t="s">
        <v>287</v>
      </c>
      <c r="J34" s="231"/>
      <c r="K34" s="231"/>
      <c r="L34" s="231"/>
      <c r="M34" s="231"/>
      <c r="N34" s="231"/>
      <c r="O34" s="231"/>
      <c r="P34" s="231"/>
      <c r="Q34" s="231"/>
      <c r="R34" s="231"/>
      <c r="S34" s="231"/>
      <c r="T34" s="234"/>
      <c r="U34" s="126"/>
      <c r="V34" s="126"/>
      <c r="W34" s="126"/>
      <c r="X34" s="126"/>
      <c r="Y34" s="126"/>
      <c r="Z34" s="126"/>
    </row>
    <row r="35" ht="13.5" customHeight="1">
      <c r="A35" s="196"/>
      <c r="B35" s="201"/>
      <c r="C35" s="248"/>
      <c r="D35" s="199" t="s">
        <v>776</v>
      </c>
      <c r="E35" s="203"/>
      <c r="F35" s="231"/>
      <c r="G35" s="231"/>
      <c r="H35" s="231"/>
      <c r="I35" s="231"/>
      <c r="J35" s="231" t="s">
        <v>287</v>
      </c>
      <c r="K35" s="231"/>
      <c r="L35" s="231"/>
      <c r="M35" s="231"/>
      <c r="N35" s="231"/>
      <c r="O35" s="231"/>
      <c r="P35" s="231"/>
      <c r="Q35" s="231"/>
      <c r="R35" s="231"/>
      <c r="S35" s="231"/>
      <c r="T35" s="234"/>
      <c r="U35" s="126"/>
      <c r="V35" s="126"/>
      <c r="W35" s="126"/>
      <c r="X35" s="126"/>
      <c r="Y35" s="126"/>
      <c r="Z35" s="126"/>
    </row>
    <row r="36" ht="13.5" customHeight="1">
      <c r="A36" s="196"/>
      <c r="B36" s="201"/>
      <c r="C36" s="248"/>
      <c r="D36" s="199"/>
      <c r="E36" s="203"/>
      <c r="F36" s="231"/>
      <c r="G36" s="231"/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4"/>
      <c r="U36" s="126"/>
      <c r="V36" s="126"/>
      <c r="W36" s="126"/>
      <c r="X36" s="126"/>
      <c r="Y36" s="126"/>
      <c r="Z36" s="126"/>
    </row>
    <row r="37" ht="13.5" customHeight="1">
      <c r="A37" s="196"/>
      <c r="B37" s="201"/>
      <c r="C37" s="248"/>
      <c r="D37" s="199"/>
      <c r="E37" s="203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4"/>
      <c r="U37" s="126"/>
      <c r="V37" s="126"/>
      <c r="W37" s="126"/>
      <c r="X37" s="126"/>
      <c r="Y37" s="126"/>
      <c r="Z37" s="126"/>
    </row>
    <row r="38" ht="13.5" customHeight="1">
      <c r="A38" s="196"/>
      <c r="B38" s="204"/>
      <c r="C38" s="205"/>
      <c r="D38" s="206"/>
      <c r="E38" s="207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50"/>
      <c r="U38" s="126"/>
      <c r="V38" s="126"/>
      <c r="W38" s="126"/>
      <c r="X38" s="126"/>
      <c r="Y38" s="126"/>
      <c r="Z38" s="126"/>
    </row>
    <row r="39" ht="13.5" customHeight="1">
      <c r="A39" s="189" t="s">
        <v>302</v>
      </c>
      <c r="B39" s="211" t="s">
        <v>303</v>
      </c>
      <c r="C39" s="213"/>
      <c r="D39" s="215"/>
      <c r="E39" s="217"/>
      <c r="F39" s="251" t="s">
        <v>35</v>
      </c>
      <c r="G39" s="251" t="s">
        <v>137</v>
      </c>
      <c r="H39" s="251" t="s">
        <v>35</v>
      </c>
      <c r="I39" s="251" t="s">
        <v>35</v>
      </c>
      <c r="J39" s="251" t="s">
        <v>135</v>
      </c>
      <c r="K39" s="251"/>
      <c r="L39" s="251"/>
      <c r="M39" s="251"/>
      <c r="N39" s="251"/>
      <c r="O39" s="251"/>
      <c r="P39" s="251"/>
      <c r="Q39" s="251"/>
      <c r="R39" s="251"/>
      <c r="S39" s="251"/>
      <c r="T39" s="252"/>
      <c r="U39" s="126"/>
      <c r="V39" s="126"/>
      <c r="W39" s="126"/>
      <c r="X39" s="126"/>
      <c r="Y39" s="126"/>
      <c r="Z39" s="126"/>
    </row>
    <row r="40" ht="13.5" customHeight="1">
      <c r="A40" s="196"/>
      <c r="B40" s="227" t="s">
        <v>308</v>
      </c>
      <c r="C40" s="13"/>
      <c r="D40" s="14"/>
      <c r="E40" s="228"/>
      <c r="F40" s="253" t="s">
        <v>326</v>
      </c>
      <c r="G40" s="253" t="s">
        <v>326</v>
      </c>
      <c r="H40" s="253" t="s">
        <v>326</v>
      </c>
      <c r="I40" s="253" t="s">
        <v>326</v>
      </c>
      <c r="J40" s="253" t="s">
        <v>326</v>
      </c>
      <c r="K40" s="253"/>
      <c r="L40" s="253"/>
      <c r="M40" s="253"/>
      <c r="N40" s="253"/>
      <c r="O40" s="253"/>
      <c r="P40" s="253"/>
      <c r="Q40" s="253"/>
      <c r="R40" s="253"/>
      <c r="S40" s="253"/>
      <c r="T40" s="254"/>
      <c r="U40" s="126"/>
      <c r="V40" s="126"/>
      <c r="W40" s="126"/>
      <c r="X40" s="126"/>
      <c r="Y40" s="126"/>
      <c r="Z40" s="126"/>
    </row>
    <row r="41" ht="66.0" customHeight="1">
      <c r="A41" s="196"/>
      <c r="B41" s="233" t="s">
        <v>310</v>
      </c>
      <c r="C41" s="13"/>
      <c r="D41" s="14"/>
      <c r="E41" s="235"/>
      <c r="F41" s="236">
        <v>46260.0</v>
      </c>
      <c r="G41" s="236">
        <v>46260.0</v>
      </c>
      <c r="H41" s="236">
        <v>46260.0</v>
      </c>
      <c r="I41" s="236">
        <v>46260.0</v>
      </c>
      <c r="J41" s="236">
        <v>46260.0</v>
      </c>
      <c r="K41" s="236"/>
      <c r="L41" s="236"/>
      <c r="M41" s="236"/>
      <c r="N41" s="236"/>
      <c r="O41" s="236"/>
      <c r="P41" s="236"/>
      <c r="Q41" s="236"/>
      <c r="R41" s="236"/>
      <c r="S41" s="236"/>
      <c r="T41" s="237"/>
      <c r="U41" s="126"/>
      <c r="V41" s="126"/>
      <c r="W41" s="126"/>
      <c r="X41" s="126"/>
      <c r="Y41" s="126"/>
      <c r="Z41" s="126"/>
    </row>
    <row r="42" ht="79.5" customHeight="1">
      <c r="A42" s="255"/>
      <c r="B42" s="239" t="s">
        <v>314</v>
      </c>
      <c r="C42" s="240"/>
      <c r="D42" s="241"/>
      <c r="E42" s="242"/>
      <c r="F42" s="243"/>
      <c r="G42" s="243"/>
      <c r="H42" s="243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4"/>
      <c r="U42" s="126"/>
      <c r="V42" s="126"/>
      <c r="W42" s="126"/>
      <c r="X42" s="126"/>
      <c r="Y42" s="126"/>
      <c r="Z42" s="126"/>
    </row>
    <row r="43" ht="12.0" customHeight="1">
      <c r="A43" s="256"/>
      <c r="B43" s="163"/>
      <c r="C43" s="126"/>
      <c r="D43" s="127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3.5" customHeight="1">
      <c r="A44" s="126"/>
      <c r="B44" s="163"/>
      <c r="C44" s="126"/>
      <c r="D44" s="127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3.5" customHeight="1">
      <c r="A45" s="126"/>
      <c r="B45" s="163"/>
      <c r="C45" s="126"/>
      <c r="D45" s="127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3.5" customHeight="1">
      <c r="A46" s="126"/>
      <c r="B46" s="163"/>
      <c r="C46" s="126"/>
      <c r="D46" s="127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3.5" customHeight="1">
      <c r="A47" s="126"/>
      <c r="B47" s="163"/>
      <c r="C47" s="126"/>
      <c r="D47" s="127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3.5" customHeight="1">
      <c r="A48" s="126"/>
      <c r="B48" s="163"/>
      <c r="C48" s="126"/>
      <c r="D48" s="127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3.5" customHeight="1">
      <c r="A49" s="126"/>
      <c r="B49" s="163"/>
      <c r="C49" s="126"/>
      <c r="D49" s="127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3.5" customHeight="1">
      <c r="A50" s="126"/>
      <c r="B50" s="163"/>
      <c r="C50" s="126"/>
      <c r="D50" s="127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3.5" customHeight="1">
      <c r="A51" s="126"/>
      <c r="B51" s="163"/>
      <c r="C51" s="126"/>
      <c r="D51" s="127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3.5" customHeight="1">
      <c r="A52" s="126"/>
      <c r="B52" s="163"/>
      <c r="C52" s="126"/>
      <c r="D52" s="127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3.5" customHeight="1">
      <c r="A53" s="126"/>
      <c r="B53" s="163"/>
      <c r="C53" s="126"/>
      <c r="D53" s="127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3.5" customHeight="1">
      <c r="A54" s="126"/>
      <c r="B54" s="163"/>
      <c r="C54" s="126"/>
      <c r="D54" s="127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3.5" customHeight="1">
      <c r="A55" s="126"/>
      <c r="B55" s="163"/>
      <c r="C55" s="126"/>
      <c r="D55" s="127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3.5" customHeight="1">
      <c r="A56" s="126"/>
      <c r="B56" s="163"/>
      <c r="C56" s="126"/>
      <c r="D56" s="127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3.5" customHeight="1">
      <c r="A57" s="126"/>
      <c r="B57" s="163"/>
      <c r="C57" s="126"/>
      <c r="D57" s="127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3.5" customHeight="1">
      <c r="A58" s="126"/>
      <c r="B58" s="163"/>
      <c r="C58" s="126"/>
      <c r="D58" s="127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3.5" customHeight="1">
      <c r="A59" s="126"/>
      <c r="B59" s="163"/>
      <c r="C59" s="126"/>
      <c r="D59" s="127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3.5" customHeight="1">
      <c r="A60" s="126"/>
      <c r="B60" s="163"/>
      <c r="C60" s="126"/>
      <c r="D60" s="127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3.5" customHeight="1">
      <c r="A61" s="126"/>
      <c r="B61" s="163"/>
      <c r="C61" s="126"/>
      <c r="D61" s="127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3.5" customHeight="1">
      <c r="A62" s="126"/>
      <c r="B62" s="163"/>
      <c r="C62" s="126"/>
      <c r="D62" s="127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3.5" customHeight="1">
      <c r="A63" s="126"/>
      <c r="B63" s="163"/>
      <c r="C63" s="126"/>
      <c r="D63" s="127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3.5" customHeight="1">
      <c r="A64" s="126"/>
      <c r="B64" s="163"/>
      <c r="C64" s="126"/>
      <c r="D64" s="127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3.5" customHeight="1">
      <c r="A65" s="126"/>
      <c r="B65" s="163"/>
      <c r="C65" s="126"/>
      <c r="D65" s="127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3.5" customHeight="1">
      <c r="A66" s="126"/>
      <c r="B66" s="163"/>
      <c r="C66" s="126"/>
      <c r="D66" s="127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3.5" customHeight="1">
      <c r="A67" s="126"/>
      <c r="B67" s="163"/>
      <c r="C67" s="126"/>
      <c r="D67" s="127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3.5" customHeight="1">
      <c r="A68" s="126"/>
      <c r="B68" s="163"/>
      <c r="C68" s="126"/>
      <c r="D68" s="127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3.5" customHeight="1">
      <c r="A69" s="126"/>
      <c r="B69" s="163"/>
      <c r="C69" s="126"/>
      <c r="D69" s="127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3.5" customHeight="1">
      <c r="A70" s="126"/>
      <c r="B70" s="163"/>
      <c r="C70" s="126"/>
      <c r="D70" s="127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3.5" customHeight="1">
      <c r="A71" s="126"/>
      <c r="B71" s="163"/>
      <c r="C71" s="126"/>
      <c r="D71" s="127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3.5" customHeight="1">
      <c r="A72" s="126"/>
      <c r="B72" s="163"/>
      <c r="C72" s="126"/>
      <c r="D72" s="127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3.5" customHeight="1">
      <c r="A73" s="126"/>
      <c r="B73" s="163"/>
      <c r="C73" s="126"/>
      <c r="D73" s="127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3.5" customHeight="1">
      <c r="A74" s="126"/>
      <c r="B74" s="163"/>
      <c r="C74" s="126"/>
      <c r="D74" s="127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3.5" customHeight="1">
      <c r="A75" s="126"/>
      <c r="B75" s="163"/>
      <c r="C75" s="126"/>
      <c r="D75" s="127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3.5" customHeight="1">
      <c r="A76" s="126"/>
      <c r="B76" s="163"/>
      <c r="C76" s="126"/>
      <c r="D76" s="127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3.5" customHeight="1">
      <c r="A77" s="126"/>
      <c r="B77" s="163"/>
      <c r="C77" s="126"/>
      <c r="D77" s="127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3.5" customHeight="1">
      <c r="A78" s="126"/>
      <c r="B78" s="163"/>
      <c r="C78" s="126"/>
      <c r="D78" s="127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3.5" customHeight="1">
      <c r="A79" s="126"/>
      <c r="B79" s="163"/>
      <c r="C79" s="126"/>
      <c r="D79" s="127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3.5" customHeight="1">
      <c r="A80" s="126"/>
      <c r="B80" s="163"/>
      <c r="C80" s="126"/>
      <c r="D80" s="127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3.5" customHeight="1">
      <c r="A81" s="126"/>
      <c r="B81" s="163"/>
      <c r="C81" s="126"/>
      <c r="D81" s="127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3.5" customHeight="1">
      <c r="A82" s="126"/>
      <c r="B82" s="163"/>
      <c r="C82" s="126"/>
      <c r="D82" s="127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3.5" customHeight="1">
      <c r="A83" s="126"/>
      <c r="B83" s="163"/>
      <c r="C83" s="126"/>
      <c r="D83" s="127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3.5" customHeight="1">
      <c r="A84" s="126"/>
      <c r="B84" s="163"/>
      <c r="C84" s="126"/>
      <c r="D84" s="127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3.5" customHeight="1">
      <c r="A85" s="126"/>
      <c r="B85" s="163"/>
      <c r="C85" s="126"/>
      <c r="D85" s="127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3.5" customHeight="1">
      <c r="A86" s="126"/>
      <c r="B86" s="163"/>
      <c r="C86" s="126"/>
      <c r="D86" s="127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3.5" customHeight="1">
      <c r="A87" s="126"/>
      <c r="B87" s="163"/>
      <c r="C87" s="126"/>
      <c r="D87" s="127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3.5" customHeight="1">
      <c r="A88" s="126"/>
      <c r="B88" s="163"/>
      <c r="C88" s="126"/>
      <c r="D88" s="127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3.5" customHeight="1">
      <c r="A89" s="126"/>
      <c r="B89" s="163"/>
      <c r="C89" s="126"/>
      <c r="D89" s="127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3.5" customHeight="1">
      <c r="A90" s="126"/>
      <c r="B90" s="163"/>
      <c r="C90" s="126"/>
      <c r="D90" s="127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3.5" customHeight="1">
      <c r="A91" s="126"/>
      <c r="B91" s="163"/>
      <c r="C91" s="126"/>
      <c r="D91" s="127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3.5" customHeight="1">
      <c r="A92" s="126"/>
      <c r="B92" s="163"/>
      <c r="C92" s="126"/>
      <c r="D92" s="127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3.5" customHeight="1">
      <c r="A93" s="126"/>
      <c r="B93" s="163"/>
      <c r="C93" s="126"/>
      <c r="D93" s="127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3.5" customHeight="1">
      <c r="A94" s="126"/>
      <c r="B94" s="163"/>
      <c r="C94" s="126"/>
      <c r="D94" s="127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3.5" customHeight="1">
      <c r="A95" s="126"/>
      <c r="B95" s="163"/>
      <c r="C95" s="126"/>
      <c r="D95" s="127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3.5" customHeight="1">
      <c r="A96" s="126"/>
      <c r="B96" s="163"/>
      <c r="C96" s="126"/>
      <c r="D96" s="127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3.5" customHeight="1">
      <c r="A97" s="126"/>
      <c r="B97" s="163"/>
      <c r="C97" s="126"/>
      <c r="D97" s="127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3.5" customHeight="1">
      <c r="A98" s="126"/>
      <c r="B98" s="163"/>
      <c r="C98" s="126"/>
      <c r="D98" s="127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3.5" customHeight="1">
      <c r="A99" s="126"/>
      <c r="B99" s="163"/>
      <c r="C99" s="126"/>
      <c r="D99" s="127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3.5" customHeight="1">
      <c r="A100" s="126"/>
      <c r="B100" s="163"/>
      <c r="C100" s="126"/>
      <c r="D100" s="127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3.5" customHeight="1">
      <c r="A101" s="126"/>
      <c r="B101" s="163"/>
      <c r="C101" s="126"/>
      <c r="D101" s="127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3.5" customHeight="1">
      <c r="A102" s="126"/>
      <c r="B102" s="163"/>
      <c r="C102" s="126"/>
      <c r="D102" s="127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3.5" customHeight="1">
      <c r="A103" s="126"/>
      <c r="B103" s="163"/>
      <c r="C103" s="126"/>
      <c r="D103" s="127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3.5" customHeight="1">
      <c r="A104" s="126"/>
      <c r="B104" s="163"/>
      <c r="C104" s="126"/>
      <c r="D104" s="127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3.5" customHeight="1">
      <c r="A105" s="126"/>
      <c r="B105" s="163"/>
      <c r="C105" s="126"/>
      <c r="D105" s="127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3.5" customHeight="1">
      <c r="A106" s="126"/>
      <c r="B106" s="163"/>
      <c r="C106" s="126"/>
      <c r="D106" s="127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3.5" customHeight="1">
      <c r="A107" s="126"/>
      <c r="B107" s="163"/>
      <c r="C107" s="126"/>
      <c r="D107" s="127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3.5" customHeight="1">
      <c r="A108" s="126"/>
      <c r="B108" s="163"/>
      <c r="C108" s="126"/>
      <c r="D108" s="127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3.5" customHeight="1">
      <c r="A109" s="126"/>
      <c r="B109" s="163"/>
      <c r="C109" s="126"/>
      <c r="D109" s="127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3.5" customHeight="1">
      <c r="A110" s="126"/>
      <c r="B110" s="163"/>
      <c r="C110" s="126"/>
      <c r="D110" s="127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3.5" customHeight="1">
      <c r="A111" s="126"/>
      <c r="B111" s="163"/>
      <c r="C111" s="126"/>
      <c r="D111" s="127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3.5" customHeight="1">
      <c r="A112" s="126"/>
      <c r="B112" s="163"/>
      <c r="C112" s="126"/>
      <c r="D112" s="127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3.5" customHeight="1">
      <c r="A113" s="126"/>
      <c r="B113" s="163"/>
      <c r="C113" s="126"/>
      <c r="D113" s="127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3.5" customHeight="1">
      <c r="A114" s="126"/>
      <c r="B114" s="163"/>
      <c r="C114" s="126"/>
      <c r="D114" s="127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3.5" customHeight="1">
      <c r="A115" s="126"/>
      <c r="B115" s="163"/>
      <c r="C115" s="126"/>
      <c r="D115" s="127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3.5" customHeight="1">
      <c r="A116" s="126"/>
      <c r="B116" s="163"/>
      <c r="C116" s="126"/>
      <c r="D116" s="127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3.5" customHeight="1">
      <c r="A117" s="126"/>
      <c r="B117" s="163"/>
      <c r="C117" s="126"/>
      <c r="D117" s="127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3.5" customHeight="1">
      <c r="A118" s="126"/>
      <c r="B118" s="163"/>
      <c r="C118" s="126"/>
      <c r="D118" s="127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3.5" customHeight="1">
      <c r="A119" s="126"/>
      <c r="B119" s="163"/>
      <c r="C119" s="126"/>
      <c r="D119" s="127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3.5" customHeight="1">
      <c r="A120" s="126"/>
      <c r="B120" s="163"/>
      <c r="C120" s="126"/>
      <c r="D120" s="127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3.5" customHeight="1">
      <c r="A121" s="126"/>
      <c r="B121" s="163"/>
      <c r="C121" s="126"/>
      <c r="D121" s="127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3.5" customHeight="1">
      <c r="A122" s="126"/>
      <c r="B122" s="163"/>
      <c r="C122" s="126"/>
      <c r="D122" s="127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3.5" customHeight="1">
      <c r="A123" s="126"/>
      <c r="B123" s="163"/>
      <c r="C123" s="126"/>
      <c r="D123" s="127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3.5" customHeight="1">
      <c r="A124" s="126"/>
      <c r="B124" s="163"/>
      <c r="C124" s="126"/>
      <c r="D124" s="127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3.5" customHeight="1">
      <c r="A125" s="126"/>
      <c r="B125" s="163"/>
      <c r="C125" s="126"/>
      <c r="D125" s="127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3.5" customHeight="1">
      <c r="A126" s="126"/>
      <c r="B126" s="163"/>
      <c r="C126" s="126"/>
      <c r="D126" s="127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3.5" customHeight="1">
      <c r="A127" s="126"/>
      <c r="B127" s="163"/>
      <c r="C127" s="126"/>
      <c r="D127" s="127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3.5" customHeight="1">
      <c r="A128" s="126"/>
      <c r="B128" s="163"/>
      <c r="C128" s="126"/>
      <c r="D128" s="127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3.5" customHeight="1">
      <c r="A129" s="126"/>
      <c r="B129" s="163"/>
      <c r="C129" s="126"/>
      <c r="D129" s="127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3.5" customHeight="1">
      <c r="A130" s="126"/>
      <c r="B130" s="163"/>
      <c r="C130" s="126"/>
      <c r="D130" s="127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3.5" customHeight="1">
      <c r="A131" s="126"/>
      <c r="B131" s="163"/>
      <c r="C131" s="126"/>
      <c r="D131" s="127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3.5" customHeight="1">
      <c r="A132" s="126"/>
      <c r="B132" s="163"/>
      <c r="C132" s="126"/>
      <c r="D132" s="127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3.5" customHeight="1">
      <c r="A133" s="126"/>
      <c r="B133" s="163"/>
      <c r="C133" s="126"/>
      <c r="D133" s="127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3.5" customHeight="1">
      <c r="A134" s="126"/>
      <c r="B134" s="163"/>
      <c r="C134" s="126"/>
      <c r="D134" s="127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3.5" customHeight="1">
      <c r="A135" s="126"/>
      <c r="B135" s="163"/>
      <c r="C135" s="126"/>
      <c r="D135" s="127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3.5" customHeight="1">
      <c r="A136" s="126"/>
      <c r="B136" s="163"/>
      <c r="C136" s="126"/>
      <c r="D136" s="127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3.5" customHeight="1">
      <c r="A137" s="126"/>
      <c r="B137" s="163"/>
      <c r="C137" s="126"/>
      <c r="D137" s="127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3.5" customHeight="1">
      <c r="A138" s="126"/>
      <c r="B138" s="163"/>
      <c r="C138" s="126"/>
      <c r="D138" s="127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3.5" customHeight="1">
      <c r="A139" s="126"/>
      <c r="B139" s="163"/>
      <c r="C139" s="126"/>
      <c r="D139" s="127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3.5" customHeight="1">
      <c r="A140" s="126"/>
      <c r="B140" s="163"/>
      <c r="C140" s="126"/>
      <c r="D140" s="127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3.5" customHeight="1">
      <c r="A141" s="126"/>
      <c r="B141" s="163"/>
      <c r="C141" s="126"/>
      <c r="D141" s="127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3.5" customHeight="1">
      <c r="A142" s="126"/>
      <c r="B142" s="163"/>
      <c r="C142" s="126"/>
      <c r="D142" s="127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3.5" customHeight="1">
      <c r="A143" s="126"/>
      <c r="B143" s="163"/>
      <c r="C143" s="126"/>
      <c r="D143" s="127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3.5" customHeight="1">
      <c r="A144" s="126"/>
      <c r="B144" s="163"/>
      <c r="C144" s="126"/>
      <c r="D144" s="127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3.5" customHeight="1">
      <c r="A145" s="126"/>
      <c r="B145" s="163"/>
      <c r="C145" s="126"/>
      <c r="D145" s="127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3.5" customHeight="1">
      <c r="A146" s="126"/>
      <c r="B146" s="163"/>
      <c r="C146" s="126"/>
      <c r="D146" s="127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3.5" customHeight="1">
      <c r="A147" s="126"/>
      <c r="B147" s="163"/>
      <c r="C147" s="126"/>
      <c r="D147" s="127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3.5" customHeight="1">
      <c r="A148" s="126"/>
      <c r="B148" s="163"/>
      <c r="C148" s="126"/>
      <c r="D148" s="127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3.5" customHeight="1">
      <c r="A149" s="126"/>
      <c r="B149" s="163"/>
      <c r="C149" s="126"/>
      <c r="D149" s="127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3.5" customHeight="1">
      <c r="A150" s="126"/>
      <c r="B150" s="163"/>
      <c r="C150" s="126"/>
      <c r="D150" s="127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3.5" customHeight="1">
      <c r="A151" s="126"/>
      <c r="B151" s="163"/>
      <c r="C151" s="126"/>
      <c r="D151" s="127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3.5" customHeight="1">
      <c r="A152" s="126"/>
      <c r="B152" s="163"/>
      <c r="C152" s="126"/>
      <c r="D152" s="127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3.5" customHeight="1">
      <c r="A153" s="126"/>
      <c r="B153" s="163"/>
      <c r="C153" s="126"/>
      <c r="D153" s="127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3.5" customHeight="1">
      <c r="A154" s="126"/>
      <c r="B154" s="163"/>
      <c r="C154" s="126"/>
      <c r="D154" s="127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3.5" customHeight="1">
      <c r="A155" s="126"/>
      <c r="B155" s="163"/>
      <c r="C155" s="126"/>
      <c r="D155" s="127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3.5" customHeight="1">
      <c r="A156" s="126"/>
      <c r="B156" s="163"/>
      <c r="C156" s="126"/>
      <c r="D156" s="127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3.5" customHeight="1">
      <c r="A157" s="126"/>
      <c r="B157" s="163"/>
      <c r="C157" s="126"/>
      <c r="D157" s="127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3.5" customHeight="1">
      <c r="A158" s="126"/>
      <c r="B158" s="163"/>
      <c r="C158" s="126"/>
      <c r="D158" s="127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3.5" customHeight="1">
      <c r="A159" s="126"/>
      <c r="B159" s="163"/>
      <c r="C159" s="126"/>
      <c r="D159" s="127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3.5" customHeight="1">
      <c r="A160" s="126"/>
      <c r="B160" s="163"/>
      <c r="C160" s="126"/>
      <c r="D160" s="127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3.5" customHeight="1">
      <c r="A161" s="126"/>
      <c r="B161" s="163"/>
      <c r="C161" s="126"/>
      <c r="D161" s="127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3.5" customHeight="1">
      <c r="A162" s="126"/>
      <c r="B162" s="163"/>
      <c r="C162" s="126"/>
      <c r="D162" s="127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3.5" customHeight="1">
      <c r="A163" s="126"/>
      <c r="B163" s="163"/>
      <c r="C163" s="126"/>
      <c r="D163" s="127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3.5" customHeight="1">
      <c r="A164" s="126"/>
      <c r="B164" s="163"/>
      <c r="C164" s="126"/>
      <c r="D164" s="127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3.5" customHeight="1">
      <c r="A165" s="126"/>
      <c r="B165" s="163"/>
      <c r="C165" s="126"/>
      <c r="D165" s="127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3.5" customHeight="1">
      <c r="A166" s="126"/>
      <c r="B166" s="163"/>
      <c r="C166" s="126"/>
      <c r="D166" s="127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3.5" customHeight="1">
      <c r="A167" s="126"/>
      <c r="B167" s="163"/>
      <c r="C167" s="126"/>
      <c r="D167" s="127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3.5" customHeight="1">
      <c r="A168" s="126"/>
      <c r="B168" s="163"/>
      <c r="C168" s="126"/>
      <c r="D168" s="127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3.5" customHeight="1">
      <c r="A169" s="126"/>
      <c r="B169" s="163"/>
      <c r="C169" s="126"/>
      <c r="D169" s="127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3.5" customHeight="1">
      <c r="A170" s="126"/>
      <c r="B170" s="163"/>
      <c r="C170" s="126"/>
      <c r="D170" s="127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3.5" customHeight="1">
      <c r="A171" s="126"/>
      <c r="B171" s="163"/>
      <c r="C171" s="126"/>
      <c r="D171" s="127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3.5" customHeight="1">
      <c r="A172" s="126"/>
      <c r="B172" s="163"/>
      <c r="C172" s="126"/>
      <c r="D172" s="127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3.5" customHeight="1">
      <c r="A173" s="126"/>
      <c r="B173" s="163"/>
      <c r="C173" s="126"/>
      <c r="D173" s="127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3.5" customHeight="1">
      <c r="A174" s="126"/>
      <c r="B174" s="163"/>
      <c r="C174" s="126"/>
      <c r="D174" s="127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3.5" customHeight="1">
      <c r="A175" s="126"/>
      <c r="B175" s="163"/>
      <c r="C175" s="126"/>
      <c r="D175" s="127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3.5" customHeight="1">
      <c r="A176" s="126"/>
      <c r="B176" s="163"/>
      <c r="C176" s="126"/>
      <c r="D176" s="127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3.5" customHeight="1">
      <c r="A177" s="126"/>
      <c r="B177" s="163"/>
      <c r="C177" s="126"/>
      <c r="D177" s="127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3.5" customHeight="1">
      <c r="A178" s="126"/>
      <c r="B178" s="163"/>
      <c r="C178" s="126"/>
      <c r="D178" s="127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3.5" customHeight="1">
      <c r="A179" s="126"/>
      <c r="B179" s="163"/>
      <c r="C179" s="126"/>
      <c r="D179" s="127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3.5" customHeight="1">
      <c r="A180" s="126"/>
      <c r="B180" s="163"/>
      <c r="C180" s="126"/>
      <c r="D180" s="127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3.5" customHeight="1">
      <c r="A181" s="126"/>
      <c r="B181" s="163"/>
      <c r="C181" s="126"/>
      <c r="D181" s="127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3.5" customHeight="1">
      <c r="A182" s="126"/>
      <c r="B182" s="163"/>
      <c r="C182" s="126"/>
      <c r="D182" s="127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3.5" customHeight="1">
      <c r="A183" s="126"/>
      <c r="B183" s="163"/>
      <c r="C183" s="126"/>
      <c r="D183" s="127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3.5" customHeight="1">
      <c r="A184" s="126"/>
      <c r="B184" s="163"/>
      <c r="C184" s="126"/>
      <c r="D184" s="127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3.5" customHeight="1">
      <c r="A185" s="126"/>
      <c r="B185" s="163"/>
      <c r="C185" s="126"/>
      <c r="D185" s="127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3.5" customHeight="1">
      <c r="A186" s="126"/>
      <c r="B186" s="163"/>
      <c r="C186" s="126"/>
      <c r="D186" s="127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3.5" customHeight="1">
      <c r="A187" s="126"/>
      <c r="B187" s="163"/>
      <c r="C187" s="126"/>
      <c r="D187" s="127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3.5" customHeight="1">
      <c r="A188" s="126"/>
      <c r="B188" s="163"/>
      <c r="C188" s="126"/>
      <c r="D188" s="127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3.5" customHeight="1">
      <c r="A189" s="126"/>
      <c r="B189" s="163"/>
      <c r="C189" s="126"/>
      <c r="D189" s="127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3.5" customHeight="1">
      <c r="A190" s="126"/>
      <c r="B190" s="163"/>
      <c r="C190" s="126"/>
      <c r="D190" s="127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3.5" customHeight="1">
      <c r="A191" s="126"/>
      <c r="B191" s="163"/>
      <c r="C191" s="126"/>
      <c r="D191" s="127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3.5" customHeight="1">
      <c r="A192" s="126"/>
      <c r="B192" s="163"/>
      <c r="C192" s="126"/>
      <c r="D192" s="127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3.5" customHeight="1">
      <c r="A193" s="126"/>
      <c r="B193" s="163"/>
      <c r="C193" s="126"/>
      <c r="D193" s="127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3.5" customHeight="1">
      <c r="A194" s="126"/>
      <c r="B194" s="163"/>
      <c r="C194" s="126"/>
      <c r="D194" s="127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3.5" customHeight="1">
      <c r="A195" s="126"/>
      <c r="B195" s="163"/>
      <c r="C195" s="126"/>
      <c r="D195" s="127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3.5" customHeight="1">
      <c r="A196" s="126"/>
      <c r="B196" s="163"/>
      <c r="C196" s="126"/>
      <c r="D196" s="127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3.5" customHeight="1">
      <c r="A197" s="126"/>
      <c r="B197" s="163"/>
      <c r="C197" s="126"/>
      <c r="D197" s="127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3.5" customHeight="1">
      <c r="A198" s="126"/>
      <c r="B198" s="163"/>
      <c r="C198" s="126"/>
      <c r="D198" s="127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3.5" customHeight="1">
      <c r="A199" s="126"/>
      <c r="B199" s="163"/>
      <c r="C199" s="126"/>
      <c r="D199" s="127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3.5" customHeight="1">
      <c r="A200" s="126"/>
      <c r="B200" s="163"/>
      <c r="C200" s="126"/>
      <c r="D200" s="127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3.5" customHeight="1">
      <c r="A201" s="126"/>
      <c r="B201" s="163"/>
      <c r="C201" s="126"/>
      <c r="D201" s="127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3.5" customHeight="1">
      <c r="A202" s="126"/>
      <c r="B202" s="163"/>
      <c r="C202" s="126"/>
      <c r="D202" s="127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3.5" customHeight="1">
      <c r="A203" s="126"/>
      <c r="B203" s="163"/>
      <c r="C203" s="126"/>
      <c r="D203" s="127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3.5" customHeight="1">
      <c r="A204" s="126"/>
      <c r="B204" s="163"/>
      <c r="C204" s="126"/>
      <c r="D204" s="127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3.5" customHeight="1">
      <c r="A205" s="126"/>
      <c r="B205" s="163"/>
      <c r="C205" s="126"/>
      <c r="D205" s="127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3.5" customHeight="1">
      <c r="A206" s="126"/>
      <c r="B206" s="163"/>
      <c r="C206" s="126"/>
      <c r="D206" s="127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3.5" customHeight="1">
      <c r="A207" s="126"/>
      <c r="B207" s="163"/>
      <c r="C207" s="126"/>
      <c r="D207" s="127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3.5" customHeight="1">
      <c r="A208" s="126"/>
      <c r="B208" s="163"/>
      <c r="C208" s="126"/>
      <c r="D208" s="127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3.5" customHeight="1">
      <c r="A209" s="126"/>
      <c r="B209" s="163"/>
      <c r="C209" s="126"/>
      <c r="D209" s="127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3.5" customHeight="1">
      <c r="A210" s="126"/>
      <c r="B210" s="163"/>
      <c r="C210" s="126"/>
      <c r="D210" s="127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3.5" customHeight="1">
      <c r="A211" s="126"/>
      <c r="B211" s="163"/>
      <c r="C211" s="126"/>
      <c r="D211" s="127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3.5" customHeight="1">
      <c r="A212" s="126"/>
      <c r="B212" s="163"/>
      <c r="C212" s="126"/>
      <c r="D212" s="127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3.5" customHeight="1">
      <c r="A213" s="126"/>
      <c r="B213" s="163"/>
      <c r="C213" s="126"/>
      <c r="D213" s="127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3.5" customHeight="1">
      <c r="A214" s="126"/>
      <c r="B214" s="163"/>
      <c r="C214" s="126"/>
      <c r="D214" s="127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3.5" customHeight="1">
      <c r="A215" s="126"/>
      <c r="B215" s="163"/>
      <c r="C215" s="126"/>
      <c r="D215" s="127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3.5" customHeight="1">
      <c r="A216" s="126"/>
      <c r="B216" s="163"/>
      <c r="C216" s="126"/>
      <c r="D216" s="127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3.5" customHeight="1">
      <c r="A217" s="126"/>
      <c r="B217" s="163"/>
      <c r="C217" s="126"/>
      <c r="D217" s="127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3.5" customHeight="1">
      <c r="A218" s="126"/>
      <c r="B218" s="163"/>
      <c r="C218" s="126"/>
      <c r="D218" s="127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3.5" customHeight="1">
      <c r="A219" s="126"/>
      <c r="B219" s="163"/>
      <c r="C219" s="126"/>
      <c r="D219" s="127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3.5" customHeight="1">
      <c r="A220" s="126"/>
      <c r="B220" s="163"/>
      <c r="C220" s="126"/>
      <c r="D220" s="127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3.5" customHeight="1">
      <c r="A221" s="126"/>
      <c r="B221" s="163"/>
      <c r="C221" s="126"/>
      <c r="D221" s="127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3.5" customHeight="1">
      <c r="A222" s="126"/>
      <c r="B222" s="163"/>
      <c r="C222" s="126"/>
      <c r="D222" s="127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3.5" customHeight="1">
      <c r="A223" s="126"/>
      <c r="B223" s="163"/>
      <c r="C223" s="126"/>
      <c r="D223" s="127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3.5" customHeight="1">
      <c r="A224" s="126"/>
      <c r="B224" s="163"/>
      <c r="C224" s="126"/>
      <c r="D224" s="127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3.5" customHeight="1">
      <c r="A225" s="126"/>
      <c r="B225" s="163"/>
      <c r="C225" s="126"/>
      <c r="D225" s="127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3.5" customHeight="1">
      <c r="A226" s="126"/>
      <c r="B226" s="163"/>
      <c r="C226" s="126"/>
      <c r="D226" s="127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3.5" customHeight="1">
      <c r="A227" s="126"/>
      <c r="B227" s="163"/>
      <c r="C227" s="126"/>
      <c r="D227" s="127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3.5" customHeight="1">
      <c r="A228" s="126"/>
      <c r="B228" s="163"/>
      <c r="C228" s="126"/>
      <c r="D228" s="127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3.5" customHeight="1">
      <c r="A229" s="126"/>
      <c r="B229" s="163"/>
      <c r="C229" s="126"/>
      <c r="D229" s="127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3.5" customHeight="1">
      <c r="A230" s="126"/>
      <c r="B230" s="163"/>
      <c r="C230" s="126"/>
      <c r="D230" s="127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3.5" customHeight="1">
      <c r="A231" s="126"/>
      <c r="B231" s="163"/>
      <c r="C231" s="126"/>
      <c r="D231" s="127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3.5" customHeight="1">
      <c r="A232" s="126"/>
      <c r="B232" s="163"/>
      <c r="C232" s="126"/>
      <c r="D232" s="127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3.5" customHeight="1">
      <c r="A233" s="126"/>
      <c r="B233" s="163"/>
      <c r="C233" s="126"/>
      <c r="D233" s="127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3.5" customHeight="1">
      <c r="A234" s="126"/>
      <c r="B234" s="163"/>
      <c r="C234" s="126"/>
      <c r="D234" s="127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3.5" customHeight="1">
      <c r="A235" s="126"/>
      <c r="B235" s="163"/>
      <c r="C235" s="126"/>
      <c r="D235" s="127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3.5" customHeight="1">
      <c r="A236" s="126"/>
      <c r="B236" s="163"/>
      <c r="C236" s="126"/>
      <c r="D236" s="127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3.5" customHeight="1">
      <c r="A237" s="126"/>
      <c r="B237" s="163"/>
      <c r="C237" s="126"/>
      <c r="D237" s="127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3.5" customHeight="1">
      <c r="A238" s="126"/>
      <c r="B238" s="163"/>
      <c r="C238" s="126"/>
      <c r="D238" s="127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3.5" customHeight="1">
      <c r="A239" s="126"/>
      <c r="B239" s="163"/>
      <c r="C239" s="126"/>
      <c r="D239" s="127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3.5" customHeight="1">
      <c r="A240" s="126"/>
      <c r="B240" s="163"/>
      <c r="C240" s="126"/>
      <c r="D240" s="127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3.5" customHeight="1">
      <c r="A241" s="126"/>
      <c r="B241" s="163"/>
      <c r="C241" s="126"/>
      <c r="D241" s="127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3.5" customHeight="1">
      <c r="A242" s="126"/>
      <c r="B242" s="163"/>
      <c r="C242" s="126"/>
      <c r="D242" s="127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2:B2"/>
    <mergeCell ref="C2:E2"/>
    <mergeCell ref="F2:K2"/>
    <mergeCell ref="L2:T2"/>
    <mergeCell ref="C3:E3"/>
    <mergeCell ref="F3:K3"/>
    <mergeCell ref="L3:N3"/>
    <mergeCell ref="A3:B3"/>
    <mergeCell ref="A4:B4"/>
    <mergeCell ref="C4:D4"/>
    <mergeCell ref="F4:K4"/>
    <mergeCell ref="L4:T4"/>
    <mergeCell ref="A5:B5"/>
    <mergeCell ref="C5:T5"/>
    <mergeCell ref="O6:T6"/>
    <mergeCell ref="O7:T7"/>
    <mergeCell ref="D19:E19"/>
    <mergeCell ref="B39:D39"/>
    <mergeCell ref="B40:D40"/>
    <mergeCell ref="B41:D41"/>
    <mergeCell ref="B42:D42"/>
    <mergeCell ref="A6:B6"/>
    <mergeCell ref="C6:E6"/>
    <mergeCell ref="F6:K6"/>
    <mergeCell ref="L6:N6"/>
    <mergeCell ref="A7:B7"/>
    <mergeCell ref="C7:E7"/>
    <mergeCell ref="F7:K7"/>
  </mergeCells>
  <dataValidations>
    <dataValidation type="list" allowBlank="1" showInputMessage="1" showErrorMessage="1" prompt=" - " sqref="F40:T40">
      <formula1>"P,F"</formula1>
    </dataValidation>
    <dataValidation type="list" allowBlank="1" showInputMessage="1" showErrorMessage="1" prompt=" - " sqref="F10:T38">
      <formula1>"O"</formula1>
    </dataValidation>
    <dataValidation type="list" allowBlank="1" showInputMessage="1" showErrorMessage="1" prompt=" - " sqref="F39:T39">
      <formula1>"N,A,B"</formula1>
    </dataValidation>
  </dataValidation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2007-10-09T09:39:00Z</dcterms:created>
  <dc:creator>Nguyen Hoang Anh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C9F9188E28434D73BBF968F2B4205D77_12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