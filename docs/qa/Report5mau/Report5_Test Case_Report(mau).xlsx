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Authentication &amp; Onboarding" sheetId="4" r:id="rId7"/>
    <sheet state="visible" name="Space &amp; Listing Management" sheetId="5" r:id="rId8"/>
    <sheet state="visible" name="Search &amp; Public Feed" sheetId="6" r:id="rId9"/>
    <sheet state="visible" name="Booking &amp; Real-time Chat" sheetId="7" r:id="rId10"/>
    <sheet state="visible" name="E-Contract &amp; OTP Signing" sheetId="8" r:id="rId11"/>
    <sheet state="visible" name="Time-based Scheduling &amp; Sub-Boo" sheetId="9" r:id="rId12"/>
    <sheet state="visible" name="Tenant &amp; Contract Management " sheetId="10" r:id="rId13"/>
    <sheet state="visible" name="AI Image Editor" sheetId="11" r:id="rId14"/>
    <sheet state="visible" name="Wallet &amp; Payment" sheetId="12" r:id="rId15"/>
    <sheet state="visible" name="Admin Dashboard" sheetId="13" r:id="rId16"/>
  </sheets>
  <externalReferences>
    <externalReference r:id="rId17"/>
  </externalReference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18" roundtripDataChecksum="b0EShEUaMX0nT1qPDT/M/u1v4z9dVuYM34V4FKiFNK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sharedStrings.xml><?xml version="1.0" encoding="utf-8"?>
<sst xmlns="http://schemas.openxmlformats.org/spreadsheetml/2006/main" count="1654" uniqueCount="679">
  <si>
    <t>TEST STATISTICS</t>
  </si>
  <si>
    <t>TEST CASE LIST</t>
  </si>
  <si>
    <t>TEST REPORT DOCUMENT</t>
  </si>
  <si>
    <t>Feature</t>
  </si>
  <si>
    <t>Authentication &amp; Onboarding</t>
  </si>
  <si>
    <t>Project Name</t>
  </si>
  <si>
    <t xml:space="preserve">AI-powered Shared Business Space Platform with Time-based Subleasing (FlexiSpace)
</t>
  </si>
  <si>
    <t>AI-powered Shared Business Space Platform with Time-based Subleasing (FlexiSpace)</t>
  </si>
  <si>
    <t>Creator</t>
  </si>
  <si>
    <t>Nguyen Viet Thanh</t>
  </si>
  <si>
    <t>Project Code</t>
  </si>
  <si>
    <t>SU26SE038 / GSU26SE45</t>
  </si>
  <si>
    <t>Issue Date</t>
  </si>
  <si>
    <t>13/8/2026</t>
  </si>
  <si>
    <t>Passed</t>
  </si>
  <si>
    <t>Document Code</t>
  </si>
  <si>
    <t>Reviewer/Approver</t>
  </si>
  <si>
    <t>Test requirement</t>
  </si>
  <si>
    <t>Version</t>
  </si>
  <si>
    <t>V.0.2</t>
  </si>
  <si>
    <t>Failed</t>
  </si>
  <si>
    <t>Test Environment Setup Description</t>
  </si>
  <si>
    <t xml:space="preserve">1. Web application built with React 19 + Vite, running against the Backend API (.NET 8) on a dedicated test/staging environment.
2. Backend database: PostgreSQL 16 (dedicated test instance) with Redis for OTP caching.
3. Web Browsers: Google Chrome (primary), Microsoft Edge (secondary), Firefox and Safari (public pages only).
4. Viewports tested: 1024px, 1440px, 2560px (per the defined responsive NFR — mobile viewports are out of scope for the Web app).
</t>
  </si>
  <si>
    <t>Number of TCs</t>
  </si>
  <si>
    <t>Record of change</t>
  </si>
  <si>
    <t>Notes</t>
  </si>
  <si>
    <t>Effective Date</t>
  </si>
  <si>
    <t>Pending</t>
  </si>
  <si>
    <t>Change Item</t>
  </si>
  <si>
    <t>*A,D,M</t>
  </si>
  <si>
    <t>Change description</t>
  </si>
  <si>
    <t>Reference</t>
  </si>
  <si>
    <t>Testing Round</t>
  </si>
  <si>
    <t>N/A</t>
  </si>
  <si>
    <t>V.0.1</t>
  </si>
  <si>
    <t>Add test case</t>
  </si>
  <si>
    <t>A</t>
  </si>
  <si>
    <t>Add Test case for 10 feature</t>
  </si>
  <si>
    <t>No</t>
  </si>
  <si>
    <t>Function Name</t>
  </si>
  <si>
    <t>Sheet Name</t>
  </si>
  <si>
    <t>Round 1</t>
  </si>
  <si>
    <t>Update infomation testing</t>
  </si>
  <si>
    <t>M</t>
  </si>
  <si>
    <t>Description</t>
  </si>
  <si>
    <t>Update infomation for test form</t>
  </si>
  <si>
    <t>Pre-Condition</t>
  </si>
  <si>
    <t>Module code</t>
  </si>
  <si>
    <t>Function A - Register Form</t>
  </si>
  <si>
    <t>Number of  test cases</t>
  </si>
  <si>
    <t>Verify user registration, OTP verification, login, password recovery, onboarding profile completion, and identity (CCCD) verification flows on the Web Frontend.</t>
  </si>
  <si>
    <t>See sheet 'Authentication &amp; Onboardi' for detailed pre-conditions per test case.</t>
  </si>
  <si>
    <t>Round 2</t>
  </si>
  <si>
    <t>Function B - OTP Verification</t>
  </si>
  <si>
    <t>Function C - Login Form</t>
  </si>
  <si>
    <t>Space &amp; Listing Management</t>
  </si>
  <si>
    <t>Round 3</t>
  </si>
  <si>
    <t>Function D - Protected Route &amp; Role Guard</t>
  </si>
  <si>
    <t>Search &amp; Public Feed</t>
  </si>
  <si>
    <t>Function E - Onboarding Profile Completion</t>
  </si>
  <si>
    <t>Booking &amp; Real-time Chat</t>
  </si>
  <si>
    <t>Function F - Identity Verification (CCCD)</t>
  </si>
  <si>
    <t>Test Case ID</t>
  </si>
  <si>
    <t>Function A - Space Form (Create/Edit)</t>
  </si>
  <si>
    <t>Test Case Description</t>
  </si>
  <si>
    <t>Test Case Procedure</t>
  </si>
  <si>
    <t>Expected Results</t>
  </si>
  <si>
    <t>Verify Space creation/management, Listing creation for both EntireSpace and SharedSpace (subleasing) types, and listing moderation status handling on the Web Frontend.</t>
  </si>
  <si>
    <t>E-Contract &amp; OTP Signing</t>
  </si>
  <si>
    <t>See sheet 'Space &amp; Listing Managemen' for detailed pre-conditions per test case.</t>
  </si>
  <si>
    <t>Pre-conditions</t>
  </si>
  <si>
    <t>Test date</t>
  </si>
  <si>
    <t>Tester</t>
  </si>
  <si>
    <t>Note</t>
  </si>
  <si>
    <t>Function B - Owner Spaces List</t>
  </si>
  <si>
    <t>Function A</t>
  </si>
  <si>
    <t>Time-based Scheduling &amp; Sub-Booking</t>
  </si>
  <si>
    <t>Function C - Listing Form (EntireSpace)</t>
  </si>
  <si>
    <t>Tenant &amp; Contract Management Da</t>
  </si>
  <si>
    <t>Function D - Share Listing Form (SharedSpace / Subleasing)</t>
  </si>
  <si>
    <t>F1-01</t>
  </si>
  <si>
    <t>Verify registration form rejects submission when required fields are empty.</t>
  </si>
  <si>
    <t>1. Navigate to the Register page.
2. Leave Email, Password, Full Name, Phone Number blank.
3. Click the "Register" button.</t>
  </si>
  <si>
    <t>Form is not submitted. Inline validation error messages are displayed under each required field. No API call is triggered.</t>
  </si>
  <si>
    <t>User is not logged in. Register page is loaded.</t>
  </si>
  <si>
    <t>Wallet &amp; Payment</t>
  </si>
  <si>
    <t>Nguyễn Việt Thành</t>
  </si>
  <si>
    <t>Function E - Owner Listings / Sublease Listings List</t>
  </si>
  <si>
    <t>Function F - Shared Space Management</t>
  </si>
  <si>
    <t>AI Image Editor</t>
  </si>
  <si>
    <t>F1-02</t>
  </si>
  <si>
    <t>Verify registration form rejects an invalid email format.</t>
  </si>
  <si>
    <t>1. Navigate to the Register page.
2. Enter "abc123" in the Email field.
3. Fill in other required fields with valid values.
4. Click "Register".</t>
  </si>
  <si>
    <t>Form displays an inline error such as "Invalid email address" under the Email field. No API call is triggered.</t>
  </si>
  <si>
    <t>Function A - Listing Feed Search &amp; Filter</t>
  </si>
  <si>
    <t>Verify the public listing feed, search/filter functionality, and listing detail page.</t>
  </si>
  <si>
    <t>See sheet 'Search &amp; Public Feed' for detailed pre-conditions per test case.</t>
  </si>
  <si>
    <t>Admin Dashboard</t>
  </si>
  <si>
    <t>F1-03</t>
  </si>
  <si>
    <t>Verify registration form rejects a password below the minimum length.</t>
  </si>
  <si>
    <t>1. Navigate to the Register page.
2. Enter a password shorter than the configured minimum (e.g. "123").
3. Fill in other required fields with valid values.
4. Click "Register".</t>
  </si>
  <si>
    <t>Form displays an inline error indicating the minimum password length requirement. No API call is triggered.</t>
  </si>
  <si>
    <t>Function B - Listing Detail Page</t>
  </si>
  <si>
    <t>Sub total</t>
  </si>
  <si>
    <t>Function A - Create Booking Request</t>
  </si>
  <si>
    <t>Verify booking request creation and approval flow, and the real-time chat/conversation functionality.</t>
  </si>
  <si>
    <t>F1-04</t>
  </si>
  <si>
    <t>Verify successful registration with valid data triggers the Cloudflare Turnstile check and calls POST /api/Auth/register.</t>
  </si>
  <si>
    <t>1. Navigate to the Register page.
2. Fill in Email, Password, Date of Birth, Phone Number, Full Name with valid values.
3. Complete the Turnstile widget.
4. Click "Register".</t>
  </si>
  <si>
    <t>A request is sent to POST /api/Auth/register with the correct payload shape (email, password, dob, phoneNumber, name, turnstileToken). On success, the user is redirected to the OTP verification step and a success message is displayed.</t>
  </si>
  <si>
    <t>User is not logged in. Register page is loaded. Turnstile widget has loaded successfully.</t>
  </si>
  <si>
    <t>Function B - Owner Booking Requests (Approve/Reject/Negotiate)</t>
  </si>
  <si>
    <t>Test coverage</t>
  </si>
  <si>
    <t>F1-05</t>
  </si>
  <si>
    <t>Verify registration fails gracefully when the backend returns a duplicate-email error.</t>
  </si>
  <si>
    <t>1. Register with an email address that already exists in the system.
2. Click "Register".</t>
  </si>
  <si>
    <t>%</t>
  </si>
  <si>
    <t>A clear, human-readable error message is displayed to the user (e.g. "This email is already registered"). The form remains editable and no partial state is left behind.</t>
  </si>
  <si>
    <t>An account with the same email already exists in the system.</t>
  </si>
  <si>
    <t>Function C - Renter Booking Requests List</t>
  </si>
  <si>
    <t>Test successful coverage</t>
  </si>
  <si>
    <t>Function D - Real-time Chat (SignalR)</t>
  </si>
  <si>
    <t>Function B</t>
  </si>
  <si>
    <t>Function A - My Contracts Page</t>
  </si>
  <si>
    <t>Verify contract creation, viewing, and the OTP-based digital signing flow.</t>
  </si>
  <si>
    <t>See sheet 'E-Contract &amp; OTP Signing' for detailed pre-conditions per test case.</t>
  </si>
  <si>
    <t>Function B - Contract Creation from Approved Booking</t>
  </si>
  <si>
    <t>F1-06</t>
  </si>
  <si>
    <t>Verify the OTP input accepts only the expected numeric code length.</t>
  </si>
  <si>
    <t>1. Complete registration to reach the OTP verification screen.
2. Attempt to enter fewer digits than required.
3. Attempt to enter non-numeric characters.</t>
  </si>
  <si>
    <t>The "Verify" button remains disabled until a code of the expected length is entered. Non-numeric characters are rejected or ignored.</t>
  </si>
  <si>
    <t>User has just completed registration and is on the OTP verification screen.</t>
  </si>
  <si>
    <t>Function C - Contract View Modal &amp; OTP Signing</t>
  </si>
  <si>
    <t>Function A - Slot Calendar Display</t>
  </si>
  <si>
    <t>Verify the shared-space time-slot calendar, sublease slot creation, and sub-booking request flow.</t>
  </si>
  <si>
    <t>See sheet 'Time-based Scheduling &amp; S' for detailed pre-conditions per test case.</t>
  </si>
  <si>
    <t>F1-07</t>
  </si>
  <si>
    <t>Verify entering an incorrect OTP code displays an error and does not activate the account.</t>
  </si>
  <si>
    <t>1. On the OTP verification screen, enter an incorrect 6-digit code.
2. Click "Verify".</t>
  </si>
  <si>
    <t>POST /api/Auth/verify-otp is called and returns an error. An error message is displayed (e.g. MSG-1002-equivalent). The user remains on the OTP screen and is not redirected.</t>
  </si>
  <si>
    <t>User is on the OTP verification screen with a valid pending registration.</t>
  </si>
  <si>
    <t>Function B - Sublease Slot Form (Time-Slot Subdivision)</t>
  </si>
  <si>
    <t>F1-08</t>
  </si>
  <si>
    <t>Verify entering the correct OTP code activates the account and redirects the user.</t>
  </si>
  <si>
    <t>1. On the OTP verification screen, enter the correct OTP code received via email.
2. Click "Verify".</t>
  </si>
  <si>
    <t>POST /api/Auth/verify-otp succeeds. A success message is displayed and the user is redirected to the Login page or directly logged in, per the defined flow.</t>
  </si>
  <si>
    <t>User is on the OTP verification screen with a valid pending registration and knows the correct OTP code.</t>
  </si>
  <si>
    <t>Function C - Sub-Booking Form</t>
  </si>
  <si>
    <t>Function A - Owner Tenants List</t>
  </si>
  <si>
    <t>Function C</t>
  </si>
  <si>
    <t>Tenant &amp; Contract Management Dashboard</t>
  </si>
  <si>
    <t>Verify Owner/Primary Renter dashboards for managing tenants and sub-tenants.</t>
  </si>
  <si>
    <t>See sheet 'Tenant &amp; Contract Managem' for detailed pre-conditions per test case.</t>
  </si>
  <si>
    <t>Function B - Renter Sub-Tenants List</t>
  </si>
  <si>
    <t>F1-09</t>
  </si>
  <si>
    <t>Verify login form rejects submission with empty Email or Password.</t>
  </si>
  <si>
    <t>1. Navigate to the Login page.
2. Leave Email and/or Password blank.
3. Click "Login".</t>
  </si>
  <si>
    <t>Form is not submitted. Inline validation errors are shown. No API call is triggered.</t>
  </si>
  <si>
    <t>User is not logged in. Login page is loaded.</t>
  </si>
  <si>
    <t>Function A - Wallet Overview</t>
  </si>
  <si>
    <t>Verify wallet balance display, payOS deposit flow, transaction history, and payment result pages.</t>
  </si>
  <si>
    <t>See sheet 'Wallet &amp; Payment' for detailed pre-conditions per test case.</t>
  </si>
  <si>
    <t>F1-10</t>
  </si>
  <si>
    <t>Verify login fails with a wrong email/password combination.</t>
  </si>
  <si>
    <t>1. Navigate to the Login page.
2. Enter a registered email with an incorrect password.
3. Complete the Turnstile widget.
4. Click "Login".</t>
  </si>
  <si>
    <t>POST /api/Auth/login returns an error. The UI displays "Invalid email address or password provided" (or localized equivalent). The user remains on the Login page.</t>
  </si>
  <si>
    <t>An account with the given email already exists in the system.</t>
  </si>
  <si>
    <t>Function B - Deposit via payOS</t>
  </si>
  <si>
    <t>F1-11</t>
  </si>
  <si>
    <t>Verify successful login stores the JWT token and redirects according to user role.</t>
  </si>
  <si>
    <t>1. Navigate to the Login page.
2. Enter valid credentials for an Owner account.
3. Complete the Turnstile widget.
4. Click "Login".</t>
  </si>
  <si>
    <t>POST /api/Auth/login succeeds. The JWT token is stored under the "portal_token" key in localStorage. The user is redirected to the correct role-based dashboard route.</t>
  </si>
  <si>
    <t>A valid, verified account exists with a known role.</t>
  </si>
  <si>
    <t>Function C - Transaction History</t>
  </si>
  <si>
    <t>F1-12</t>
  </si>
  <si>
    <t>Verify session persistence: reloading the page after login keeps the user authenticated.</t>
  </si>
  <si>
    <t>1. Log in successfully.
2. Refresh the browser page (F5).</t>
  </si>
  <si>
    <t>The user remains logged in; the dashboard is displayed without redirecting back to the Login page, because the token is read from localStorage on app load.</t>
  </si>
  <si>
    <t>Function A - AI Photo Editor</t>
  </si>
  <si>
    <t>User has an active, valid session.</t>
  </si>
  <si>
    <t>Verify the AI-powered space photo editing (inpainting) tool, including wallet-cost gating.</t>
  </si>
  <si>
    <t>See sheet 'AI Image Editor' for detailed pre-conditions per test case.</t>
  </si>
  <si>
    <t>Function B - AI Image History</t>
  </si>
  <si>
    <t>Function D</t>
  </si>
  <si>
    <t>Function A - Listing Moderation</t>
  </si>
  <si>
    <t>Verify administrative functions: listing moderation, user/wallet/category management, and revenue analytics.</t>
  </si>
  <si>
    <t>See sheet 'Admin Dashboard' for detailed pre-conditions per test case.</t>
  </si>
  <si>
    <t>Function B - User Management</t>
  </si>
  <si>
    <t>F1-13</t>
  </si>
  <si>
    <t>Verify an unauthenticated user is redirected away from a protected route.</t>
  </si>
  <si>
    <t>1. Ensure no token is present in localStorage (logged out state).
2. Directly navigate to a protected dashboard URL (deep link).</t>
  </si>
  <si>
    <t>The user is redirected to the Home route (ROUTES.HOME) via &lt;Navigate replace /&gt;, and the protected content is never rendered.</t>
  </si>
  <si>
    <t>User is logged out; localStorage does not contain a valid "portal_token".</t>
  </si>
  <si>
    <t>Function C - Wallet &amp; Category &amp; Priority Level Management</t>
  </si>
  <si>
    <t>F1-14</t>
  </si>
  <si>
    <t>Verify a logged-in user with the wrong role cannot access a route reserved for another role.</t>
  </si>
  <si>
    <t>1. Log in as a Renter.
2. Directly navigate to an Admin-only or Owner-only dashboard route.</t>
  </si>
  <si>
    <t>Function D - Revenue Analytics Dashboard</t>
  </si>
  <si>
    <t>The user is redirected to the Home route. The restricted page content and its data are never rendered or fetched.</t>
  </si>
  <si>
    <t>User is logged in with a role that does not match the target route's required role.</t>
  </si>
  <si>
    <t>F1-15</t>
  </si>
  <si>
    <t>Verify a logged-in user with the correct role can access the corresponding protected route.</t>
  </si>
  <si>
    <t>1. Log in with the role required by the target route (e.g. Owner).
2. Navigate to the corresponding dashboard route.</t>
  </si>
  <si>
    <t>The page renders normally with the expected content for that role.</t>
  </si>
  <si>
    <t>User is logged in with the correct role for the target route.</t>
  </si>
  <si>
    <t>Function E</t>
  </si>
  <si>
    <t>F1-16</t>
  </si>
  <si>
    <t>Verify a newly registered user is prompted to complete their profile before accessing the dashboard.</t>
  </si>
  <si>
    <t>1. Complete registration and OTP verification for a brand-new account.
2. Observe the next screen shown.</t>
  </si>
  <si>
    <t>The user is routed to the onboarding profile-completion screen rather than directly to the dashboard.</t>
  </si>
  <si>
    <t>Account has just been created and verified, with no profile data yet.</t>
  </si>
  <si>
    <t>F1-17</t>
  </si>
  <si>
    <t>Verify onboarding form validates required profile fields before allowing submission.</t>
  </si>
  <si>
    <t>1. On the onboarding screen, leave required fields blank.
2. Attempt to submit.</t>
  </si>
  <si>
    <t>Submission is blocked and inline validation errors are shown for missing required fields.</t>
  </si>
  <si>
    <t>User is on the onboarding profile-completion screen.</t>
  </si>
  <si>
    <t>Function F</t>
  </si>
  <si>
    <t>F1-18</t>
  </si>
  <si>
    <t>Verify the identity verification screen accepts an uploaded CCCD image file.</t>
  </si>
  <si>
    <t>1. Navigate to the Identity Verification screen.
2. Upload a valid CCCD image file (JPEG/PNG) via the upload control.</t>
  </si>
  <si>
    <t>The image preview is displayed and the "Submit"/"Verify" action becomes enabled.</t>
  </si>
  <si>
    <t>User is logged in and has not yet completed identity verification.</t>
  </si>
  <si>
    <t>F1-19</t>
  </si>
  <si>
    <t>Verify the QR code scan path correctly auto-fills parsed CCCD data fields.</t>
  </si>
  <si>
    <t>1. Navigate to the Identity Verification screen.
2. Use the webcam/QR scan option to scan a CCCD QR code.</t>
  </si>
  <si>
    <t>Fields such as ID number and full name are automatically parsed and populated from the scanned QR payload for user confirmation.</t>
  </si>
  <si>
    <t>User is logged in, camera permission is granted, and a valid CCCD QR code is available for scanning.</t>
  </si>
  <si>
    <t>F1-20</t>
  </si>
  <si>
    <t>Verify submitting identity verification calls the correct backend endpoint and reflects the pending status.</t>
  </si>
  <si>
    <t>1. Complete the CCCD upload/scan step.
2. Click "Submit for verification".</t>
  </si>
  <si>
    <t>A request is sent to the profile verification endpoint (POST /Profile/{userProfileId}/verify). The UI shows a "Pending verification" status afterward.</t>
  </si>
  <si>
    <t>CCCD image/data has been captured and is ready to submit.</t>
  </si>
  <si>
    <t>The Space &amp; Listing Management sheet covers the end-to-end management of physical premises and their rental offerings.</t>
  </si>
  <si>
    <t>F2-01</t>
  </si>
  <si>
    <t>Verify Space Form rejects submission when Name, Address, or Area is empty.</t>
  </si>
  <si>
    <t>1. Navigate to "Add Space".
2. Leave the Space Name field blank.
3. Click "Save"/"Submit".</t>
  </si>
  <si>
    <t>Form is not submitted (the field is marked required in the DOM). An inline error is shown, and no API call is made.</t>
  </si>
  <si>
    <t>User is logged in as Space Owner and is on the Space creation form.</t>
  </si>
  <si>
    <t>F2-02</t>
  </si>
  <si>
    <t>Verify the Province/District/Ward cascading dropdown loads correctly.</t>
  </si>
  <si>
    <t>1. Open the Space Form.
2. Select a Province from the dropdown.
3. Observe the District dropdown.
4. Select a District.
5. Observe the Ward dropdown.</t>
  </si>
  <si>
    <t>Selecting a Province populates the District dropdown with districts belonging to that province (via GET /api/Space/GetAddress); selecting a District populates the Ward dropdown accordingly. Previously selected lower-level values are reset when a higher-level value changes.</t>
  </si>
  <si>
    <t>User is on the Space creation form; province/address reference data is available from the API.</t>
  </si>
  <si>
    <t>F2-03</t>
  </si>
  <si>
    <t>Verify the Area field only accepts numeric input.</t>
  </si>
  <si>
    <t>1. In the Area field, type non-numeric characters (e.g. "abc").</t>
  </si>
  <si>
    <t>Non-numeric characters are stripped or rejected; the field only retains digit characters, matching the field's numeric-sanitizing behavior.</t>
  </si>
  <si>
    <t>User is on the Space creation form.</t>
  </si>
  <si>
    <t>F2-04</t>
  </si>
  <si>
    <t>Verify selecting Amenity checkboxes updates the selected-amenities list correctly.</t>
  </si>
  <si>
    <t>1. On the Space Form, check two predefined amenities (e.g. Wifi, Air Conditioning).
2. Uncheck one of them.</t>
  </si>
  <si>
    <t>The selected amenities state reflects exactly the currently checked items after each toggle.</t>
  </si>
  <si>
    <t>User is on the Space creation form; amenity options are loaded.</t>
  </si>
  <si>
    <t>F2-05</t>
  </si>
  <si>
    <t>Verify entering a custom amenity via the "Other" text field is included in the submitted payload.</t>
  </si>
  <si>
    <t>1. Check the custom-amenity checkbox.
2. Enter a free-text value, e.g. "Rooftop Garden", in the custom amenity field.
3. Submit the form.</t>
  </si>
  <si>
    <t>The custom amenity text is included in the amenities array sent in the CreateSpaceRQ payload.</t>
  </si>
  <si>
    <t>F2-06</t>
  </si>
  <si>
    <t>Verify Operating Hours can be configured per day of week and are included in the submission payload.</t>
  </si>
  <si>
    <t>1. On the Space Form, set Open Time and Close Time for at least one day of the week.
2. Submit the form.</t>
  </si>
  <si>
    <t>The submitted payload's operatingHours array contains an entry with the correct dayOfWeek (numeric, 0=Sunday…6=Saturday), openTime, and closeTime in HH:mm:ss format.</t>
  </si>
  <si>
    <t>F2-07</t>
  </si>
  <si>
    <t>Verify successful Space creation calls POST /api/Space/Create and redirects to the Owner Spaces list.</t>
  </si>
  <si>
    <t>1. Fill in all required fields with valid data.
2. Submit the form.</t>
  </si>
  <si>
    <t>POST /api/Space/Create is called with a payload matching CreateSpaceRQ. On success, the user is redirected to the "My Spaces" list and the new space appears in it.</t>
  </si>
  <si>
    <t>User is logged in as Space Owner. All required fields are valid.</t>
  </si>
  <si>
    <t>F2-08</t>
  </si>
  <si>
    <t>Verify editing an existing Space pre-fills the form with the current data.</t>
  </si>
  <si>
    <t>1. From the Owner Spaces list, click "Edit" on an existing space.</t>
  </si>
  <si>
    <t>The form loads pre-populated with the space's current name, address, area, amenities, and operating hours.</t>
  </si>
  <si>
    <t>At least one Space already exists for the logged-in Owner.</t>
  </si>
  <si>
    <t>F2-09</t>
  </si>
  <si>
    <t>Verify the Owner Spaces list displays all spaces belonging to the logged-in Owner.</t>
  </si>
  <si>
    <t>1. Log in as an Owner with existing spaces.
2. Navigate to "My Spaces".</t>
  </si>
  <si>
    <t>GET /api/Space/GetAll is called filtered by OwnerId, and all matching spaces are rendered in the list/grid.</t>
  </si>
  <si>
    <t>Logged-in Owner has at least one existing Space.</t>
  </si>
  <si>
    <t>F2-10</t>
  </si>
  <si>
    <t>Verify the empty state is displayed when the Owner has no spaces yet.</t>
  </si>
  <si>
    <t>1. Log in as an Owner with zero spaces.
2. Navigate to "My Spaces".</t>
  </si>
  <si>
    <t>An empty-state message/illustration is shown instead of an empty table, with a call-to-action to create the first space.</t>
  </si>
  <si>
    <t>Logged-in Owner currently has zero spaces.</t>
  </si>
  <si>
    <t>F2-11</t>
  </si>
  <si>
    <t>Verify deleting a Space asks for confirmation before calling the delete endpoint.</t>
  </si>
  <si>
    <t>1. On the Owner Spaces list, click "Delete" on a space.</t>
  </si>
  <si>
    <t>A confirmation dialog appears before DELETE /api/Space/Delete{id} is called; canceling the dialog does not delete the space.</t>
  </si>
  <si>
    <t>At least one Space exists in the Owner's list.</t>
  </si>
  <si>
    <t>F2-12</t>
  </si>
  <si>
    <t>Verify the Listing Form requires an associated Space to be selected before submission.</t>
  </si>
  <si>
    <t>1. Open "Create Listing".
2. Leave the Space selector empty.
3. Attempt to submit.</t>
  </si>
  <si>
    <t>Form blocks submission and shows a validation error indicating a Space must be selected.</t>
  </si>
  <si>
    <t>F2-13</t>
  </si>
  <si>
    <t>Verify Allowed Start Time must be earlier than Allowed End Time.</t>
  </si>
  <si>
    <t>1. On the Listing Form, set Allowed Start Time to a date/time later than Allowed End Time.
2. Attempt to submit.</t>
  </si>
  <si>
    <t>Form displays a validation error and blocks submission until the date range is valid.</t>
  </si>
  <si>
    <t>User is on the Listing creation form.</t>
  </si>
  <si>
    <t>F2-14</t>
  </si>
  <si>
    <t>Verify the Price field rejects negative or zero values.</t>
  </si>
  <si>
    <t>1. Enter "-100" or "0" in the Price field.
2. Attempt to submit.</t>
  </si>
  <si>
    <t>Form displays a validation error requiring a positive price value.</t>
  </si>
  <si>
    <t>F2-15</t>
  </si>
  <si>
    <t>Verify successful submission calls POST /api/Listing/Create with the correct ListingRequest shape and the new listing shows status Pending.</t>
  </si>
  <si>
    <t>1. Fill in Space, Allowed Start/End Time, Description, Price, and upload at least one listing picture.
2. Submit the form.</t>
  </si>
  <si>
    <t>POST /api/Listing/Create is called with a payload matching ListingRequest (spaceId, allowedStartTime, allowedEndTime, description, price, listingPictures). The new listing appears in "My Listings" with status "Pending".</t>
  </si>
  <si>
    <t>F2-16</t>
  </si>
  <si>
    <t>Verify Max Sub-Renter field only accepts a positive integer.</t>
  </si>
  <si>
    <t>1. On the Share Listing Form, enter "0" or a negative number in the Max Sub-Renter field.
2. Attempt to submit.</t>
  </si>
  <si>
    <t>Form displays a validation error requiring a positive integer for the maximum number of sub-renters.</t>
  </si>
  <si>
    <t>User is a Primary Renter with an active lease eligible for subleasing.</t>
  </si>
  <si>
    <t>F2-17</t>
  </si>
  <si>
    <t>Verify Amenity inclusion toggles correctly compute price fields (isIncluded vs. surcharge price).</t>
  </si>
  <si>
    <t>1. On the Share Listing Form, mark one amenity as "Included" and leave its price at 0.
2. Mark a second amenity as "Not included" and enter a surcharge price.
3. Submit the form.</t>
  </si>
  <si>
    <t>The submitted shareSpaceDetailShareSpaceAmenities array reflects isIncluded=true with price=0 for the first amenity, and isIncluded=false with the entered surcharge price for the second.</t>
  </si>
  <si>
    <t>User is on the Share Listing Form; amenity list is loaded.</t>
  </si>
  <si>
    <t>F2-18</t>
  </si>
  <si>
    <t>Verify Availability Time entries support either recurring days-of-week or a specific date, not requiring both simultaneously.</t>
  </si>
  <si>
    <t>1. Add an availability entry using "Days of Week" (e.g. Monday, Wednesday) with a Start/End Time.
2. Add a second availability entry using a "Specific Date" instead.
3. Submit the form.</t>
  </si>
  <si>
    <t>The submitted shareSpaceDetailAvailabilitiesTimes array contains one entry with populated daysOfWeek and null specificDate, and another entry with a populated specificDate and null/empty daysOfWeek.</t>
  </si>
  <si>
    <t>User is on the Share Listing Form.</t>
  </si>
  <si>
    <t>13/8/2035</t>
  </si>
  <si>
    <t>F2-19</t>
  </si>
  <si>
    <t>Verify Availability Time's Valid From date cannot be later than Valid To date.</t>
  </si>
  <si>
    <t>1. Set Valid From to a date after Valid To for an availability entry.
2. Attempt to submit.</t>
  </si>
  <si>
    <t>Form blocks submission and displays a validation error for the invalid date range.</t>
  </si>
  <si>
    <t>F2-20</t>
  </si>
  <si>
    <t>Verify Business Category selection for the shared listing is included in the submitted payload.</t>
  </si>
  <si>
    <t>1. Select one or more allowed business categories for the shared listing.
2. Optionally add a note.
3. Submit the form.</t>
  </si>
  <si>
    <t>The submitted shareSpaceDetailShareSpaceCategories array contains the selected bussinessCategoryId values (note the intentional "bussiness" spelling used across the API) with the corresponding note text.</t>
  </si>
  <si>
    <t>User is on the Share Listing Form; business category list is loaded.</t>
  </si>
  <si>
    <t>F2-21</t>
  </si>
  <si>
    <t>Verify successful submission calls POST /api/Listing/CreateShareListing with the full nested payload.</t>
  </si>
  <si>
    <t>1. Complete all required sections of the Share Listing Form (basic info, amenities, availability, categories).
2. Submit.</t>
  </si>
  <si>
    <t>POST /api/Listing/CreateShareListing is called with a payload matching SharedListingRequest. On success, the listing appears in the Sublease Listings list with a Pending status.</t>
  </si>
  <si>
    <t>F2-22</t>
  </si>
  <si>
    <t>Verify listing status badges correctly reflect Pending, Accepted, and Canceled states.</t>
  </si>
  <si>
    <t>1. Navigate to "My Listings" where listings of multiple statuses exist.</t>
  </si>
  <si>
    <t>Each listing row/card displays a status badge matching its actual status field (Pending / Accepted / Canceled), styled distinctly.</t>
  </si>
  <si>
    <t>At least one listing of each status exists for the logged-in user.</t>
  </si>
  <si>
    <t>F2-23</t>
  </si>
  <si>
    <t>Verify filtering the listings list by status returns only matching listings.</t>
  </si>
  <si>
    <t>1. On "My Listings", apply the status filter for "Accepted".</t>
  </si>
  <si>
    <t>GET /api/Listing/GetAll is called with status=Accepted, and only Accepted listings are displayed.</t>
  </si>
  <si>
    <t>Listings of multiple statuses exist for the logged-in user.</t>
  </si>
  <si>
    <t>F2-24</t>
  </si>
  <si>
    <t>Verify a Canceled listing displays its cancellation reason to the owner.</t>
  </si>
  <si>
    <t>1. Locate a Canceled listing in "My Listings".
2. Open its detail view.</t>
  </si>
  <si>
    <t>The cancelReason text returned by the API is displayed to the user.</t>
  </si>
  <si>
    <t>At least one listing with status Canceled and a populated cancelReason exists.</t>
  </si>
  <si>
    <t>F2-25</t>
  </si>
  <si>
    <t>Verify the list of spaces available for subleasing is populated from a real API call.</t>
  </si>
  <si>
    <t>1. Log in as a Primary Renter with an active lease.
2. Navigate to Shared Space Management.</t>
  </si>
  <si>
    <t>The screen displays the Primary Renter's currently active leased space(s) fetched from the backend, not an empty hardcoded list.</t>
  </si>
  <si>
    <t>Logged-in user has an active PrimaryBookingRequest with status Approved for at least one space.</t>
  </si>
  <si>
    <t>The brief description of the requirements tested in the Search &amp; Public Feed module</t>
  </si>
  <si>
    <t>F3-01</t>
  </si>
  <si>
    <t>Verify filtering by location returns only listings matching that location.</t>
  </si>
  <si>
    <t>1. Navigate to the public feed/homepage search page.</t>
  </si>
  <si>
    <t>GET /api/Listing/GetAll?status=Accepted (or equivalent) is called, and only Accepted listings are rendered.</t>
  </si>
  <si>
    <t>At least one Accepted listing exists in the system.</t>
  </si>
  <si>
    <t>F3-02</t>
  </si>
  <si>
    <t>1. On the feed page, enter or select a location/city filter.
2. Apply the filter.</t>
  </si>
  <si>
    <t>The result list updates to show only listings whose space matches the selected location.</t>
  </si>
  <si>
    <t>Listings exist across at least two different locations.</t>
  </si>
  <si>
    <t>F3-03</t>
  </si>
  <si>
    <t>Verify filtering by price range excludes listings outside the range.</t>
  </si>
  <si>
    <t>1. Set a minimum and maximum price filter.
2. Apply the filter.</t>
  </si>
  <si>
    <t>Only listings with a price within the specified range are displayed.</t>
  </si>
  <si>
    <t>Listings with varying prices exist in the system.</t>
  </si>
  <si>
    <t>F3-04</t>
  </si>
  <si>
    <t>Verify the empty-result state is shown when no listing matches the applied filters.</t>
  </si>
  <si>
    <t>1. Apply a filter combination guaranteed to match zero listings.</t>
  </si>
  <si>
    <t>An empty-state message is displayed instead of a blank list or an error.</t>
  </si>
  <si>
    <t>The applied filter combination does not match any existing listing.</t>
  </si>
  <si>
    <t>F3-05</t>
  </si>
  <si>
    <t>Verify the listing detail page displays all key information returned by the API.</t>
  </si>
  <si>
    <t>1. From the feed, click into a listing card.</t>
  </si>
  <si>
    <t>GET /api/Listing/GetById/{id} is called; the detail page renders title, description, price, address, images, and amenities matching the API response.</t>
  </si>
  <si>
    <t>At least one published (Accepted) listing exists.</t>
  </si>
  <si>
    <t>F3-06</t>
  </si>
  <si>
    <t>Verify navigating to a non-existent or removed listing ID shows a not-found state instead of crashing.</t>
  </si>
  <si>
    <t>1. Manually navigate to a listing detail URL with an invalid/non-existent ID.</t>
  </si>
  <si>
    <t>A "listing not found" message is displayed. The page does not crash or show a blank white screen.</t>
  </si>
  <si>
    <t>The listing ID used does not exist in the system.</t>
  </si>
  <si>
    <t>Booking &amp; Real-time Chat module tests the reservation lifecycle and direct party-to-party negotiation.</t>
  </si>
  <si>
    <t>F4-01</t>
  </si>
  <si>
    <t>Verify the booking form rejects an Expected Start Date set in the past.</t>
  </si>
  <si>
    <t>1. On the booking request form for a listing, set Expected Start Date to a past date.
2. Submit.</t>
  </si>
  <si>
    <t>Form displays a validation error and blocks submission (matching the backend rule rejecting past start dates).</t>
  </si>
  <si>
    <t>User is logged in as a Renter viewing an available listing.</t>
  </si>
  <si>
    <t>F4-02</t>
  </si>
  <si>
    <t>Verify Duration and Duration Unit fields are required and accept only supported unit values (Days/Weeks/Months/Years).</t>
  </si>
  <si>
    <t>1. Leave the Duration field empty.
2. Attempt to submit.</t>
  </si>
  <si>
    <t>Form blocks submission with a validation message; the Duration Unit dropdown only offers Days, Weeks, Months, Years.</t>
  </si>
  <si>
    <t>User is on the booking request form.</t>
  </si>
  <si>
    <t>F4-03</t>
  </si>
  <si>
    <t>Verify an optional Offered Price can be submitted to propose a negotiated price.</t>
  </si>
  <si>
    <t>1. Enter a value in the Offered Price field different from the listing price.
2. Submit the booking request.</t>
  </si>
  <si>
    <t>POST /api/PrimaryBookingRequest/Create is called including the offeredPrice field with the entered value.</t>
  </si>
  <si>
    <t>User is on the booking request form for an available listing.</t>
  </si>
  <si>
    <t>F4-04</t>
  </si>
  <si>
    <t>Verify successful submission creates a booking request with status Pending, visible to the Renter.</t>
  </si>
  <si>
    <t>1. Fill in all required fields with valid data.
2. Submit.</t>
  </si>
  <si>
    <t>The new booking request appears in "My Booking Requests" with status "Pending".</t>
  </si>
  <si>
    <t>F4-05</t>
  </si>
  <si>
    <t>Verify the Owner can view all incoming booking requests filtered by status.</t>
  </si>
  <si>
    <t>1. Log in as Owner.
2. Navigate to "Booking Requests".
3. Apply the "Pending" status filter.</t>
  </si>
  <si>
    <t>GET /api/PrimaryBookingRequest/GetAll?status=Pending returns and displays only Pending requests for the Owner's listings.</t>
  </si>
  <si>
    <t>At least one booking request of status Pending exists for the Owner's listing.</t>
  </si>
  <si>
    <t>F4-06</t>
  </si>
  <si>
    <t>Verify approving a booking request requires confirmation and updates its status.</t>
  </si>
  <si>
    <t>1. On a Pending booking request, click "Approve".
2. Confirm the action in the dialog.</t>
  </si>
  <si>
    <t>PATCH /api/PrimaryBookingRequest/Status/{id} is called with status=Approved. The request's displayed status updates to "Approved".</t>
  </si>
  <si>
    <t>At least one booking request of status Pending exists.</t>
  </si>
  <si>
    <t>F4-07</t>
  </si>
  <si>
    <t>Verify rejecting a booking request requires a Cancel Reason before submission.</t>
  </si>
  <si>
    <t>1. On a Pending booking request, click "Reject".
2. Leave the Cancel Reason field empty.
3. Attempt to confirm.</t>
  </si>
  <si>
    <t>The confirm action is blocked until a Cancel Reason is entered, matching the API's requirement for cancelReason on Rejected/Canceled status.</t>
  </si>
  <si>
    <t>F4-08</t>
  </si>
  <si>
    <t>Verify successfully rejecting a booking request updates its status and displays the reason to the Renter.</t>
  </si>
  <si>
    <t>1. Reject a Pending booking request with a valid Cancel Reason.
2. Log in as the Renter who submitted it.
3. View the same booking request.</t>
  </si>
  <si>
    <t>The request status shows "Rejected" and the entered cancel reason is visible to the Renter.</t>
  </si>
  <si>
    <t>A booking request has just been rejected by the Owner with a cancel reason.</t>
  </si>
  <si>
    <t>F4-09</t>
  </si>
  <si>
    <t>Verify the Renter can see the real-time status of their submitted booking requests.</t>
  </si>
  <si>
    <t>1. Log in as Renter.
2. Navigate to "My Booking Requests".</t>
  </si>
  <si>
    <t>All booking requests submitted by this Renter are listed with their current status (Pending/Negotiating/Approved/Rejected/Canceled).</t>
  </si>
  <si>
    <t>The logged-in Renter has submitted at least one booking request.</t>
  </si>
  <si>
    <t>F4-10</t>
  </si>
  <si>
    <t>Verify opening a conversation with another user creates or retrieves the existing conversation.</t>
  </si>
  <si>
    <t>1. From a listing or booking request, click "Message Owner"/"Message Renter".</t>
  </si>
  <si>
    <t>POST /api/Conversation/Create (or equivalent) is called with lessorId/lesseeId; an existing conversation is reused if one already exists between the two users, otherwise a new one is created.</t>
  </si>
  <si>
    <t>Two distinct user accounts exist (e.g. an Owner and a Renter) with a relevant listing/booking context.</t>
  </si>
  <si>
    <t>F4-11</t>
  </si>
  <si>
    <t>Verify sending a chat message delivers it in real time to the recipient without a page refresh.</t>
  </si>
  <si>
    <t>1. Open the same conversation in two separate browser sessions (or two tabs, one per user).
2. Send a message from User A.
3. Observe User B's chat window.</t>
  </si>
  <si>
    <t>The message appears in User B's chat window in real time via the SignalR ChatHub connection, without requiring a manual page refresh.</t>
  </si>
  <si>
    <t>Both users have an active session and the conversation is already open in both windows.</t>
  </si>
  <si>
    <t>F4-12</t>
  </si>
  <si>
    <t>Verify chat message history loads correctly with pagination when scrolling up.</t>
  </si>
  <si>
    <t>1. Open a conversation that has more messages than a single page.
2. Scroll to the top of the message list.</t>
  </si>
  <si>
    <t>GET /api/Message/GetMessageHistory is called with the timeBefore cursor of the oldest loaded message, and older messages are appended above the current list.</t>
  </si>
  <si>
    <t>The conversation contains more messages than the default page size.</t>
  </si>
  <si>
    <t>F4-13</t>
  </si>
  <si>
    <t>Verify the chat connection reconnects gracefully after a temporary network interruption.</t>
  </si>
  <si>
    <t>1. Open a conversation.
2. Temporarily disable the network connection.
3. Re-enable the network connection.</t>
  </si>
  <si>
    <t>The SignalR connection attempts to reconnect automatically; once reconnected, new messages are received again without requiring a manual page reload.</t>
  </si>
  <si>
    <t>A conversation is open with an active SignalR connection.</t>
  </si>
  <si>
    <t>E-Contract &amp; OTP Signing module validates the formal agreement lifecycle between space providers and renters without requiring third-party paper procedures</t>
  </si>
  <si>
    <t>F5-01</t>
  </si>
  <si>
    <t>Verify the contracts list displays contracts with the correct status label (Pending/Active/Expired/Cancelled).</t>
  </si>
  <si>
    <t>1. Log in as a user with existing contracts of varying statuses.
2. Navigate to "My Contracts".</t>
  </si>
  <si>
    <t>GET /api/Contract/GetAll is called and each contract row/card shows the correct status label matching ContractStatusEnum.</t>
  </si>
  <si>
    <t>At least one contract of each relevant status exists for the logged-in user.</t>
  </si>
  <si>
    <t>14/8/2026</t>
  </si>
  <si>
    <t>F5-02</t>
  </si>
  <si>
    <t>Verify clicking a contract opens its detail view with correct lease information.</t>
  </si>
  <si>
    <t>1. On "My Contracts", click into a specific contract.</t>
  </si>
  <si>
    <t>GET /api/Contract/GetById/{id} is called; the detail view shows the correct space, lessor/lessee, price, deposit, start date, and end date.</t>
  </si>
  <si>
    <t>At least one contract exists for the logged-in user.</t>
  </si>
  <si>
    <t>F5-03</t>
  </si>
  <si>
    <t>Verify a contract can only be created from a booking request with status Approved.</t>
  </si>
  <si>
    <t>1. Attempt to trigger contract creation from a booking request that is not yet Approved.</t>
  </si>
  <si>
    <t>The "Create Contract" action is not available/disabled for booking requests that are not Approved.</t>
  </si>
  <si>
    <t>A booking request with status other than Approved exists.</t>
  </si>
  <si>
    <t>Time-based Scheduling &amp; Sub-Booking sheet tests the core micro-leasing engine of FlexiSpace-allowing primary tenants to partition and sublease unused time windows to secondary renters.</t>
  </si>
  <si>
    <t>F5-04</t>
  </si>
  <si>
    <t>Verify the Contract creation form requires Lessor/Lessee ID card numbers before submission.</t>
  </si>
  <si>
    <t>1. Open "Create Contract" from an Approved booking request.
2. Leave lessorNumberCard or lesseeNumberCard blank.
3. Attempt to submit.</t>
  </si>
  <si>
    <t>Form blocks submission and shows a validation error for the missing ID card field.</t>
  </si>
  <si>
    <t>An Approved booking request exists and the Create Contract form is open.</t>
  </si>
  <si>
    <t>F5-05</t>
  </si>
  <si>
    <t>Verify successful contract creation calls POST /api/Contract/Create with the correct payload and initial status Pending.</t>
  </si>
  <si>
    <t>1. Fill in all required contract fields (acreage, duration, start/end date, deposit amount, price, ID cards).
2. Submit.</t>
  </si>
  <si>
    <t>POST /api/Contract/Create is called with a payload matching ContractRequest. The new contract appears with status "Pending".</t>
  </si>
  <si>
    <t>An Approved booking request exists.</t>
  </si>
  <si>
    <t>F5-06</t>
  </si>
  <si>
    <t>Verify clicking "Sign Contract" triggers an OTP to be sent to the user.</t>
  </si>
  <si>
    <t>1. Open a Pending contract's detail modal.
2. Click "Sign Contract" / "Start Signing".</t>
  </si>
  <si>
    <t>The corresponding send-OTP endpoint is called; a message confirms the OTP has been sent, and an OTP input field is displayed.</t>
  </si>
  <si>
    <t>A contract with status Pending (awaiting signature) exists and is open in the view modal.</t>
  </si>
  <si>
    <t>F5-07</t>
  </si>
  <si>
    <t>Verify entering an incorrect OTP during contract signing displays an error and does not activate the contract.</t>
  </si>
  <si>
    <t>1. On the OTP input step of the signing flow, enter an incorrect code.
2. Submit.</t>
  </si>
  <si>
    <t>The validate-OTP endpoint returns an error. An error message is shown and the contract status remains unchanged (not Active).</t>
  </si>
  <si>
    <t>An OTP has been sent for a pending contract signature.</t>
  </si>
  <si>
    <t>F5-08</t>
  </si>
  <si>
    <t>Verify entering the correct OTP completes the signing and updates the contract status to Active.</t>
  </si>
  <si>
    <t>1. On the OTP input step, enter the correct code.
2. Submit.</t>
  </si>
  <si>
    <t>The validate-OTP endpoint succeeds. The contract status updates to "Active" and the signed state is reflected immediately in the modal.</t>
  </si>
  <si>
    <t>An OTP has been sent for a pending contract signature and the correct code is known.</t>
  </si>
  <si>
    <t>F5-09</t>
  </si>
  <si>
    <t>Verify the contract list/detail view refreshes automatically after a successful signature without requiring a manual page reload.</t>
  </si>
  <si>
    <t>1. Complete OTP signing successfully from the contract view modal.
2. Close the modal.
3. Observe the underlying contract list.</t>
  </si>
  <si>
    <t>The contract's status in the underlying list reflects "Active" immediately after closing the modal, without needing a manual page refresh.</t>
  </si>
  <si>
    <t>A contract signature has just been completed successfully.</t>
  </si>
  <si>
    <t>F5-10</t>
  </si>
  <si>
    <t>Verify the signed contract's PDF/document link is accessible from the view modal.</t>
  </si>
  <si>
    <t>1. Open the detail view of a contract that has already been signed (Active).</t>
  </si>
  <si>
    <t>A link/button to view or download the signed contract document is available and opens the correct file.</t>
  </si>
  <si>
    <t>At least one contract with status Active exists.</t>
  </si>
  <si>
    <t>F6-01</t>
  </si>
  <si>
    <t>Verify the calendar correctly renders all existing time slots for a shared space.</t>
  </si>
  <si>
    <t>1. Navigate to the Slot Calendar for a space with existing sublease slots.</t>
  </si>
  <si>
    <t>Every existing slot is rendered at its correct day/time position on the calendar grid, matching the backend data.</t>
  </si>
  <si>
    <t>At least one shared space with configured availability/sublease slots exists.</t>
  </si>
  <si>
    <t>F5-11</t>
  </si>
  <si>
    <t>Verify canceling the signing process before OTP completion leaves the contract in its original state.</t>
  </si>
  <si>
    <t>1. Start the signing flow (OTP sent).
2. Close the modal or click "Cancel" before entering the OTP.</t>
  </si>
  <si>
    <t>The cancel-signing action is called if applicable; the contract status remains "Pending" (not signed, not corrupted).</t>
  </si>
  <si>
    <t>A contract signing flow has been initiated but not completed.</t>
  </si>
  <si>
    <t>F6-02</t>
  </si>
  <si>
    <t>Verify the calendar visually distinguishes an available slot from an already-booked slot.</t>
  </si>
  <si>
    <t>1. View a calendar containing both an available slot and a booked slot.</t>
  </si>
  <si>
    <t>Available and booked slots are shown with clearly distinct visual states (e.g. different colors/labels).</t>
  </si>
  <si>
    <t>The calendar contains at least one available slot and one booked slot.</t>
  </si>
  <si>
    <t>F6-03</t>
  </si>
  <si>
    <t>Verify the sublease slot form requires selecting an active Primary Lease before proceeding.</t>
  </si>
  <si>
    <t>1. Attempt to open the Sublease Slot Form without an active lease selected.</t>
  </si>
  <si>
    <t>The form is inaccessible or shows a clear message requiring an active lease/space to be selected first.</t>
  </si>
  <si>
    <t>User is a Primary Renter.</t>
  </si>
  <si>
    <t>F6-04</t>
  </si>
  <si>
    <t>Verify Start Time must be earlier than End Time when defining a sublease time slot.</t>
  </si>
  <si>
    <t>1. On the Sublease Slot Form, set a Start Time later than the End Time.
2. Attempt to submit.</t>
  </si>
  <si>
    <t>Form blocks submission and shows a validation error for the invalid time range.</t>
  </si>
  <si>
    <t>User is a Primary Renter on the Sublease Slot Form with an active lease selected.</t>
  </si>
  <si>
    <t>F6-05</t>
  </si>
  <si>
    <t>Verify the client attempts to warn the user when a newly defined slot overlaps with an existing slot for the same space.</t>
  </si>
  <si>
    <t>1. Attempt to create a new sublease slot with a time range that overlaps an already-existing slot for the same space.
2. Submit.</t>
  </si>
  <si>
    <t xml:space="preserve">If the backend rejects the overlapping slot, the UI must clearly surface the returned error to the user rather than silently failing or showing a generic error. </t>
  </si>
  <si>
    <t>At least one existing sublease slot occupies a known time range for the target space.</t>
  </si>
  <si>
    <t>F6-06</t>
  </si>
  <si>
    <t>Verify successful sublease slot creation publishes the new slot with status Available.</t>
  </si>
  <si>
    <t>1. Fill in a invalid, non-overlapping time slot and price.
2. Submit.</t>
  </si>
  <si>
    <t>The new slot appears on the Slot Calendar / Sublease Listings with status "Available".</t>
  </si>
  <si>
    <t>F6-07</t>
  </si>
  <si>
    <t>Verify a Secondary Renter can only select an Available slot for booking.</t>
  </si>
  <si>
    <t>1. On the Sub-Booking Form, attempt to select a slot already marked as booked/unavailable.</t>
  </si>
  <si>
    <t>The unavailable slot cannot be selected (disabled state) or selecting it shows a clear message that the slot is unavailable.</t>
  </si>
  <si>
    <t>At least one slot with a non-Available status exists.</t>
  </si>
  <si>
    <t>F6-08</t>
  </si>
  <si>
    <t>Verify the total price displayed is calculated correctly from the slot's hourly rate and the selected duration.</t>
  </si>
  <si>
    <t>1. Select an available slot with a known hourly rate.
2. Select a duration.
3. Observe the displayed total price.</t>
  </si>
  <si>
    <t>The displayed total matches (hourly rate × selected hours), consistent with the pricing shown by the backend/listing data.</t>
  </si>
  <si>
    <t>An available slot with a known price exists.</t>
  </si>
  <si>
    <t>F6-09</t>
  </si>
  <si>
    <t>Verify submitting a sub-booking request for an available slot succeeds and updates the slot's displayed status.</t>
  </si>
  <si>
    <t>1. Select a invalid available slot and duration.
2. Submit the booking.</t>
  </si>
  <si>
    <t>The booking request is created successfully and the slot's status updates (e.g. to "Pending"/"Booked") in the UI.</t>
  </si>
  <si>
    <t>An available slot exists for the target shared space.</t>
  </si>
  <si>
    <t xml:space="preserve">Tenant &amp; Contract Management </t>
  </si>
  <si>
    <t>Tenant &amp; Contract Management sheet tests the post-agreement operational lifecycle-enabling hosts to oversee their active occupants across multiple tiers and manage executed leases</t>
  </si>
  <si>
    <t>F7-01</t>
  </si>
  <si>
    <t>Verify the Owner Tenants list aggregates tenants across all of the Owner's properties.</t>
  </si>
  <si>
    <t>1. Log in as an Owner with tenants across two or more spaces.
2. Navigate to "Tenants".</t>
  </si>
  <si>
    <t>All active tenants across every one of the Owner's spaces are listed, each correctly associated with its corresponding space.</t>
  </si>
  <si>
    <t>The Owner has active contracts/tenants across at least two different spaces.</t>
  </si>
  <si>
    <t>F7-02</t>
  </si>
  <si>
    <t>Verify the tenant list correctly displays payment/overdue status per FR-3 (Renter Management).</t>
  </si>
  <si>
    <t>1. View the Owner Tenants list where at least one tenant has an overdue payment.</t>
  </si>
  <si>
    <t>Tenants with an overdue payment status are visually flagged distinctly from tenants in good standing.</t>
  </si>
  <si>
    <t>At least one tenant record with an overdue payment status exists.</t>
  </si>
  <si>
    <t>F7-03</t>
  </si>
  <si>
    <t>Verify the Primary Renter can view all sub-renters currently sharing their leased space.</t>
  </si>
  <si>
    <t>1. Log in as a Primary Renter with active sub-renters.
2. Navigate to "Sub-Tenants".</t>
  </si>
  <si>
    <t>All active sub-renters sharing the Primary Renter's space are listed with their respective time slots.</t>
  </si>
  <si>
    <t>The Primary Renter has at least one active sub-renter via a confirmed sub-booking.</t>
  </si>
  <si>
    <t>AI Image Editor sheet tests the platform's generative inpainting capabilities used to enhance, stage, or clean up property photos.</t>
  </si>
  <si>
    <t>F9-01</t>
  </si>
  <si>
    <t>Verify a user can upload a space photo into the AI editor.</t>
  </si>
  <si>
    <t>1. Navigate to the AI Image Editor.
2. Upload a invalid image file.</t>
  </si>
  <si>
    <t>The image is displayed on the editing canvas, ready for mask selection.</t>
  </si>
  <si>
    <t>User is logged in.</t>
  </si>
  <si>
    <t>F9-02</t>
  </si>
  <si>
    <t>Verify the editor blocks the AI generation action when the user's wallet balance is insufficient for the fixed AI decor cost.</t>
  </si>
  <si>
    <t>1. Log in with a wallet balance lower than the AI decor cost.
2. Upload an image, select an area to edit, and click "Generate".</t>
  </si>
  <si>
    <t>The action is blocked, or the API returns an insufficient-balance error, and a clear message is shown to the user instructing them to top up their wallet.</t>
  </si>
  <si>
    <t>The logged-in user's wallet balance is lower than the fixed AI decor cost.</t>
  </si>
  <si>
    <t>F9-03</t>
  </si>
  <si>
    <t>Verify a successful AI generation deducts the correct fixed cost from the wallet and displays the result image.</t>
  </si>
  <si>
    <t>1. Log in with sufficient wallet balance.
2. Upload an image, select an area, enter a prompt, and click "Generate".</t>
  </si>
  <si>
    <t>POST (AI generate-image endpoint) is called; on success, the result image is displayed and the wallet balance decreases by the fixed AI decor cost.</t>
  </si>
  <si>
    <t>The logged-in user's wallet balance is sufficient for the AI decor cost.</t>
  </si>
  <si>
    <t>F9-04</t>
  </si>
  <si>
    <t>Verify the AI image history list shows all past generations for the logged-in user.</t>
  </si>
  <si>
    <t>1. Navigate to "AI History".</t>
  </si>
  <si>
    <t>All previous AI-edited images for the current user are listed, each with its prompt and result image.</t>
  </si>
  <si>
    <t>The logged-in user has at least one previous AI generation.</t>
  </si>
  <si>
    <t>F9-05</t>
  </si>
  <si>
    <t>Verify deleting an item from the AI history removes it after confirmation.</t>
  </si>
  <si>
    <t>1. On the AI History page, click "Delete" on an entry.
2. Confirm the deletion.</t>
  </si>
  <si>
    <t>The corresponding delete endpoint is called; the entry is removed from the list without requiring a page reload.</t>
  </si>
  <si>
    <t>At least one AI history entry exists for the logged-in user.</t>
  </si>
  <si>
    <t>Wallet &amp; Payment module validates financial transactions, account balance top-ups, and audit histories.</t>
  </si>
  <si>
    <t>F8-01</t>
  </si>
  <si>
    <t>Verify the wallet balance displayed matches the value returned by the backend.</t>
  </si>
  <si>
    <t>1. Log in.
2. Navigate to the Wallet Overview page.</t>
  </si>
  <si>
    <t>The balance shown on screen matches the value returned by GET /api/Wallet/own.</t>
  </si>
  <si>
    <t>User is logged in and has an existing wallet record.</t>
  </si>
  <si>
    <t>F8-02</t>
  </si>
  <si>
    <t>Verify the wallet balance updates after a successful deposit without requiring a manual refresh.</t>
  </si>
  <si>
    <t>1. Note the current balance.
2. Complete a successful deposit (see Function B).
3. Return to the Wallet Overview page.</t>
  </si>
  <si>
    <t>The displayed balance reflects the newly added amount.</t>
  </si>
  <si>
    <t>A deposit has just completed successfully.</t>
  </si>
  <si>
    <t>F8-03</t>
  </si>
  <si>
    <t>Verify the deposit form rejects an amount below the minimum allowed value.</t>
  </si>
  <si>
    <t>1. On the Deposit page, enter an amount of 0 or a very small value below the platform's minimum.
2. Attempt to submit.</t>
  </si>
  <si>
    <t>Form blocks submission and shows a validation error indicating the minimum deposit amount.</t>
  </si>
  <si>
    <t>User is logged in and on the Deposit page.</t>
  </si>
  <si>
    <t>F8-04</t>
  </si>
  <si>
    <t>Verify submitting a valid deposit amount redirects the user to the payOS checkout page.</t>
  </si>
  <si>
    <t>1. Enter a valid deposit amount.
2. Click "Deposit"/"Pay".</t>
  </si>
  <si>
    <t>POST /api/Transaction/create is called to obtain a payOS checkout link; the browser is redirected to the payOS hosted checkout page.</t>
  </si>
  <si>
    <t>F8-05</t>
  </si>
  <si>
    <t>Verify a successful payment redirects back to the Payment Success page with the correct amount displayed.</t>
  </si>
  <si>
    <t>1. Complete a successful payment on the payOS checkout page (using payOS sandbox/test credentials).</t>
  </si>
  <si>
    <t>The user is redirected back to the application's Payment Success page, displaying a confirmation and the correct deposited amount.</t>
  </si>
  <si>
    <t>A valid checkout session has been created and is ready for payment.</t>
  </si>
  <si>
    <t>F8-06</t>
  </si>
  <si>
    <t>Verify a cancelled/failed payment redirects to the Payment Failed page with a clear message.</t>
  </si>
  <si>
    <t>1. Cancel the payment on the payOS checkout page, or simulate a failed payment.</t>
  </si>
  <si>
    <t>The user is redirected to the Payment Failed page with a message explaining the payment was not completed, and no balance change occurs.</t>
  </si>
  <si>
    <t>A valid checkout session has been created.</t>
  </si>
  <si>
    <t>F8-07</t>
  </si>
  <si>
    <t>Verify the transaction history list displays all deposits/transactions for the logged-in user in chronological order.</t>
  </si>
  <si>
    <t>1. Navigate to Wallet History.</t>
  </si>
  <si>
    <t>GET (transaction history endpoint) returns and displays the user's transactions, ordered by date (most recent first).</t>
  </si>
  <si>
    <t>The logged-in user has at least one completed transaction.</t>
  </si>
  <si>
    <t>F8-08</t>
  </si>
  <si>
    <t>Verify each transaction row displays the correct status (Pending/Completed/Failed/Cancelled).</t>
  </si>
  <si>
    <t>1. View the transaction history where transactions of multiple statuses exist.</t>
  </si>
  <si>
    <t>Each row's status label accurately matches its actual backend status value.</t>
  </si>
  <si>
    <t>Transactions of more than one status exist for the logged-in user.</t>
  </si>
  <si>
    <t>Admin Dashboard sheet tests the platform-level governance, moderation, and operational oversight tools reserved for system administrators.</t>
  </si>
  <si>
    <t>F10-01</t>
  </si>
  <si>
    <t>Verify the Admin can view the queue of listings pending approval.</t>
  </si>
  <si>
    <t>1. Log in as Admin.
2. Navigate to Admin &gt; Listings, filtered by "Pending".</t>
  </si>
  <si>
    <t>All listings with status Pending are displayed, including their associated space details and images.</t>
  </si>
  <si>
    <t>At least one listing with status Pending exists.</t>
  </si>
  <si>
    <t>Verify approving a listing updates its status to Accepted and makes it publicly searchable.</t>
  </si>
  <si>
    <t>1. On a Pending listing, click "Approve".
2. Confirm the action.</t>
  </si>
  <si>
    <t>PATCH /api/Listing/Status/{id} is called with status=Accepted. The listing subsequently appears in the public feed search results.</t>
  </si>
  <si>
    <t>F10-03</t>
  </si>
  <si>
    <t>Verify rejecting a listing requires a rejection reason and notifies the owner.</t>
  </si>
  <si>
    <t>1. On a Pending listing, click "Reject".
2. Leave the reason field empty and attempt to confirm.
3. Enter a valid reason and confirm.</t>
  </si>
  <si>
    <t>The confirm action is blocked without a reason. After providing a valid reason, the listing status updates to Canceled/Rejected and the reason is later visible to the Owner.</t>
  </si>
  <si>
    <t>F10-04</t>
  </si>
  <si>
    <t>Verify the Admin can view the full list of registered users with pagination.</t>
  </si>
  <si>
    <t>1. Navigate to Admin &gt; Users.</t>
  </si>
  <si>
    <t>GET /api/User is called and displays a paginated list of all users with key details (name, email, role, status).</t>
  </si>
  <si>
    <t>Multiple users exist in the system.</t>
  </si>
  <si>
    <t>F10-05</t>
  </si>
  <si>
    <t>Verify the Admin can change a user's account status (e.g. active/suspended).</t>
  </si>
  <si>
    <t>1. On a user's row, change their status.
2. Confirm the action.</t>
  </si>
  <si>
    <t>PUT /api/User/status/{userId} is called; the user's status updates accordingly in the list.</t>
  </si>
  <si>
    <t>At least one user account exists.</t>
  </si>
  <si>
    <t>F10-06</t>
  </si>
  <si>
    <t>Verify the Admin can view all users' wallet balances.</t>
  </si>
  <si>
    <t>1. Navigate to Admin &gt; Wallets.</t>
  </si>
  <si>
    <t>GET /api/Wallet is called and returns/displays the wallet balance for every user.</t>
  </si>
  <si>
    <t>Multiple users with wallet records exist.</t>
  </si>
  <si>
    <t>F10-07</t>
  </si>
  <si>
    <t>Verify the Admin can create a new Business Category and it becomes available in the Space/Listing forms.</t>
  </si>
  <si>
    <t>1. Navigate to Admin &gt; Categories.
2. Create a new category with a valid name.
3. Navigate to the Space Form's category selector.</t>
  </si>
  <si>
    <t>POST /api/BussinessCategory/Create is called; the newly created category appears as a selectable option in the Space Form.</t>
  </si>
  <si>
    <t>Admin is logged in and on the Categories management page.</t>
  </si>
  <si>
    <t>F10-08</t>
  </si>
  <si>
    <t>Verify the Admin can create/update a Priority Level entry with a valid price.</t>
  </si>
  <si>
    <t>1. Navigate to Admin &gt; Priority Levels.
2. Create a new entry with a name and a positive price.
3. Submit.</t>
  </si>
  <si>
    <t>The corresponding create endpoint is called successfully; the new priority level appears in the list.</t>
  </si>
  <si>
    <t>Admin is logged in and on the Priority Levels management page.</t>
  </si>
  <si>
    <t>F10-09</t>
  </si>
  <si>
    <t>Verify the Admin dashboard overview renders charts correctly with real aggregated data.</t>
  </si>
  <si>
    <t>1. Navigate to Admin &gt; Overview.</t>
  </si>
  <si>
    <t>The dashboard stats endpoint is called; the returned figures (e.g. total listings, active users) are rendered correctly in the Recharts-based widgets.</t>
  </si>
  <si>
    <t>The system contains sufficient transactional/listing data to produce non-trivial statistics.</t>
  </si>
  <si>
    <t>F10-10</t>
  </si>
  <si>
    <t>Verify the dashboard does not crash and shows a graceful empty state when the underlying dataset is empty.</t>
  </si>
  <si>
    <t>1. View the Admin Overview dashboard in a state where a given metric has zero data points.</t>
  </si>
  <si>
    <t>The corresponding chart/widget renders an empty or zero state rather than throwing a rendering error.</t>
  </si>
  <si>
    <t>At least one metric on the dashboard currently has no underlying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</si>
</sst>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m/d/yyyy"/>
  </numFmts>
  <fonts count="27">
    <font>
      <sz val="11.0"/>
      <color rgb="FF000000"/>
      <name val="MS PGothic"/>
      <scheme val="minor"/>
    </font>
    <font>
      <sz val="10.0"/>
      <color theme="1"/>
      <name val="Tahoma"/>
    </font>
    <font>
      <b/>
      <sz val="20.0"/>
      <color rgb="FF000000"/>
      <name val="Tahoma"/>
    </font>
    <font>
      <b/>
      <sz val="26.0"/>
      <color rgb="FFFF0000"/>
      <name val="Tahoma"/>
    </font>
    <font/>
    <font>
      <b/>
      <sz val="10.0"/>
      <color rgb="FF000000"/>
      <name val="Tahoma"/>
    </font>
    <font>
      <sz val="10.0"/>
      <color rgb="FFFF0000"/>
      <name val="Tahoma"/>
    </font>
    <font>
      <b/>
      <sz val="10.0"/>
      <color theme="1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0000"/>
      <name val="Tahoma"/>
    </font>
    <font>
      <i/>
      <sz val="10.0"/>
      <color theme="1"/>
      <name val="Tahoma"/>
    </font>
    <font>
      <sz val="10.0"/>
      <color rgb="FF000000"/>
      <name val="Tahoma"/>
    </font>
    <font>
      <sz val="11.0"/>
      <color theme="1"/>
      <name val="Tahoma"/>
    </font>
    <font>
      <b/>
      <sz val="10.0"/>
      <color rgb="FFFFFFFF"/>
      <name val="Tahoma"/>
    </font>
    <font>
      <b/>
      <i/>
      <sz val="10.0"/>
      <color theme="1"/>
      <name val="Tahoma"/>
    </font>
    <font>
      <i/>
      <u/>
      <sz val="10.0"/>
      <color rgb="FF0000FF"/>
      <name val="Tahoma"/>
    </font>
    <font>
      <u/>
      <sz val="10.0"/>
      <color rgb="FF0000FF"/>
      <name val="Tahoma"/>
    </font>
    <font>
      <b/>
      <sz val="11.0"/>
      <color theme="1"/>
      <name val="Tahoma"/>
    </font>
    <font>
      <sz val="11.0"/>
      <color rgb="FF000000"/>
      <name val="Tahoma"/>
    </font>
    <font>
      <b/>
      <sz val="11.0"/>
      <color rgb="FFFF0000"/>
      <name val="Tahoma"/>
    </font>
    <font>
      <sz val="11.0"/>
      <color theme="1"/>
      <name val="Calibri"/>
    </font>
    <font>
      <sz val="11.0"/>
      <color rgb="FFFF0000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1.0"/>
      <color theme="1"/>
      <name val="MS PGothic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9">
    <border/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Border="1" applyFill="1" applyFont="1"/>
    <xf borderId="0" fillId="0" fontId="1" numFmtId="0" xfId="0" applyFont="1"/>
    <xf borderId="2" fillId="2" fontId="2" numFmtId="0" xfId="0" applyAlignment="1" applyBorder="1" applyFill="1" applyFont="1">
      <alignment horizontal="center"/>
    </xf>
    <xf borderId="3" fillId="0" fontId="3" numFmtId="0" xfId="0" applyAlignment="1" applyBorder="1" applyFont="1">
      <alignment horizontal="center" vertical="center"/>
    </xf>
    <xf borderId="4" fillId="0" fontId="4" numFmtId="0" xfId="0" applyBorder="1" applyFont="1"/>
    <xf borderId="1" fillId="2" fontId="2" numFmtId="0" xfId="0" applyAlignment="1" applyBorder="1" applyFill="1" applyFont="1">
      <alignment horizontal="left"/>
    </xf>
    <xf borderId="5" fillId="0" fontId="4" numFmtId="0" xfId="0" applyBorder="1" applyFont="1"/>
    <xf borderId="1" fillId="2" fontId="5" numFmtId="0" xfId="0" applyAlignment="1" applyBorder="1" applyFill="1" applyFont="1">
      <alignment horizontal="left"/>
    </xf>
    <xf borderId="3" fillId="0" fontId="2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left"/>
    </xf>
    <xf borderId="6" fillId="0" fontId="4" numFmtId="0" xfId="0" applyBorder="1" applyFont="1"/>
    <xf borderId="1" fillId="2" fontId="6" numFmtId="0" xfId="0" applyBorder="1" applyFill="1" applyFont="1"/>
    <xf borderId="7" fillId="0" fontId="4" numFmtId="0" xfId="0" applyBorder="1" applyFont="1"/>
    <xf borderId="0" fillId="0" fontId="1" numFmtId="0" xfId="0" applyAlignment="1" applyFont="1">
      <alignment horizontal="center" vertical="center"/>
    </xf>
    <xf borderId="1" fillId="2" fontId="7" numFmtId="0" xfId="0" applyBorder="1" applyFill="1" applyFont="1"/>
    <xf borderId="8" fillId="2" fontId="7" numFmtId="0" xfId="0" applyAlignment="1" applyBorder="1" applyFill="1" applyFont="1">
      <alignment horizontal="center" shrinkToFit="0" vertical="top" wrapText="1"/>
    </xf>
    <xf borderId="1" fillId="2" fontId="1" numFmtId="164" xfId="0" applyBorder="1" applyFill="1" applyFont="1" applyNumberFormat="1"/>
    <xf borderId="1" fillId="2" fontId="8" numFmtId="0" xfId="0" applyAlignment="1" applyBorder="1" applyFill="1" applyFont="1">
      <alignment horizontal="left"/>
    </xf>
    <xf borderId="0" fillId="0" fontId="9" numFmtId="0" xfId="0" applyAlignment="1" applyFont="1">
      <alignment horizontal="left"/>
    </xf>
    <xf borderId="9" fillId="2" fontId="1" numFmtId="0" xfId="0" applyAlignment="1" applyBorder="1" applyFill="1" applyFont="1">
      <alignment horizontal="left" readingOrder="0" shrinkToFit="0" vertical="top" wrapText="1"/>
    </xf>
    <xf borderId="10" fillId="0" fontId="4" numFmtId="0" xfId="0" applyBorder="1" applyFont="1"/>
    <xf borderId="1" fillId="2" fontId="1" numFmtId="1" xfId="0" applyBorder="1" applyFill="1" applyFont="1" applyNumberFormat="1"/>
    <xf borderId="11" fillId="0" fontId="4" numFmtId="0" xfId="0" applyBorder="1" applyFont="1"/>
    <xf borderId="1" fillId="2" fontId="10" numFmtId="0" xfId="0" applyAlignment="1" applyBorder="1" applyFill="1" applyFont="1">
      <alignment horizontal="left"/>
    </xf>
    <xf borderId="1" fillId="2" fontId="9" numFmtId="0" xfId="0" applyAlignment="1" applyBorder="1" applyFill="1" applyFont="1">
      <alignment shrinkToFit="0" wrapText="1"/>
    </xf>
    <xf borderId="12" fillId="2" fontId="7" numFmtId="0" xfId="0" applyAlignment="1" applyBorder="1" applyFill="1" applyFont="1">
      <alignment horizontal="left"/>
    </xf>
    <xf borderId="12" fillId="2" fontId="8" numFmtId="0" xfId="0" applyAlignment="1" applyBorder="1" applyFill="1" applyFont="1">
      <alignment horizontal="left" vertical="center"/>
    </xf>
    <xf borderId="3" fillId="0" fontId="11" numFmtId="0" xfId="0" applyAlignment="1" applyBorder="1" applyFont="1">
      <alignment horizontal="left" readingOrder="0"/>
    </xf>
    <xf borderId="3" fillId="2" fontId="9" numFmtId="0" xfId="0" applyAlignment="1" applyBorder="1" applyFill="1" applyFont="1">
      <alignment horizontal="left" readingOrder="0"/>
    </xf>
    <xf borderId="7" fillId="0" fontId="1" numFmtId="0" xfId="0" applyAlignment="1" applyBorder="1" applyFont="1">
      <alignment readingOrder="0"/>
    </xf>
    <xf borderId="3" fillId="2" fontId="8" numFmtId="0" xfId="0" applyAlignment="1" applyBorder="1" applyFill="1" applyFont="1">
      <alignment horizontal="left"/>
    </xf>
    <xf borderId="13" fillId="2" fontId="9" numFmtId="0" xfId="0" applyAlignment="1" applyBorder="1" applyFill="1" applyFont="1">
      <alignment horizontal="left" readingOrder="0"/>
    </xf>
    <xf borderId="1" fillId="2" fontId="9" numFmtId="0" xfId="0" applyAlignment="1" applyBorder="1" applyFill="1" applyFont="1">
      <alignment horizontal="left" shrinkToFit="0" wrapText="1"/>
    </xf>
    <xf borderId="13" fillId="2" fontId="1" numFmtId="0" xfId="0" applyAlignment="1" applyBorder="1" applyFill="1" applyFont="1">
      <alignment vertical="top"/>
    </xf>
    <xf borderId="1" fillId="2" fontId="1" numFmtId="0" xfId="0" applyAlignment="1" applyBorder="1" applyFill="1" applyFont="1">
      <alignment shrinkToFit="0" wrapText="1"/>
    </xf>
    <xf borderId="3" fillId="2" fontId="8" numFmtId="1" xfId="0" applyBorder="1" applyFill="1" applyFont="1" applyNumberFormat="1"/>
    <xf borderId="14" fillId="0" fontId="4" numFmtId="0" xfId="0" applyBorder="1" applyFont="1"/>
    <xf borderId="7" fillId="0" fontId="11" numFmtId="0" xfId="0" applyAlignment="1" applyBorder="1" applyFont="1">
      <alignment readingOrder="0"/>
    </xf>
    <xf borderId="3" fillId="2" fontId="12" numFmtId="0" xfId="0" applyAlignment="1" applyBorder="1" applyFill="1" applyFont="1">
      <alignment horizontal="left" readingOrder="0"/>
    </xf>
    <xf borderId="1" fillId="2" fontId="6" numFmtId="0" xfId="0" applyAlignment="1" applyBorder="1" applyFill="1" applyFont="1">
      <alignment shrinkToFit="0" wrapText="1"/>
    </xf>
    <xf borderId="1" fillId="2" fontId="12" numFmtId="0" xfId="0" applyBorder="1" applyFill="1" applyFont="1"/>
    <xf borderId="12" fillId="2" fontId="7" numFmtId="0" xfId="0" applyAlignment="1" applyBorder="1" applyFill="1" applyFont="1">
      <alignment vertical="center"/>
    </xf>
    <xf borderId="13" fillId="2" fontId="8" numFmtId="0" xfId="0" applyAlignment="1" applyBorder="1" applyFill="1" applyFont="1">
      <alignment horizontal="left"/>
    </xf>
    <xf borderId="15" fillId="2" fontId="7" numFmtId="0" xfId="0" applyAlignment="1" applyBorder="1" applyFill="1" applyFont="1">
      <alignment horizontal="center" shrinkToFit="0" vertical="top" wrapText="1"/>
    </xf>
    <xf borderId="3" fillId="2" fontId="13" numFmtId="0" xfId="0" applyAlignment="1" applyBorder="1" applyFill="1" applyFont="1">
      <alignment readingOrder="0" shrinkToFit="0" vertical="top" wrapText="1"/>
    </xf>
    <xf borderId="12" fillId="2" fontId="8" numFmtId="0" xfId="0" applyAlignment="1" applyBorder="1" applyFill="1" applyFont="1">
      <alignment vertical="center"/>
    </xf>
    <xf borderId="3" fillId="0" fontId="11" numFmtId="0" xfId="0" applyAlignment="1" applyBorder="1" applyFont="1">
      <alignment horizontal="left" vertical="center"/>
    </xf>
    <xf borderId="7" fillId="0" fontId="11" numFmtId="0" xfId="0" applyAlignment="1" applyBorder="1" applyFont="1">
      <alignment horizontal="left" readingOrder="0"/>
    </xf>
    <xf borderId="3" fillId="2" fontId="9" numFmtId="0" xfId="0" applyAlignment="1" applyBorder="1" applyFill="1" applyFont="1">
      <alignment horizontal="left"/>
    </xf>
    <xf borderId="0" fillId="0" fontId="7" numFmtId="0" xfId="0" applyFont="1"/>
    <xf borderId="13" fillId="2" fontId="9" numFmtId="0" xfId="0" applyAlignment="1" applyBorder="1" applyFill="1" applyFont="1">
      <alignment vertical="top"/>
    </xf>
    <xf borderId="0" fillId="0" fontId="8" numFmtId="0" xfId="0" applyAlignment="1" applyFont="1">
      <alignment horizontal="left"/>
    </xf>
    <xf borderId="3" fillId="2" fontId="8" numFmtId="1" xfId="0" applyAlignment="1" applyBorder="1" applyFill="1" applyFont="1" applyNumberFormat="1">
      <alignment shrinkToFit="0" vertical="center" wrapText="1"/>
    </xf>
    <xf borderId="3" fillId="2" fontId="12" numFmtId="0" xfId="0" applyAlignment="1" applyBorder="1" applyFill="1" applyFont="1">
      <alignment readingOrder="0" shrinkToFit="0" vertical="top" wrapText="1"/>
    </xf>
    <xf borderId="3" fillId="2" fontId="1" numFmtId="0" xfId="0" applyAlignment="1" applyBorder="1" applyFill="1" applyFont="1">
      <alignment horizontal="left" shrinkToFit="0" vertical="top" wrapText="1"/>
    </xf>
    <xf borderId="0" fillId="0" fontId="7" numFmtId="0" xfId="0" applyAlignment="1" applyFont="1">
      <alignment horizontal="left"/>
    </xf>
    <xf borderId="16" fillId="0" fontId="4" numFmtId="0" xfId="0" applyBorder="1" applyFont="1"/>
    <xf borderId="3" fillId="2" fontId="9" numFmtId="0" xfId="0" applyAlignment="1" applyBorder="1" applyFill="1" applyFont="1">
      <alignment vertical="top"/>
    </xf>
    <xf borderId="1" fillId="2" fontId="8" numFmtId="1" xfId="0" applyBorder="1" applyFill="1" applyFont="1" applyNumberFormat="1"/>
    <xf borderId="17" fillId="3" fontId="14" numFmtId="164" xfId="0" applyAlignment="1" applyBorder="1" applyFill="1" applyFont="1" applyNumberFormat="1">
      <alignment horizontal="center" vertical="center"/>
    </xf>
    <xf borderId="18" fillId="3" fontId="14" numFmtId="0" xfId="0" applyAlignment="1" applyBorder="1" applyFill="1" applyFont="1">
      <alignment horizontal="center" vertical="center"/>
    </xf>
    <xf borderId="19" fillId="3" fontId="14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5" fillId="2" fontId="15" numFmtId="0" xfId="0" applyAlignment="1" applyBorder="1" applyFill="1" applyFont="1">
      <alignment horizontal="center" shrinkToFit="0" vertical="top" wrapText="1"/>
    </xf>
    <xf borderId="12" fillId="2" fontId="15" numFmtId="0" xfId="0" applyAlignment="1" applyBorder="1" applyFill="1" applyFont="1">
      <alignment horizontal="center" shrinkToFit="0" vertical="top" wrapText="1"/>
    </xf>
    <xf borderId="1" fillId="2" fontId="8" numFmtId="0" xfId="0" applyBorder="1" applyFill="1" applyFont="1"/>
    <xf borderId="1" fillId="2" fontId="9" numFmtId="0" xfId="0" applyBorder="1" applyFill="1" applyFont="1"/>
    <xf borderId="20" fillId="2" fontId="15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ill="1" applyFont="1">
      <alignment vertical="center"/>
    </xf>
    <xf borderId="21" fillId="0" fontId="11" numFmtId="0" xfId="0" applyAlignment="1" applyBorder="1" applyFont="1">
      <alignment readingOrder="0"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vertical="center"/>
    </xf>
    <xf borderId="22" fillId="0" fontId="1" numFmtId="49" xfId="0" applyAlignment="1" applyBorder="1" applyFont="1" applyNumberFormat="1">
      <alignment readingOrder="0" vertical="top"/>
    </xf>
    <xf borderId="1" fillId="2" fontId="1" numFmtId="0" xfId="0" applyAlignment="1" applyBorder="1" applyFill="1" applyFont="1">
      <alignment horizontal="left" vertical="center"/>
    </xf>
    <xf borderId="22" fillId="0" fontId="1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horizontal="center" shrinkToFit="0" wrapText="1"/>
    </xf>
    <xf borderId="23" fillId="0" fontId="16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vertical="top"/>
    </xf>
    <xf borderId="1" fillId="2" fontId="6" numFmtId="0" xfId="0" applyAlignment="1" applyBorder="1" applyFill="1" applyFont="1">
      <alignment horizontal="center" shrinkToFit="0" wrapText="1"/>
    </xf>
    <xf borderId="1" fillId="2" fontId="7" numFmtId="0" xfId="0" applyAlignment="1" applyBorder="1" applyFill="1" applyFont="1">
      <alignment horizontal="center"/>
    </xf>
    <xf borderId="17" fillId="4" fontId="14" numFmtId="1" xfId="0" applyAlignment="1" applyBorder="1" applyFill="1" applyFont="1" applyNumberFormat="1">
      <alignment horizontal="center" vertical="center"/>
    </xf>
    <xf borderId="18" fillId="4" fontId="14" numFmtId="0" xfId="0" applyAlignment="1" applyBorder="1" applyFill="1" applyFont="1">
      <alignment horizontal="center" vertical="center"/>
    </xf>
    <xf borderId="21" fillId="0" fontId="1" numFmtId="165" xfId="0" applyAlignment="1" applyBorder="1" applyFont="1" applyNumberFormat="1">
      <alignment horizontal="left" readingOrder="0" vertical="top"/>
    </xf>
    <xf borderId="24" fillId="4" fontId="14" numFmtId="0" xfId="0" applyAlignment="1" applyBorder="1" applyFill="1" applyFont="1">
      <alignment horizontal="center" vertical="center"/>
    </xf>
    <xf borderId="23" fillId="0" fontId="1" numFmtId="0" xfId="0" applyAlignment="1" applyBorder="1" applyFont="1">
      <alignment vertical="top"/>
    </xf>
    <xf borderId="19" fillId="4" fontId="14" numFmtId="0" xfId="0" applyAlignment="1" applyBorder="1" applyFill="1" applyFont="1">
      <alignment horizontal="center" vertical="center"/>
    </xf>
    <xf borderId="12" fillId="2" fontId="1" numFmtId="0" xfId="0" applyAlignment="1" applyBorder="1" applyFill="1" applyFont="1">
      <alignment horizontal="center" shrinkToFit="0" vertical="top" wrapText="1"/>
    </xf>
    <xf borderId="21" fillId="0" fontId="1" numFmtId="164" xfId="0" applyAlignment="1" applyBorder="1" applyFont="1" applyNumberFormat="1">
      <alignment vertical="top"/>
    </xf>
    <xf borderId="22" fillId="0" fontId="1" numFmtId="49" xfId="0" applyAlignment="1" applyBorder="1" applyFont="1" applyNumberFormat="1">
      <alignment vertical="top"/>
    </xf>
    <xf borderId="22" fillId="0" fontId="1" numFmtId="0" xfId="0" applyAlignment="1" applyBorder="1" applyFont="1">
      <alignment vertical="top"/>
    </xf>
    <xf borderId="25" fillId="2" fontId="1" numFmtId="0" xfId="0" applyBorder="1" applyFill="1" applyFont="1"/>
    <xf borderId="26" fillId="3" fontId="14" numFmtId="0" xfId="0" applyAlignment="1" applyBorder="1" applyFill="1" applyFont="1">
      <alignment horizontal="center"/>
    </xf>
    <xf borderId="18" fillId="3" fontId="14" numFmtId="0" xfId="0" applyAlignment="1" applyBorder="1" applyFill="1" applyFont="1">
      <alignment horizontal="center"/>
    </xf>
    <xf borderId="20" fillId="2" fontId="1" numFmtId="0" xfId="0" applyAlignment="1" applyBorder="1" applyFill="1" applyFont="1">
      <alignment horizontal="center" shrinkToFit="0" vertical="top" wrapText="1"/>
    </xf>
    <xf borderId="18" fillId="3" fontId="14" numFmtId="0" xfId="0" applyAlignment="1" applyBorder="1" applyFill="1" applyFont="1">
      <alignment horizontal="center" shrinkToFit="0" wrapText="1"/>
    </xf>
    <xf borderId="1" fillId="2" fontId="12" numFmtId="0" xfId="0" applyAlignment="1" applyBorder="1" applyFill="1" applyFont="1">
      <alignment horizontal="center" shrinkToFit="0" vertical="center" wrapText="1"/>
    </xf>
    <xf borderId="21" fillId="2" fontId="1" numFmtId="1" xfId="0" applyAlignment="1" applyBorder="1" applyFill="1" applyFont="1" applyNumberFormat="1">
      <alignment vertical="center"/>
    </xf>
    <xf borderId="24" fillId="3" fontId="14" numFmtId="0" xfId="0" applyAlignment="1" applyBorder="1" applyFill="1" applyFont="1">
      <alignment horizontal="center"/>
    </xf>
    <xf borderId="27" fillId="3" fontId="14" numFmtId="0" xfId="0" applyAlignment="1" applyBorder="1" applyFill="1" applyFont="1">
      <alignment horizontal="center" shrinkToFit="0" wrapText="1"/>
    </xf>
    <xf borderId="28" fillId="0" fontId="13" numFmtId="0" xfId="0" applyAlignment="1" applyBorder="1" applyFont="1">
      <alignment shrinkToFit="0" vertical="top" wrapText="1"/>
    </xf>
    <xf borderId="22" fillId="2" fontId="13" numFmtId="0" xfId="0" applyAlignment="1" applyBorder="1" applyFill="1" applyFont="1">
      <alignment horizontal="left" readingOrder="0" vertical="center"/>
    </xf>
    <xf borderId="29" fillId="2" fontId="1" numFmtId="0" xfId="0" applyAlignment="1" applyBorder="1" applyFill="1" applyFont="1">
      <alignment horizontal="center"/>
    </xf>
    <xf borderId="22" fillId="2" fontId="17" numFmtId="0" xfId="0" applyBorder="1" applyFill="1" applyFont="1"/>
    <xf borderId="22" fillId="2" fontId="1" numFmtId="0" xfId="0" applyAlignment="1" applyBorder="1" applyFill="1" applyFont="1">
      <alignment horizontal="center"/>
    </xf>
    <xf borderId="30" fillId="0" fontId="1" numFmtId="164" xfId="0" applyAlignment="1" applyBorder="1" applyFont="1" applyNumberFormat="1">
      <alignment vertical="top"/>
    </xf>
    <xf borderId="31" fillId="0" fontId="1" numFmtId="49" xfId="0" applyAlignment="1" applyBorder="1" applyFont="1" applyNumberFormat="1">
      <alignment vertical="top"/>
    </xf>
    <xf borderId="31" fillId="0" fontId="1" numFmtId="0" xfId="0" applyAlignment="1" applyBorder="1" applyFont="1">
      <alignment vertical="top"/>
    </xf>
    <xf borderId="32" fillId="0" fontId="1" numFmtId="0" xfId="0" applyAlignment="1" applyBorder="1" applyFont="1">
      <alignment vertical="top"/>
    </xf>
    <xf borderId="33" fillId="2" fontId="1" numFmtId="0" xfId="0" applyAlignment="1" applyBorder="1" applyFill="1" applyFont="1">
      <alignment horizontal="center"/>
    </xf>
    <xf borderId="34" fillId="2" fontId="15" numFmtId="0" xfId="0" applyAlignment="1" applyBorder="1" applyFill="1" applyFont="1">
      <alignment horizontal="center" shrinkToFit="0" vertical="top" wrapText="1"/>
    </xf>
    <xf borderId="35" fillId="2" fontId="1" numFmtId="0" xfId="0" applyAlignment="1" applyBorder="1" applyFill="1" applyFont="1">
      <alignment horizontal="center" shrinkToFit="0" vertical="top" wrapText="1"/>
    </xf>
    <xf borderId="36" fillId="2" fontId="1" numFmtId="0" xfId="0" applyAlignment="1" applyBorder="1" applyFill="1" applyFont="1">
      <alignment horizontal="center" shrinkToFit="0" vertical="top" wrapText="1"/>
    </xf>
    <xf borderId="22" fillId="2" fontId="1" numFmtId="0" xfId="0" applyAlignment="1" applyBorder="1" applyFill="1" applyFont="1">
      <alignment horizontal="center" readingOrder="0"/>
    </xf>
    <xf borderId="1" fillId="2" fontId="12" numFmtId="0" xfId="0" applyAlignment="1" applyBorder="1" applyFill="1" applyFont="1">
      <alignment horizontal="center" shrinkToFit="0" wrapText="1"/>
    </xf>
    <xf borderId="12" fillId="5" fontId="14" numFmtId="0" xfId="0" applyAlignment="1" applyBorder="1" applyFill="1" applyFont="1">
      <alignment horizontal="center" shrinkToFit="0" vertical="center" wrapText="1"/>
    </xf>
    <xf borderId="22" fillId="2" fontId="1" numFmtId="0" xfId="0" applyAlignment="1" applyBorder="1" applyFill="1" applyFont="1">
      <alignment horizontal="left" readingOrder="0" vertical="center"/>
    </xf>
    <xf borderId="1" fillId="2" fontId="10" numFmtId="0" xfId="0" applyAlignment="1" applyBorder="1" applyFill="1" applyFont="1">
      <alignment horizontal="center" shrinkToFit="0" vertical="center" wrapText="1"/>
    </xf>
    <xf borderId="37" fillId="6" fontId="18" numFmtId="0" xfId="0" applyAlignment="1" applyBorder="1" applyFill="1" applyFont="1">
      <alignment horizontal="left" vertical="center"/>
    </xf>
    <xf borderId="38" fillId="6" fontId="18" numFmtId="0" xfId="0" applyAlignment="1" applyBorder="1" applyFill="1" applyFont="1">
      <alignment horizontal="left" vertical="center"/>
    </xf>
    <xf borderId="39" fillId="6" fontId="18" numFmtId="0" xfId="0" applyAlignment="1" applyBorder="1" applyFill="1" applyFont="1">
      <alignment horizontal="left" vertical="center"/>
    </xf>
    <xf borderId="1" fillId="2" fontId="19" numFmtId="0" xfId="0" applyBorder="1" applyFill="1" applyFont="1"/>
    <xf borderId="1" fillId="2" fontId="20" numFmtId="0" xfId="0" applyAlignment="1" applyBorder="1" applyFill="1" applyFont="1">
      <alignment horizontal="left" vertical="center"/>
    </xf>
    <xf borderId="28" fillId="0" fontId="21" numFmtId="0" xfId="0" applyAlignment="1" applyBorder="1" applyFont="1">
      <alignment shrinkToFit="0" vertical="top" wrapText="1"/>
    </xf>
    <xf borderId="12" fillId="2" fontId="13" numFmtId="0" xfId="0" applyAlignment="1" applyBorder="1" applyFill="1" applyFont="1">
      <alignment readingOrder="0" shrinkToFit="0" vertical="top" wrapText="1"/>
    </xf>
    <xf borderId="12" fillId="2" fontId="13" numFmtId="0" xfId="0" applyAlignment="1" applyBorder="1" applyFill="1" applyFont="1">
      <alignment shrinkToFit="0" vertical="top" wrapText="1"/>
    </xf>
    <xf borderId="1" fillId="2" fontId="19" numFmtId="0" xfId="0" applyAlignment="1" applyBorder="1" applyFill="1" applyFont="1">
      <alignment vertical="top"/>
    </xf>
    <xf borderId="1" fillId="2" fontId="22" numFmtId="0" xfId="0" applyAlignment="1" applyBorder="1" applyFill="1" applyFont="1">
      <alignment shrinkToFit="0" vertical="top" wrapText="1"/>
    </xf>
    <xf borderId="22" fillId="2" fontId="12" numFmtId="0" xfId="0" applyAlignment="1" applyBorder="1" applyFill="1" applyFont="1">
      <alignment horizontal="left" readingOrder="0" vertical="center"/>
    </xf>
    <xf borderId="1" fillId="2" fontId="13" numFmtId="0" xfId="0" applyBorder="1" applyFill="1" applyFont="1"/>
    <xf borderId="40" fillId="3" fontId="23" numFmtId="0" xfId="0" applyAlignment="1" applyBorder="1" applyFill="1" applyFont="1">
      <alignment horizontal="center"/>
    </xf>
    <xf borderId="31" fillId="3" fontId="14" numFmtId="0" xfId="0" applyBorder="1" applyFill="1" applyFont="1"/>
    <xf borderId="31" fillId="3" fontId="23" numFmtId="0" xfId="0" applyAlignment="1" applyBorder="1" applyFill="1" applyFont="1">
      <alignment horizontal="center"/>
    </xf>
    <xf borderId="41" fillId="3" fontId="23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0" xfId="0" applyAlignment="1" applyBorder="1" applyFill="1" applyFont="1" applyNumberFormat="1">
      <alignment horizontal="center"/>
    </xf>
    <xf borderId="1" fillId="2" fontId="1" numFmtId="9" xfId="0" applyAlignment="1" applyBorder="1" applyFill="1" applyFont="1" applyNumberFormat="1">
      <alignment horizontal="center"/>
    </xf>
    <xf borderId="1" fillId="2" fontId="24" numFmtId="2" xfId="0" applyAlignment="1" applyBorder="1" applyFill="1" applyFont="1" applyNumberFormat="1">
      <alignment horizontal="right" shrinkToFit="0" wrapText="1"/>
    </xf>
    <xf borderId="42" fillId="6" fontId="18" numFmtId="0" xfId="0" applyAlignment="1" applyBorder="1" applyFill="1" applyFont="1">
      <alignment horizontal="left" vertical="center"/>
    </xf>
    <xf borderId="43" fillId="6" fontId="18" numFmtId="0" xfId="0" applyAlignment="1" applyBorder="1" applyFill="1" applyFont="1">
      <alignment horizontal="left" vertical="center"/>
    </xf>
    <xf borderId="13" fillId="6" fontId="18" numFmtId="0" xfId="0" applyAlignment="1" applyBorder="1" applyFill="1" applyFont="1">
      <alignment horizontal="left" vertical="center"/>
    </xf>
    <xf borderId="12" fillId="2" fontId="13" numFmtId="0" xfId="0" applyBorder="1" applyFill="1" applyFont="1"/>
    <xf borderId="1" fillId="2" fontId="22" numFmtId="0" xfId="0" applyBorder="1" applyFill="1" applyFont="1"/>
    <xf borderId="6" fillId="2" fontId="13" numFmtId="0" xfId="0" applyAlignment="1" applyBorder="1" applyFill="1" applyFont="1">
      <alignment readingOrder="0" shrinkToFit="0" vertical="top" wrapText="1"/>
    </xf>
    <xf borderId="6" fillId="2" fontId="13" numFmtId="0" xfId="0" applyAlignment="1" applyBorder="1" applyFill="1" applyFont="1">
      <alignment shrinkToFit="0" vertical="top" wrapText="1"/>
    </xf>
    <xf borderId="7" fillId="2" fontId="13" numFmtId="0" xfId="0" applyAlignment="1" applyBorder="1" applyFill="1" applyFont="1">
      <alignment shrinkToFit="0" vertical="top" wrapText="1"/>
    </xf>
    <xf borderId="37" fillId="6" fontId="18" numFmtId="0" xfId="0" applyAlignment="1" applyBorder="1" applyFill="1" applyFont="1">
      <alignment horizontal="left" readingOrder="0" vertical="center"/>
    </xf>
    <xf borderId="0" fillId="6" fontId="18" numFmtId="0" xfId="0" applyAlignment="1" applyFill="1" applyFont="1">
      <alignment horizontal="left" vertical="center"/>
    </xf>
    <xf borderId="6" fillId="6" fontId="18" numFmtId="0" xfId="0" applyAlignment="1" applyBorder="1" applyFill="1" applyFont="1">
      <alignment horizontal="left" vertical="center"/>
    </xf>
    <xf borderId="7" fillId="6" fontId="18" numFmtId="0" xfId="0" applyAlignment="1" applyBorder="1" applyFill="1" applyFont="1">
      <alignment horizontal="left" vertical="center"/>
    </xf>
    <xf borderId="30" fillId="2" fontId="1" numFmtId="1" xfId="0" applyAlignment="1" applyBorder="1" applyFill="1" applyFont="1" applyNumberFormat="1">
      <alignment vertical="center"/>
    </xf>
    <xf borderId="0" fillId="6" fontId="18" numFmtId="0" xfId="0" applyAlignment="1" applyFill="1" applyFont="1">
      <alignment horizontal="left" readingOrder="0" vertical="center"/>
    </xf>
    <xf borderId="12" fillId="6" fontId="13" numFmtId="0" xfId="0" applyAlignment="1" applyBorder="1" applyFill="1" applyFont="1">
      <alignment readingOrder="0" shrinkToFit="0" vertical="top" wrapText="1"/>
    </xf>
    <xf borderId="6" fillId="2" fontId="25" numFmtId="0" xfId="0" applyAlignment="1" applyBorder="1" applyFill="1" applyFont="1">
      <alignment vertical="top"/>
    </xf>
    <xf borderId="7" fillId="2" fontId="25" numFmtId="0" xfId="0" applyAlignment="1" applyBorder="1" applyFill="1" applyFont="1">
      <alignment vertical="top"/>
    </xf>
    <xf borderId="1" fillId="2" fontId="25" numFmtId="0" xfId="0" applyAlignment="1" applyBorder="1" applyFill="1" applyFont="1">
      <alignment vertical="bottom"/>
    </xf>
    <xf borderId="1" fillId="2" fontId="25" numFmtId="0" xfId="0" applyAlignment="1" applyBorder="1" applyFill="1" applyFont="1">
      <alignment vertical="top"/>
    </xf>
    <xf borderId="12" fillId="2" fontId="25" numFmtId="0" xfId="0" applyAlignment="1" applyBorder="1" applyFill="1" applyFont="1">
      <alignment vertical="top"/>
    </xf>
    <xf borderId="12" fillId="2" fontId="25" numFmtId="0" xfId="0" applyAlignment="1" applyBorder="1" applyFill="1" applyFont="1">
      <alignment readingOrder="0" vertical="top"/>
    </xf>
    <xf borderId="12" fillId="2" fontId="25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horizontal="left" readingOrder="0" shrinkToFit="0" vertical="top" wrapText="1"/>
    </xf>
    <xf borderId="44" fillId="6" fontId="26" numFmtId="0" xfId="0" applyAlignment="1" applyBorder="1" applyFill="1" applyFont="1">
      <alignment vertical="center"/>
    </xf>
    <xf borderId="45" fillId="0" fontId="4" numFmtId="0" xfId="0" applyBorder="1" applyFont="1"/>
    <xf borderId="46" fillId="0" fontId="4" numFmtId="0" xfId="0" applyBorder="1" applyFont="1"/>
    <xf borderId="47" fillId="2" fontId="13" numFmtId="0" xfId="0" applyAlignment="1" applyBorder="1" applyFill="1" applyFont="1">
      <alignment readingOrder="0" shrinkToFit="0" vertical="top" wrapText="1"/>
    </xf>
    <xf borderId="47" fillId="2" fontId="13" numFmtId="0" xfId="0" applyAlignment="1" applyBorder="1" applyFill="1" applyFont="1">
      <alignment shrinkToFit="0" vertical="top" wrapText="1"/>
    </xf>
    <xf borderId="48" fillId="2" fontId="13" numFmtId="0" xfId="0" applyAlignment="1" applyBorder="1" applyFill="1" applyFont="1">
      <alignment shrinkToFit="0" vertical="top" wrapText="1"/>
    </xf>
    <xf borderId="0" fillId="2" fontId="13" numFmtId="0" xfId="0" applyAlignment="1" applyFill="1" applyFont="1">
      <alignment readingOrder="0" shrinkToFit="0" vertical="top" wrapText="1"/>
    </xf>
    <xf borderId="0" fillId="2" fontId="13" numFmtId="0" xfId="0" applyAlignment="1" applyFill="1" applyFont="1">
      <alignment shrinkToFit="0" vertical="top" wrapText="1"/>
    </xf>
    <xf borderId="44" fillId="6" fontId="26" numFmtId="0" xfId="0" applyAlignment="1" applyBorder="1" applyFill="1" applyFont="1">
      <alignment readingOrder="0" vertical="center"/>
    </xf>
    <xf borderId="1" fillId="2" fontId="25" numFmtId="0" xfId="0" applyAlignment="1" applyBorder="1" applyFill="1" applyFont="1">
      <alignment vertical="center"/>
    </xf>
    <xf borderId="47" fillId="2" fontId="25" numFmtId="0" xfId="0" applyAlignment="1" applyBorder="1" applyFill="1" applyFont="1">
      <alignment vertical="top"/>
    </xf>
    <xf borderId="48" fillId="2" fontId="25" numFmtId="0" xfId="0" applyAlignment="1" applyBorder="1" applyFill="1" applyFont="1">
      <alignment vertical="top"/>
    </xf>
    <xf borderId="1" fillId="2" fontId="25" numFmtId="0" xfId="0" applyBorder="1" applyFill="1" applyFont="1"/>
    <xf borderId="0" fillId="2" fontId="25" numFmtId="0" xfId="0" applyAlignment="1" applyFill="1" applyFont="1">
      <alignment vertical="top"/>
    </xf>
    <xf borderId="44" fillId="6" fontId="26" numFmtId="0" xfId="0" applyAlignment="1" applyBorder="1" applyFill="1" applyFont="1">
      <alignment readingOrder="0" vertical="bottom"/>
    </xf>
    <xf borderId="28" fillId="0" fontId="21" numFmtId="0" xfId="0" applyAlignment="1" applyBorder="1" applyFont="1">
      <alignment readingOrder="0" shrinkToFit="0" vertical="top" wrapText="1"/>
    </xf>
    <xf borderId="37" fillId="6" fontId="7" numFmtId="0" xfId="0" applyAlignment="1" applyBorder="1" applyFill="1" applyFont="1">
      <alignment horizontal="left" readingOrder="0" vertical="center"/>
    </xf>
    <xf borderId="37" fillId="6" fontId="7" numFmtId="0" xfId="0" applyAlignment="1" applyBorder="1" applyFill="1" applyFont="1">
      <alignment horizontal="left" vertical="center"/>
    </xf>
    <xf borderId="38" fillId="6" fontId="7" numFmtId="0" xfId="0" applyAlignment="1" applyBorder="1" applyFill="1" applyFont="1">
      <alignment horizontal="left" vertical="center"/>
    </xf>
    <xf borderId="39" fillId="6" fontId="7" numFmtId="0" xfId="0" applyAlignment="1" applyBorder="1" applyFill="1" applyFont="1">
      <alignment horizontal="left" vertical="center"/>
    </xf>
    <xf borderId="1" fillId="2" fontId="10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38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Report5_Unit%20Test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4.38"/>
    <col customWidth="1" min="4" max="4" width="33.88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5"/>
      <c r="B2" s="10" t="s">
        <v>2</v>
      </c>
      <c r="C2" s="12"/>
      <c r="D2" s="12"/>
      <c r="E2" s="12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19"/>
      <c r="B3" s="20"/>
      <c r="C3" s="3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7" t="s">
        <v>5</v>
      </c>
      <c r="B4" s="29" t="s">
        <v>6</v>
      </c>
      <c r="C4" s="12"/>
      <c r="D4" s="14"/>
      <c r="E4" s="27" t="s">
        <v>8</v>
      </c>
      <c r="F4" s="31" t="s">
        <v>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7" t="s">
        <v>10</v>
      </c>
      <c r="B5" s="29" t="s">
        <v>11</v>
      </c>
      <c r="C5" s="12"/>
      <c r="D5" s="14"/>
      <c r="E5" s="27" t="s">
        <v>12</v>
      </c>
      <c r="F5" s="39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3" t="s">
        <v>15</v>
      </c>
      <c r="B6" s="48" t="str">
        <f>B5&amp;"_"&amp;"v0.2"</f>
        <v>SU26SE038 / GSU26SE45_v0.2</v>
      </c>
      <c r="C6" s="12"/>
      <c r="D6" s="14"/>
      <c r="E6" s="27" t="s">
        <v>18</v>
      </c>
      <c r="F6" s="49" t="s">
        <v>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1"/>
      <c r="B7" s="20"/>
      <c r="C7" s="3"/>
      <c r="D7" s="3"/>
      <c r="E7" s="53"/>
      <c r="F7" s="2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57" t="s">
        <v>24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61" t="s">
        <v>26</v>
      </c>
      <c r="B10" s="62" t="s">
        <v>18</v>
      </c>
      <c r="C10" s="62" t="s">
        <v>28</v>
      </c>
      <c r="D10" s="62" t="s">
        <v>29</v>
      </c>
      <c r="E10" s="62" t="s">
        <v>30</v>
      </c>
      <c r="F10" s="63" t="s">
        <v>31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26.25" customHeight="1">
      <c r="A11" s="71" t="s">
        <v>13</v>
      </c>
      <c r="B11" s="74" t="s">
        <v>34</v>
      </c>
      <c r="C11" s="76" t="s">
        <v>35</v>
      </c>
      <c r="D11" s="76" t="s">
        <v>36</v>
      </c>
      <c r="E11" s="76" t="s">
        <v>37</v>
      </c>
      <c r="F11" s="78" t="s">
        <v>1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21.75" customHeight="1">
      <c r="A12" s="84">
        <v>46121.0</v>
      </c>
      <c r="B12" s="74" t="s">
        <v>19</v>
      </c>
      <c r="C12" s="76" t="s">
        <v>42</v>
      </c>
      <c r="D12" s="76" t="s">
        <v>43</v>
      </c>
      <c r="E12" s="76" t="s">
        <v>45</v>
      </c>
      <c r="F12" s="86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9.5" customHeight="1">
      <c r="A13" s="89"/>
      <c r="B13" s="90"/>
      <c r="C13" s="91"/>
      <c r="D13" s="91"/>
      <c r="E13" s="91"/>
      <c r="F13" s="86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21.75" customHeight="1">
      <c r="A14" s="89"/>
      <c r="B14" s="90"/>
      <c r="C14" s="91"/>
      <c r="D14" s="91"/>
      <c r="E14" s="91"/>
      <c r="F14" s="86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9.5" customHeight="1">
      <c r="A15" s="89"/>
      <c r="B15" s="90"/>
      <c r="C15" s="91"/>
      <c r="D15" s="91"/>
      <c r="E15" s="91"/>
      <c r="F15" s="86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21.75" customHeight="1">
      <c r="A16" s="89"/>
      <c r="B16" s="90"/>
      <c r="C16" s="91"/>
      <c r="D16" s="91"/>
      <c r="E16" s="91"/>
      <c r="F16" s="86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9.5" customHeight="1">
      <c r="A17" s="106"/>
      <c r="B17" s="107"/>
      <c r="C17" s="108"/>
      <c r="D17" s="108"/>
      <c r="E17" s="108"/>
      <c r="F17" s="10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2.75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B2:F2"/>
    <mergeCell ref="B4:D4"/>
    <mergeCell ref="B5:D5"/>
    <mergeCell ref="B6:D6"/>
  </mergeCells>
  <hyperlinks>
    <hyperlink display="TEST CASE LIST" location="'Test Cases'!A1" ref="F11"/>
  </hyperlinks>
  <printOptions/>
  <pageMargins bottom="0.6" footer="0.0" header="0.0" left="0.0" right="0.0" top="0.0"/>
  <pageSetup paperSize="8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38"/>
    <col customWidth="1" min="2" max="2" width="11.88"/>
    <col customWidth="1" min="3" max="3" width="26.5"/>
    <col customWidth="1" min="4" max="4" width="25.88"/>
    <col customWidth="1" min="5" max="5" width="48.25"/>
    <col customWidth="1" min="6" max="6" width="30.63"/>
    <col customWidth="1" min="7" max="26" width="9.0"/>
  </cols>
  <sheetData>
    <row r="1" ht="12.75" customHeight="1">
      <c r="A1" s="2"/>
      <c r="C1" s="5"/>
      <c r="D1" s="7" t="s">
        <v>1</v>
      </c>
      <c r="E1" s="9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3"/>
      <c r="C2" s="11"/>
      <c r="D2" s="25"/>
      <c r="E2" s="25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37" t="s">
        <v>5</v>
      </c>
      <c r="C3" s="38"/>
      <c r="D3" s="40" t="s">
        <v>7</v>
      </c>
      <c r="E3" s="12"/>
      <c r="F3" s="1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37" t="s">
        <v>10</v>
      </c>
      <c r="C4" s="38"/>
      <c r="D4" s="40" t="s">
        <v>11</v>
      </c>
      <c r="E4" s="12"/>
      <c r="F4" s="1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4.75" customHeight="1">
      <c r="A5" s="36"/>
      <c r="B5" s="54" t="s">
        <v>21</v>
      </c>
      <c r="C5" s="14"/>
      <c r="D5" s="55" t="s">
        <v>22</v>
      </c>
      <c r="E5" s="12"/>
      <c r="F5" s="14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2.75" customHeight="1">
      <c r="A6" s="2"/>
      <c r="B6" s="6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0"/>
      <c r="B7" s="73"/>
      <c r="C7" s="75"/>
      <c r="D7" s="75"/>
      <c r="E7" s="75"/>
      <c r="F7" s="75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21.0" customHeight="1">
      <c r="A8" s="81"/>
      <c r="B8" s="82" t="s">
        <v>38</v>
      </c>
      <c r="C8" s="83" t="s">
        <v>39</v>
      </c>
      <c r="D8" s="83" t="s">
        <v>40</v>
      </c>
      <c r="E8" s="85" t="s">
        <v>44</v>
      </c>
      <c r="F8" s="87" t="s">
        <v>46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2.75" customHeight="1">
      <c r="A9" s="2"/>
      <c r="B9" s="98">
        <v>1.0</v>
      </c>
      <c r="C9" s="101" t="s">
        <v>48</v>
      </c>
      <c r="D9" s="102" t="s">
        <v>4</v>
      </c>
      <c r="E9" s="101" t="s">
        <v>50</v>
      </c>
      <c r="F9" s="101" t="s">
        <v>51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98">
        <v>2.0</v>
      </c>
      <c r="C10" s="101" t="s">
        <v>53</v>
      </c>
      <c r="D10" s="102" t="s">
        <v>4</v>
      </c>
      <c r="E10" s="101" t="s">
        <v>50</v>
      </c>
      <c r="F10" s="101" t="s">
        <v>51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98">
        <v>3.0</v>
      </c>
      <c r="C11" s="101" t="s">
        <v>54</v>
      </c>
      <c r="D11" s="102" t="s">
        <v>4</v>
      </c>
      <c r="E11" s="101" t="s">
        <v>50</v>
      </c>
      <c r="F11" s="101" t="s">
        <v>51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98">
        <v>4.0</v>
      </c>
      <c r="C12" s="101" t="s">
        <v>57</v>
      </c>
      <c r="D12" s="102" t="s">
        <v>4</v>
      </c>
      <c r="E12" s="101" t="s">
        <v>50</v>
      </c>
      <c r="F12" s="101" t="s">
        <v>51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98">
        <v>5.0</v>
      </c>
      <c r="C13" s="101" t="s">
        <v>59</v>
      </c>
      <c r="D13" s="102" t="s">
        <v>4</v>
      </c>
      <c r="E13" s="101" t="s">
        <v>50</v>
      </c>
      <c r="F13" s="101" t="s">
        <v>51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98">
        <v>6.0</v>
      </c>
      <c r="C14" s="101" t="s">
        <v>61</v>
      </c>
      <c r="D14" s="102" t="s">
        <v>4</v>
      </c>
      <c r="E14" s="101" t="s">
        <v>50</v>
      </c>
      <c r="F14" s="101" t="s">
        <v>51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98">
        <v>7.0</v>
      </c>
      <c r="C15" s="101" t="s">
        <v>63</v>
      </c>
      <c r="D15" s="117" t="s">
        <v>55</v>
      </c>
      <c r="E15" s="101" t="s">
        <v>67</v>
      </c>
      <c r="F15" s="101" t="s">
        <v>69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98">
        <v>8.0</v>
      </c>
      <c r="C16" s="101" t="s">
        <v>74</v>
      </c>
      <c r="D16" s="117" t="s">
        <v>55</v>
      </c>
      <c r="E16" s="101" t="s">
        <v>67</v>
      </c>
      <c r="F16" s="101" t="s">
        <v>69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98">
        <v>9.0</v>
      </c>
      <c r="C17" s="101" t="s">
        <v>77</v>
      </c>
      <c r="D17" s="117" t="s">
        <v>55</v>
      </c>
      <c r="E17" s="101" t="s">
        <v>67</v>
      </c>
      <c r="F17" s="101" t="s">
        <v>69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98">
        <v>10.0</v>
      </c>
      <c r="C18" s="101" t="s">
        <v>79</v>
      </c>
      <c r="D18" s="117" t="s">
        <v>55</v>
      </c>
      <c r="E18" s="101" t="s">
        <v>67</v>
      </c>
      <c r="F18" s="101" t="s">
        <v>69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98">
        <v>11.0</v>
      </c>
      <c r="C19" s="101" t="s">
        <v>87</v>
      </c>
      <c r="D19" s="117" t="s">
        <v>55</v>
      </c>
      <c r="E19" s="101" t="s">
        <v>67</v>
      </c>
      <c r="F19" s="101" t="s">
        <v>69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98">
        <v>12.0</v>
      </c>
      <c r="C20" s="101" t="s">
        <v>88</v>
      </c>
      <c r="D20" s="129" t="s">
        <v>58</v>
      </c>
      <c r="E20" s="101" t="s">
        <v>67</v>
      </c>
      <c r="F20" s="101" t="s">
        <v>69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98">
        <v>13.0</v>
      </c>
      <c r="C21" s="101" t="s">
        <v>94</v>
      </c>
      <c r="D21" s="101" t="s">
        <v>58</v>
      </c>
      <c r="E21" s="101" t="s">
        <v>95</v>
      </c>
      <c r="F21" s="101" t="s">
        <v>96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98">
        <v>14.0</v>
      </c>
      <c r="C22" s="101" t="s">
        <v>102</v>
      </c>
      <c r="D22" s="101" t="s">
        <v>58</v>
      </c>
      <c r="E22" s="101" t="s">
        <v>95</v>
      </c>
      <c r="F22" s="101" t="s">
        <v>96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98">
        <v>15.0</v>
      </c>
      <c r="C23" s="101" t="s">
        <v>104</v>
      </c>
      <c r="D23" s="101" t="s">
        <v>60</v>
      </c>
      <c r="E23" s="101" t="s">
        <v>105</v>
      </c>
      <c r="F23" s="101" t="s">
        <v>96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98">
        <v>16.0</v>
      </c>
      <c r="C24" s="101" t="s">
        <v>111</v>
      </c>
      <c r="D24" s="101" t="s">
        <v>60</v>
      </c>
      <c r="E24" s="101" t="s">
        <v>105</v>
      </c>
      <c r="F24" s="101" t="s">
        <v>96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98">
        <v>17.0</v>
      </c>
      <c r="C25" s="101" t="s">
        <v>119</v>
      </c>
      <c r="D25" s="101" t="s">
        <v>60</v>
      </c>
      <c r="E25" s="101" t="s">
        <v>105</v>
      </c>
      <c r="F25" s="101" t="s">
        <v>96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98">
        <v>18.0</v>
      </c>
      <c r="C26" s="101" t="s">
        <v>121</v>
      </c>
      <c r="D26" s="101" t="s">
        <v>60</v>
      </c>
      <c r="E26" s="101" t="s">
        <v>105</v>
      </c>
      <c r="F26" s="101" t="s">
        <v>96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98">
        <v>19.0</v>
      </c>
      <c r="C27" s="101" t="s">
        <v>123</v>
      </c>
      <c r="D27" s="101" t="s">
        <v>68</v>
      </c>
      <c r="E27" s="101" t="s">
        <v>124</v>
      </c>
      <c r="F27" s="101" t="s">
        <v>125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98">
        <v>20.0</v>
      </c>
      <c r="C28" s="101" t="s">
        <v>126</v>
      </c>
      <c r="D28" s="101" t="s">
        <v>68</v>
      </c>
      <c r="E28" s="101" t="s">
        <v>124</v>
      </c>
      <c r="F28" s="101" t="s">
        <v>125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98">
        <v>21.0</v>
      </c>
      <c r="C29" s="101" t="s">
        <v>132</v>
      </c>
      <c r="D29" s="101" t="s">
        <v>68</v>
      </c>
      <c r="E29" s="101" t="s">
        <v>124</v>
      </c>
      <c r="F29" s="101" t="s">
        <v>125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98">
        <v>22.0</v>
      </c>
      <c r="C30" s="101" t="s">
        <v>133</v>
      </c>
      <c r="D30" s="101" t="s">
        <v>76</v>
      </c>
      <c r="E30" s="101" t="s">
        <v>134</v>
      </c>
      <c r="F30" s="101" t="s">
        <v>135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98">
        <v>23.0</v>
      </c>
      <c r="C31" s="101" t="s">
        <v>141</v>
      </c>
      <c r="D31" s="101" t="s">
        <v>76</v>
      </c>
      <c r="E31" s="101" t="s">
        <v>134</v>
      </c>
      <c r="F31" s="101" t="s">
        <v>135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98">
        <v>24.0</v>
      </c>
      <c r="C32" s="101" t="s">
        <v>147</v>
      </c>
      <c r="D32" s="101" t="s">
        <v>76</v>
      </c>
      <c r="E32" s="101" t="s">
        <v>134</v>
      </c>
      <c r="F32" s="101" t="s">
        <v>135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98">
        <v>25.0</v>
      </c>
      <c r="C33" s="101" t="s">
        <v>148</v>
      </c>
      <c r="D33" s="101" t="s">
        <v>150</v>
      </c>
      <c r="E33" s="101" t="s">
        <v>151</v>
      </c>
      <c r="F33" s="101" t="s">
        <v>152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98">
        <v>26.0</v>
      </c>
      <c r="C34" s="101" t="s">
        <v>153</v>
      </c>
      <c r="D34" s="101" t="s">
        <v>150</v>
      </c>
      <c r="E34" s="101" t="s">
        <v>151</v>
      </c>
      <c r="F34" s="101" t="s">
        <v>152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98">
        <v>27.0</v>
      </c>
      <c r="C35" s="101" t="s">
        <v>159</v>
      </c>
      <c r="D35" s="101" t="s">
        <v>85</v>
      </c>
      <c r="E35" s="101" t="s">
        <v>160</v>
      </c>
      <c r="F35" s="101" t="s">
        <v>161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98">
        <v>28.0</v>
      </c>
      <c r="C36" s="101" t="s">
        <v>167</v>
      </c>
      <c r="D36" s="101" t="s">
        <v>85</v>
      </c>
      <c r="E36" s="101" t="s">
        <v>160</v>
      </c>
      <c r="F36" s="101" t="s">
        <v>161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98">
        <v>29.0</v>
      </c>
      <c r="C37" s="101" t="s">
        <v>173</v>
      </c>
      <c r="D37" s="101" t="s">
        <v>85</v>
      </c>
      <c r="E37" s="101" t="s">
        <v>160</v>
      </c>
      <c r="F37" s="101" t="s">
        <v>161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98">
        <v>30.0</v>
      </c>
      <c r="C38" s="101" t="s">
        <v>178</v>
      </c>
      <c r="D38" s="101" t="s">
        <v>89</v>
      </c>
      <c r="E38" s="101" t="s">
        <v>180</v>
      </c>
      <c r="F38" s="101" t="s">
        <v>181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98">
        <v>31.0</v>
      </c>
      <c r="C39" s="101" t="s">
        <v>182</v>
      </c>
      <c r="D39" s="101" t="s">
        <v>89</v>
      </c>
      <c r="E39" s="101" t="s">
        <v>180</v>
      </c>
      <c r="F39" s="101" t="s">
        <v>181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98">
        <v>32.0</v>
      </c>
      <c r="C40" s="101" t="s">
        <v>184</v>
      </c>
      <c r="D40" s="101" t="s">
        <v>97</v>
      </c>
      <c r="E40" s="101" t="s">
        <v>185</v>
      </c>
      <c r="F40" s="101" t="s">
        <v>186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98">
        <v>33.0</v>
      </c>
      <c r="C41" s="101" t="s">
        <v>187</v>
      </c>
      <c r="D41" s="101" t="s">
        <v>97</v>
      </c>
      <c r="E41" s="101" t="s">
        <v>185</v>
      </c>
      <c r="F41" s="101" t="s">
        <v>186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98">
        <v>34.0</v>
      </c>
      <c r="C42" s="101" t="s">
        <v>193</v>
      </c>
      <c r="D42" s="101" t="s">
        <v>97</v>
      </c>
      <c r="E42" s="101" t="s">
        <v>185</v>
      </c>
      <c r="F42" s="101" t="s">
        <v>186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98">
        <v>35.0</v>
      </c>
      <c r="C43" s="101" t="s">
        <v>197</v>
      </c>
      <c r="D43" s="101" t="s">
        <v>97</v>
      </c>
      <c r="E43" s="101" t="s">
        <v>185</v>
      </c>
      <c r="F43" s="101" t="s">
        <v>186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151"/>
      <c r="C44" s="151"/>
      <c r="D44" s="151"/>
      <c r="E44" s="151"/>
      <c r="F44" s="15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151"/>
      <c r="C45" s="151"/>
      <c r="D45" s="151"/>
      <c r="E45" s="151"/>
      <c r="F45" s="15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151"/>
      <c r="C46" s="151"/>
      <c r="D46" s="151"/>
      <c r="E46" s="151"/>
      <c r="F46" s="15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151"/>
      <c r="C47" s="151"/>
      <c r="D47" s="151"/>
      <c r="E47" s="124"/>
      <c r="F47" s="15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151"/>
      <c r="C48" s="151"/>
      <c r="D48" s="151"/>
      <c r="E48" s="151"/>
      <c r="F48" s="15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151"/>
      <c r="C49" s="151"/>
      <c r="D49" s="151"/>
      <c r="E49" s="151"/>
      <c r="F49" s="15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151"/>
      <c r="C50" s="151"/>
      <c r="D50" s="151"/>
      <c r="E50" s="151"/>
      <c r="F50" s="15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151"/>
      <c r="C51" s="151"/>
      <c r="D51" s="151"/>
      <c r="E51" s="151"/>
      <c r="F51" s="15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151"/>
      <c r="C52" s="151"/>
      <c r="D52" s="151"/>
      <c r="E52" s="151"/>
      <c r="F52" s="15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151"/>
      <c r="C53" s="151"/>
      <c r="D53" s="151"/>
      <c r="E53" s="151"/>
      <c r="F53" s="15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151"/>
      <c r="C54" s="151"/>
      <c r="D54" s="151"/>
      <c r="E54" s="151"/>
      <c r="F54" s="15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151"/>
      <c r="C55" s="151"/>
      <c r="D55" s="151"/>
      <c r="E55" s="151"/>
      <c r="F55" s="15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3"/>
      <c r="C56" s="11"/>
      <c r="D56" s="11"/>
      <c r="E56" s="11"/>
      <c r="F56" s="1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3"/>
      <c r="C57" s="11"/>
      <c r="D57" s="11"/>
      <c r="E57" s="11"/>
      <c r="F57" s="1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3"/>
      <c r="C58" s="11"/>
      <c r="D58" s="11"/>
      <c r="E58" s="11"/>
      <c r="F58" s="1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3"/>
      <c r="C59" s="11"/>
      <c r="D59" s="11"/>
      <c r="E59" s="11"/>
      <c r="F59" s="1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3"/>
      <c r="C60" s="11"/>
      <c r="D60" s="11"/>
      <c r="E60" s="11"/>
      <c r="F60" s="1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3"/>
      <c r="C61" s="11"/>
      <c r="D61" s="11"/>
      <c r="E61" s="11"/>
      <c r="F61" s="1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3"/>
      <c r="C62" s="11"/>
      <c r="D62" s="11"/>
      <c r="E62" s="11"/>
      <c r="F62" s="1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3"/>
      <c r="C63" s="11"/>
      <c r="D63" s="11"/>
      <c r="E63" s="11"/>
      <c r="F63" s="1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3"/>
      <c r="C64" s="11"/>
      <c r="D64" s="11"/>
      <c r="E64" s="11"/>
      <c r="F64" s="1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3"/>
      <c r="C65" s="11"/>
      <c r="D65" s="11"/>
      <c r="E65" s="11"/>
      <c r="F65" s="1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3"/>
      <c r="C66" s="11"/>
      <c r="D66" s="11"/>
      <c r="E66" s="11"/>
      <c r="F66" s="1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3"/>
      <c r="C67" s="11"/>
      <c r="D67" s="11"/>
      <c r="E67" s="11"/>
      <c r="F67" s="1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3"/>
      <c r="C68" s="11"/>
      <c r="D68" s="11"/>
      <c r="E68" s="11"/>
      <c r="F68" s="1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3"/>
      <c r="C69" s="11"/>
      <c r="D69" s="11"/>
      <c r="E69" s="11"/>
      <c r="F69" s="1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3"/>
      <c r="C70" s="11"/>
      <c r="D70" s="11"/>
      <c r="E70" s="11"/>
      <c r="F70" s="1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3"/>
      <c r="C71" s="11"/>
      <c r="D71" s="11"/>
      <c r="E71" s="11"/>
      <c r="F71" s="1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3"/>
      <c r="C72" s="11"/>
      <c r="D72" s="11"/>
      <c r="E72" s="11"/>
      <c r="F72" s="1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3"/>
      <c r="C73" s="11"/>
      <c r="D73" s="11"/>
      <c r="E73" s="11"/>
      <c r="F73" s="1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3"/>
      <c r="C74" s="11"/>
      <c r="D74" s="11"/>
      <c r="E74" s="11"/>
      <c r="F74" s="1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3"/>
      <c r="C75" s="11"/>
      <c r="D75" s="11"/>
      <c r="E75" s="11"/>
      <c r="F75" s="1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3"/>
      <c r="C76" s="11"/>
      <c r="D76" s="11"/>
      <c r="E76" s="11"/>
      <c r="F76" s="1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3"/>
      <c r="C77" s="11"/>
      <c r="D77" s="11"/>
      <c r="E77" s="11"/>
      <c r="F77" s="1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3"/>
      <c r="C78" s="11"/>
      <c r="D78" s="11"/>
      <c r="E78" s="11"/>
      <c r="F78" s="1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3"/>
      <c r="C79" s="11"/>
      <c r="D79" s="11"/>
      <c r="E79" s="11"/>
      <c r="F79" s="1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3"/>
      <c r="C80" s="11"/>
      <c r="D80" s="11"/>
      <c r="E80" s="11"/>
      <c r="F80" s="1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3"/>
      <c r="C81" s="11"/>
      <c r="D81" s="11"/>
      <c r="E81" s="11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3"/>
      <c r="C82" s="11"/>
      <c r="D82" s="11"/>
      <c r="E82" s="11"/>
      <c r="F82" s="1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3"/>
      <c r="C83" s="11"/>
      <c r="D83" s="11"/>
      <c r="E83" s="11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3"/>
      <c r="C84" s="11"/>
      <c r="D84" s="11"/>
      <c r="E84" s="11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3"/>
      <c r="C85" s="11"/>
      <c r="D85" s="11"/>
      <c r="E85" s="11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3"/>
      <c r="C86" s="11"/>
      <c r="D86" s="11"/>
      <c r="E86" s="11"/>
      <c r="F86" s="1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3"/>
      <c r="C87" s="11"/>
      <c r="D87" s="11"/>
      <c r="E87" s="11"/>
      <c r="F87" s="1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3"/>
      <c r="C88" s="11"/>
      <c r="D88" s="11"/>
      <c r="E88" s="11"/>
      <c r="F88" s="1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3"/>
      <c r="C89" s="11"/>
      <c r="D89" s="11"/>
      <c r="E89" s="11"/>
      <c r="F89" s="1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3"/>
      <c r="C90" s="11"/>
      <c r="D90" s="11"/>
      <c r="E90" s="11"/>
      <c r="F90" s="1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3"/>
      <c r="C91" s="11"/>
      <c r="D91" s="11"/>
      <c r="E91" s="11"/>
      <c r="F91" s="1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3"/>
      <c r="C92" s="11"/>
      <c r="D92" s="11"/>
      <c r="E92" s="11"/>
      <c r="F92" s="1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3"/>
      <c r="C93" s="11"/>
      <c r="D93" s="11"/>
      <c r="E93" s="11"/>
      <c r="F93" s="1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3"/>
      <c r="C94" s="11"/>
      <c r="D94" s="11"/>
      <c r="E94" s="11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3"/>
      <c r="C95" s="11"/>
      <c r="D95" s="11"/>
      <c r="E95" s="11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3"/>
      <c r="C96" s="11"/>
      <c r="D96" s="11"/>
      <c r="E96" s="11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3"/>
      <c r="C97" s="11"/>
      <c r="D97" s="11"/>
      <c r="E97" s="11"/>
      <c r="F97" s="1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3"/>
      <c r="C98" s="11"/>
      <c r="D98" s="11"/>
      <c r="E98" s="11"/>
      <c r="F98" s="1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3"/>
      <c r="C99" s="11"/>
      <c r="D99" s="11"/>
      <c r="E99" s="11"/>
      <c r="F99" s="1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3"/>
      <c r="C100" s="11"/>
      <c r="D100" s="11"/>
      <c r="E100" s="11"/>
      <c r="F100" s="1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3"/>
      <c r="C101" s="11"/>
      <c r="D101" s="11"/>
      <c r="E101" s="11"/>
      <c r="F101" s="1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3"/>
      <c r="C102" s="11"/>
      <c r="D102" s="11"/>
      <c r="E102" s="11"/>
      <c r="F102" s="1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3"/>
      <c r="C103" s="11"/>
      <c r="D103" s="11"/>
      <c r="E103" s="11"/>
      <c r="F103" s="1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3"/>
      <c r="C104" s="11"/>
      <c r="D104" s="11"/>
      <c r="E104" s="11"/>
      <c r="F104" s="1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3"/>
      <c r="C105" s="11"/>
      <c r="D105" s="11"/>
      <c r="E105" s="11"/>
      <c r="F105" s="1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3"/>
      <c r="C106" s="11"/>
      <c r="D106" s="11"/>
      <c r="E106" s="11"/>
      <c r="F106" s="1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3"/>
      <c r="C107" s="11"/>
      <c r="D107" s="11"/>
      <c r="E107" s="11"/>
      <c r="F107" s="1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3"/>
      <c r="C108" s="11"/>
      <c r="D108" s="11"/>
      <c r="E108" s="11"/>
      <c r="F108" s="1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3"/>
      <c r="C109" s="11"/>
      <c r="D109" s="11"/>
      <c r="E109" s="11"/>
      <c r="F109" s="1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3"/>
      <c r="C110" s="11"/>
      <c r="D110" s="11"/>
      <c r="E110" s="11"/>
      <c r="F110" s="1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3"/>
      <c r="C111" s="11"/>
      <c r="D111" s="11"/>
      <c r="E111" s="11"/>
      <c r="F111" s="1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3"/>
      <c r="C112" s="11"/>
      <c r="D112" s="11"/>
      <c r="E112" s="11"/>
      <c r="F112" s="1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3"/>
      <c r="C113" s="11"/>
      <c r="D113" s="11"/>
      <c r="E113" s="11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3"/>
      <c r="C114" s="11"/>
      <c r="D114" s="11"/>
      <c r="E114" s="11"/>
      <c r="F114" s="1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3"/>
      <c r="C115" s="11"/>
      <c r="D115" s="11"/>
      <c r="E115" s="11"/>
      <c r="F115" s="1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3"/>
      <c r="C116" s="11"/>
      <c r="D116" s="11"/>
      <c r="E116" s="11"/>
      <c r="F116" s="1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3"/>
      <c r="C117" s="11"/>
      <c r="D117" s="11"/>
      <c r="E117" s="11"/>
      <c r="F117" s="1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3"/>
      <c r="C118" s="11"/>
      <c r="D118" s="11"/>
      <c r="E118" s="11"/>
      <c r="F118" s="1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3"/>
      <c r="C119" s="11"/>
      <c r="D119" s="11"/>
      <c r="E119" s="11"/>
      <c r="F119" s="1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3"/>
      <c r="C120" s="11"/>
      <c r="D120" s="11"/>
      <c r="E120" s="11"/>
      <c r="F120" s="1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3"/>
      <c r="C121" s="11"/>
      <c r="D121" s="11"/>
      <c r="E121" s="11"/>
      <c r="F121" s="1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3"/>
      <c r="C122" s="11"/>
      <c r="D122" s="11"/>
      <c r="E122" s="11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3"/>
      <c r="C123" s="11"/>
      <c r="D123" s="11"/>
      <c r="E123" s="11"/>
      <c r="F123" s="1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3"/>
      <c r="C124" s="11"/>
      <c r="D124" s="11"/>
      <c r="E124" s="11"/>
      <c r="F124" s="1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3"/>
      <c r="C125" s="11"/>
      <c r="D125" s="11"/>
      <c r="E125" s="11"/>
      <c r="F125" s="1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3"/>
      <c r="C126" s="11"/>
      <c r="D126" s="11"/>
      <c r="E126" s="11"/>
      <c r="F126" s="1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3"/>
      <c r="C127" s="11"/>
      <c r="D127" s="11"/>
      <c r="E127" s="11"/>
      <c r="F127" s="1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3"/>
      <c r="C128" s="11"/>
      <c r="D128" s="11"/>
      <c r="E128" s="11"/>
      <c r="F128" s="1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3"/>
      <c r="C129" s="11"/>
      <c r="D129" s="11"/>
      <c r="E129" s="11"/>
      <c r="F129" s="1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3"/>
      <c r="C130" s="11"/>
      <c r="D130" s="11"/>
      <c r="E130" s="11"/>
      <c r="F130" s="1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3"/>
      <c r="C131" s="11"/>
      <c r="D131" s="11"/>
      <c r="E131" s="11"/>
      <c r="F131" s="1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3"/>
      <c r="C132" s="11"/>
      <c r="D132" s="11"/>
      <c r="E132" s="11"/>
      <c r="F132" s="1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3"/>
      <c r="C133" s="11"/>
      <c r="D133" s="11"/>
      <c r="E133" s="11"/>
      <c r="F133" s="1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3"/>
      <c r="C134" s="11"/>
      <c r="D134" s="11"/>
      <c r="E134" s="11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3"/>
      <c r="C135" s="11"/>
      <c r="D135" s="11"/>
      <c r="E135" s="11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3"/>
      <c r="C136" s="11"/>
      <c r="D136" s="11"/>
      <c r="E136" s="11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3"/>
      <c r="C137" s="11"/>
      <c r="D137" s="11"/>
      <c r="E137" s="11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3"/>
      <c r="C138" s="11"/>
      <c r="D138" s="11"/>
      <c r="E138" s="11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3"/>
      <c r="C139" s="11"/>
      <c r="D139" s="11"/>
      <c r="E139" s="11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3"/>
      <c r="C140" s="11"/>
      <c r="D140" s="11"/>
      <c r="E140" s="11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3"/>
      <c r="C141" s="11"/>
      <c r="D141" s="11"/>
      <c r="E141" s="11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3"/>
      <c r="C142" s="11"/>
      <c r="D142" s="11"/>
      <c r="E142" s="11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3"/>
      <c r="C143" s="11"/>
      <c r="D143" s="11"/>
      <c r="E143" s="11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3"/>
      <c r="C144" s="11"/>
      <c r="D144" s="11"/>
      <c r="E144" s="11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3"/>
      <c r="C145" s="11"/>
      <c r="D145" s="11"/>
      <c r="E145" s="11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3"/>
      <c r="C146" s="11"/>
      <c r="D146" s="11"/>
      <c r="E146" s="11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3"/>
      <c r="C147" s="11"/>
      <c r="D147" s="11"/>
      <c r="E147" s="11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3"/>
      <c r="C148" s="11"/>
      <c r="D148" s="11"/>
      <c r="E148" s="11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3"/>
      <c r="C149" s="11"/>
      <c r="D149" s="11"/>
      <c r="E149" s="11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3"/>
      <c r="C150" s="11"/>
      <c r="D150" s="11"/>
      <c r="E150" s="11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3"/>
      <c r="C151" s="11"/>
      <c r="D151" s="11"/>
      <c r="E151" s="11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3"/>
      <c r="C152" s="11"/>
      <c r="D152" s="11"/>
      <c r="E152" s="11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3"/>
      <c r="C153" s="11"/>
      <c r="D153" s="11"/>
      <c r="E153" s="11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3"/>
      <c r="C154" s="11"/>
      <c r="D154" s="11"/>
      <c r="E154" s="11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3"/>
      <c r="C155" s="11"/>
      <c r="D155" s="11"/>
      <c r="E155" s="11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3"/>
      <c r="C156" s="11"/>
      <c r="D156" s="11"/>
      <c r="E156" s="11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3"/>
      <c r="C157" s="11"/>
      <c r="D157" s="11"/>
      <c r="E157" s="11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3"/>
      <c r="C158" s="11"/>
      <c r="D158" s="11"/>
      <c r="E158" s="11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3"/>
      <c r="C159" s="11"/>
      <c r="D159" s="11"/>
      <c r="E159" s="11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3"/>
      <c r="C160" s="11"/>
      <c r="D160" s="11"/>
      <c r="E160" s="11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3"/>
      <c r="C161" s="11"/>
      <c r="D161" s="11"/>
      <c r="E161" s="11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3"/>
      <c r="C162" s="11"/>
      <c r="D162" s="11"/>
      <c r="E162" s="11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3"/>
      <c r="C163" s="11"/>
      <c r="D163" s="11"/>
      <c r="E163" s="11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3"/>
      <c r="C164" s="11"/>
      <c r="D164" s="11"/>
      <c r="E164" s="11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3"/>
      <c r="C165" s="11"/>
      <c r="D165" s="11"/>
      <c r="E165" s="11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3"/>
      <c r="C166" s="11"/>
      <c r="D166" s="11"/>
      <c r="E166" s="11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3"/>
      <c r="C167" s="11"/>
      <c r="D167" s="11"/>
      <c r="E167" s="11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3"/>
      <c r="C168" s="11"/>
      <c r="D168" s="11"/>
      <c r="E168" s="11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3"/>
      <c r="C169" s="11"/>
      <c r="D169" s="11"/>
      <c r="E169" s="11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3"/>
      <c r="C170" s="11"/>
      <c r="D170" s="11"/>
      <c r="E170" s="11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3"/>
      <c r="C171" s="11"/>
      <c r="D171" s="11"/>
      <c r="E171" s="11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3"/>
      <c r="C172" s="11"/>
      <c r="D172" s="11"/>
      <c r="E172" s="11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3"/>
      <c r="C173" s="11"/>
      <c r="D173" s="11"/>
      <c r="E173" s="11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3"/>
      <c r="C174" s="11"/>
      <c r="D174" s="11"/>
      <c r="E174" s="11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3"/>
      <c r="C175" s="11"/>
      <c r="D175" s="11"/>
      <c r="E175" s="11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3"/>
      <c r="C176" s="11"/>
      <c r="D176" s="11"/>
      <c r="E176" s="11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3"/>
      <c r="C177" s="11"/>
      <c r="D177" s="11"/>
      <c r="E177" s="11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3"/>
      <c r="C178" s="11"/>
      <c r="D178" s="11"/>
      <c r="E178" s="11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3"/>
      <c r="C179" s="11"/>
      <c r="D179" s="11"/>
      <c r="E179" s="11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3"/>
      <c r="C180" s="11"/>
      <c r="D180" s="11"/>
      <c r="E180" s="11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3"/>
      <c r="C181" s="11"/>
      <c r="D181" s="11"/>
      <c r="E181" s="11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3"/>
      <c r="C182" s="11"/>
      <c r="D182" s="11"/>
      <c r="E182" s="11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3"/>
      <c r="C183" s="11"/>
      <c r="D183" s="11"/>
      <c r="E183" s="11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3"/>
      <c r="C184" s="11"/>
      <c r="D184" s="11"/>
      <c r="E184" s="11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3"/>
      <c r="C185" s="11"/>
      <c r="D185" s="11"/>
      <c r="E185" s="11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3"/>
      <c r="C186" s="11"/>
      <c r="D186" s="11"/>
      <c r="E186" s="11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3"/>
      <c r="C187" s="11"/>
      <c r="D187" s="11"/>
      <c r="E187" s="11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3"/>
      <c r="C188" s="11"/>
      <c r="D188" s="11"/>
      <c r="E188" s="11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3"/>
      <c r="C189" s="11"/>
      <c r="D189" s="11"/>
      <c r="E189" s="11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3"/>
      <c r="C190" s="11"/>
      <c r="D190" s="11"/>
      <c r="E190" s="11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3"/>
      <c r="C191" s="11"/>
      <c r="D191" s="11"/>
      <c r="E191" s="11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3"/>
      <c r="C192" s="11"/>
      <c r="D192" s="11"/>
      <c r="E192" s="11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3"/>
      <c r="C193" s="11"/>
      <c r="D193" s="11"/>
      <c r="E193" s="11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3"/>
      <c r="C194" s="11"/>
      <c r="D194" s="11"/>
      <c r="E194" s="11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3"/>
      <c r="C195" s="11"/>
      <c r="D195" s="11"/>
      <c r="E195" s="11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3"/>
      <c r="C196" s="11"/>
      <c r="D196" s="11"/>
      <c r="E196" s="11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3"/>
      <c r="C197" s="11"/>
      <c r="D197" s="11"/>
      <c r="E197" s="11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3"/>
      <c r="C198" s="11"/>
      <c r="D198" s="11"/>
      <c r="E198" s="11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3"/>
      <c r="C199" s="11"/>
      <c r="D199" s="11"/>
      <c r="E199" s="11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3"/>
      <c r="C200" s="11"/>
      <c r="D200" s="11"/>
      <c r="E200" s="11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3"/>
      <c r="C201" s="11"/>
      <c r="D201" s="11"/>
      <c r="E201" s="11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3"/>
      <c r="C202" s="11"/>
      <c r="D202" s="11"/>
      <c r="E202" s="11"/>
      <c r="F202" s="1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3"/>
      <c r="C203" s="11"/>
      <c r="D203" s="11"/>
      <c r="E203" s="11"/>
      <c r="F203" s="1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3"/>
      <c r="C204" s="11"/>
      <c r="D204" s="11"/>
      <c r="E204" s="11"/>
      <c r="F204" s="1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3"/>
      <c r="C205" s="11"/>
      <c r="D205" s="11"/>
      <c r="E205" s="11"/>
      <c r="F205" s="1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3"/>
      <c r="C206" s="11"/>
      <c r="D206" s="11"/>
      <c r="E206" s="11"/>
      <c r="F206" s="1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3"/>
      <c r="C207" s="11"/>
      <c r="D207" s="11"/>
      <c r="E207" s="11"/>
      <c r="F207" s="1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3"/>
      <c r="C208" s="11"/>
      <c r="D208" s="11"/>
      <c r="E208" s="11"/>
      <c r="F208" s="1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3"/>
      <c r="C209" s="11"/>
      <c r="D209" s="11"/>
      <c r="E209" s="11"/>
      <c r="F209" s="1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3"/>
      <c r="C210" s="11"/>
      <c r="D210" s="11"/>
      <c r="E210" s="11"/>
      <c r="F210" s="1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3"/>
      <c r="C211" s="11"/>
      <c r="D211" s="11"/>
      <c r="E211" s="11"/>
      <c r="F211" s="1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3"/>
      <c r="C212" s="11"/>
      <c r="D212" s="11"/>
      <c r="E212" s="11"/>
      <c r="F212" s="1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3"/>
      <c r="C213" s="11"/>
      <c r="D213" s="11"/>
      <c r="E213" s="11"/>
      <c r="F213" s="1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3"/>
      <c r="C214" s="11"/>
      <c r="D214" s="11"/>
      <c r="E214" s="11"/>
      <c r="F214" s="1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3"/>
      <c r="C215" s="11"/>
      <c r="D215" s="11"/>
      <c r="E215" s="11"/>
      <c r="F215" s="1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3"/>
      <c r="C216" s="11"/>
      <c r="D216" s="11"/>
      <c r="E216" s="11"/>
      <c r="F216" s="1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3"/>
      <c r="C217" s="11"/>
      <c r="D217" s="11"/>
      <c r="E217" s="11"/>
      <c r="F217" s="1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3"/>
      <c r="C218" s="11"/>
      <c r="D218" s="11"/>
      <c r="E218" s="11"/>
      <c r="F218" s="1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3"/>
      <c r="C219" s="11"/>
      <c r="D219" s="11"/>
      <c r="E219" s="11"/>
      <c r="F219" s="1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3"/>
      <c r="C220" s="11"/>
      <c r="D220" s="11"/>
      <c r="E220" s="11"/>
      <c r="F220" s="1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3"/>
      <c r="C221" s="11"/>
      <c r="D221" s="11"/>
      <c r="E221" s="11"/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3"/>
      <c r="C222" s="11"/>
      <c r="D222" s="11"/>
      <c r="E222" s="11"/>
      <c r="F222" s="1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3"/>
      <c r="C223" s="11"/>
      <c r="D223" s="11"/>
      <c r="E223" s="11"/>
      <c r="F223" s="1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3"/>
      <c r="C224" s="11"/>
      <c r="D224" s="11"/>
      <c r="E224" s="11"/>
      <c r="F224" s="1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3"/>
      <c r="C225" s="11"/>
      <c r="D225" s="11"/>
      <c r="E225" s="11"/>
      <c r="F225" s="1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3"/>
      <c r="C226" s="11"/>
      <c r="D226" s="11"/>
      <c r="E226" s="11"/>
      <c r="F226" s="1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3"/>
      <c r="C227" s="11"/>
      <c r="D227" s="11"/>
      <c r="E227" s="11"/>
      <c r="F227" s="1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3"/>
      <c r="C228" s="11"/>
      <c r="D228" s="11"/>
      <c r="E228" s="11"/>
      <c r="F228" s="1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3"/>
      <c r="C229" s="11"/>
      <c r="D229" s="11"/>
      <c r="E229" s="11"/>
      <c r="F229" s="1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3"/>
      <c r="C230" s="11"/>
      <c r="D230" s="11"/>
      <c r="E230" s="11"/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3"/>
      <c r="C231" s="11"/>
      <c r="D231" s="11"/>
      <c r="E231" s="11"/>
      <c r="F231" s="1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3"/>
      <c r="C232" s="11"/>
      <c r="D232" s="11"/>
      <c r="E232" s="11"/>
      <c r="F232" s="1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3"/>
      <c r="C233" s="11"/>
      <c r="D233" s="11"/>
      <c r="E233" s="11"/>
      <c r="F233" s="1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3"/>
      <c r="C234" s="11"/>
      <c r="D234" s="11"/>
      <c r="E234" s="11"/>
      <c r="F234" s="1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3"/>
      <c r="C235" s="11"/>
      <c r="D235" s="11"/>
      <c r="E235" s="11"/>
      <c r="F235" s="1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3"/>
      <c r="C236" s="11"/>
      <c r="D236" s="11"/>
      <c r="E236" s="11"/>
      <c r="F236" s="1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3"/>
      <c r="C237" s="11"/>
      <c r="D237" s="11"/>
      <c r="E237" s="11"/>
      <c r="F237" s="1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3"/>
      <c r="C238" s="11"/>
      <c r="D238" s="11"/>
      <c r="E238" s="11"/>
      <c r="F238" s="1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3"/>
      <c r="C239" s="11"/>
      <c r="D239" s="11"/>
      <c r="E239" s="11"/>
      <c r="F239" s="1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3"/>
      <c r="C240" s="11"/>
      <c r="D240" s="11"/>
      <c r="E240" s="11"/>
      <c r="F240" s="1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3"/>
      <c r="C241" s="11"/>
      <c r="D241" s="11"/>
      <c r="E241" s="11"/>
      <c r="F241" s="1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3"/>
      <c r="C242" s="11"/>
      <c r="D242" s="11"/>
      <c r="E242" s="11"/>
      <c r="F242" s="1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3"/>
      <c r="C243" s="11"/>
      <c r="D243" s="11"/>
      <c r="E243" s="11"/>
      <c r="F243" s="1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3"/>
      <c r="C244" s="11"/>
      <c r="D244" s="11"/>
      <c r="E244" s="11"/>
      <c r="F244" s="1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3"/>
      <c r="C245" s="11"/>
      <c r="D245" s="11"/>
      <c r="E245" s="11"/>
      <c r="F245" s="1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3"/>
      <c r="C246" s="11"/>
      <c r="D246" s="11"/>
      <c r="E246" s="11"/>
      <c r="F246" s="1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3"/>
      <c r="C247" s="11"/>
      <c r="D247" s="11"/>
      <c r="E247" s="11"/>
      <c r="F247" s="1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3"/>
      <c r="C248" s="11"/>
      <c r="D248" s="11"/>
      <c r="E248" s="11"/>
      <c r="F248" s="1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3"/>
      <c r="C249" s="11"/>
      <c r="D249" s="11"/>
      <c r="E249" s="11"/>
      <c r="F249" s="1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3"/>
      <c r="C250" s="11"/>
      <c r="D250" s="11"/>
      <c r="E250" s="11"/>
      <c r="F250" s="1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3"/>
      <c r="C251" s="11"/>
      <c r="D251" s="11"/>
      <c r="E251" s="11"/>
      <c r="F251" s="1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3"/>
      <c r="C252" s="11"/>
      <c r="D252" s="11"/>
      <c r="E252" s="11"/>
      <c r="F252" s="1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3"/>
      <c r="C253" s="11"/>
      <c r="D253" s="11"/>
      <c r="E253" s="11"/>
      <c r="F253" s="1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3"/>
      <c r="C254" s="11"/>
      <c r="D254" s="11"/>
      <c r="E254" s="11"/>
      <c r="F254" s="1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3"/>
      <c r="C255" s="11"/>
      <c r="D255" s="11"/>
      <c r="E255" s="11"/>
      <c r="F255" s="1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3"/>
      <c r="C256" s="11"/>
      <c r="D256" s="11"/>
      <c r="E256" s="11"/>
      <c r="F256" s="1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3"/>
      <c r="C257" s="11"/>
      <c r="D257" s="11"/>
      <c r="E257" s="11"/>
      <c r="F257" s="1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3"/>
      <c r="C258" s="11"/>
      <c r="D258" s="11"/>
      <c r="E258" s="11"/>
      <c r="F258" s="1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3"/>
      <c r="C259" s="11"/>
      <c r="D259" s="11"/>
      <c r="E259" s="11"/>
      <c r="F259" s="1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3"/>
      <c r="C260" s="11"/>
      <c r="D260" s="11"/>
      <c r="E260" s="11"/>
      <c r="F260" s="1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3"/>
      <c r="C261" s="11"/>
      <c r="D261" s="11"/>
      <c r="E261" s="11"/>
      <c r="F261" s="1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3"/>
      <c r="C262" s="11"/>
      <c r="D262" s="11"/>
      <c r="E262" s="11"/>
      <c r="F262" s="1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3"/>
      <c r="C263" s="11"/>
      <c r="D263" s="11"/>
      <c r="E263" s="11"/>
      <c r="F263" s="1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3"/>
      <c r="C264" s="11"/>
      <c r="D264" s="11"/>
      <c r="E264" s="11"/>
      <c r="F264" s="1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3"/>
      <c r="C265" s="11"/>
      <c r="D265" s="11"/>
      <c r="E265" s="11"/>
      <c r="F265" s="1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3"/>
      <c r="C266" s="11"/>
      <c r="D266" s="11"/>
      <c r="E266" s="11"/>
      <c r="F266" s="1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3"/>
      <c r="C267" s="11"/>
      <c r="D267" s="11"/>
      <c r="E267" s="11"/>
      <c r="F267" s="1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3"/>
      <c r="C268" s="11"/>
      <c r="D268" s="11"/>
      <c r="E268" s="11"/>
      <c r="F268" s="1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3"/>
      <c r="C269" s="11"/>
      <c r="D269" s="11"/>
      <c r="E269" s="11"/>
      <c r="F269" s="1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3"/>
      <c r="C270" s="11"/>
      <c r="D270" s="11"/>
      <c r="E270" s="11"/>
      <c r="F270" s="1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3"/>
      <c r="C271" s="11"/>
      <c r="D271" s="11"/>
      <c r="E271" s="11"/>
      <c r="F271" s="1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3"/>
      <c r="C272" s="11"/>
      <c r="D272" s="11"/>
      <c r="E272" s="11"/>
      <c r="F272" s="1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3"/>
      <c r="C273" s="11"/>
      <c r="D273" s="11"/>
      <c r="E273" s="11"/>
      <c r="F273" s="1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3"/>
      <c r="C274" s="11"/>
      <c r="D274" s="11"/>
      <c r="E274" s="11"/>
      <c r="F274" s="1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3"/>
      <c r="C275" s="11"/>
      <c r="D275" s="11"/>
      <c r="E275" s="11"/>
      <c r="F275" s="1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3"/>
      <c r="C276" s="11"/>
      <c r="D276" s="11"/>
      <c r="E276" s="11"/>
      <c r="F276" s="1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3"/>
      <c r="C277" s="11"/>
      <c r="D277" s="11"/>
      <c r="E277" s="11"/>
      <c r="F277" s="1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3"/>
      <c r="C278" s="11"/>
      <c r="D278" s="11"/>
      <c r="E278" s="11"/>
      <c r="F278" s="1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3"/>
      <c r="C279" s="11"/>
      <c r="D279" s="11"/>
      <c r="E279" s="11"/>
      <c r="F279" s="1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3"/>
      <c r="C280" s="11"/>
      <c r="D280" s="11"/>
      <c r="E280" s="11"/>
      <c r="F280" s="1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3"/>
      <c r="C281" s="11"/>
      <c r="D281" s="11"/>
      <c r="E281" s="11"/>
      <c r="F281" s="1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3"/>
      <c r="C282" s="11"/>
      <c r="D282" s="11"/>
      <c r="E282" s="11"/>
      <c r="F282" s="1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3"/>
      <c r="C283" s="11"/>
      <c r="D283" s="11"/>
      <c r="E283" s="11"/>
      <c r="F283" s="1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3"/>
      <c r="C284" s="11"/>
      <c r="D284" s="11"/>
      <c r="E284" s="11"/>
      <c r="F284" s="1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3"/>
      <c r="C285" s="11"/>
      <c r="D285" s="11"/>
      <c r="E285" s="11"/>
      <c r="F285" s="1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3"/>
      <c r="C286" s="11"/>
      <c r="D286" s="11"/>
      <c r="E286" s="11"/>
      <c r="F286" s="1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3"/>
      <c r="C287" s="11"/>
      <c r="D287" s="11"/>
      <c r="E287" s="11"/>
      <c r="F287" s="1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3"/>
      <c r="C288" s="11"/>
      <c r="D288" s="11"/>
      <c r="E288" s="11"/>
      <c r="F288" s="1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3"/>
      <c r="C289" s="11"/>
      <c r="D289" s="11"/>
      <c r="E289" s="11"/>
      <c r="F289" s="1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3"/>
      <c r="C290" s="11"/>
      <c r="D290" s="11"/>
      <c r="E290" s="11"/>
      <c r="F290" s="1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3"/>
      <c r="C291" s="11"/>
      <c r="D291" s="11"/>
      <c r="E291" s="11"/>
      <c r="F291" s="1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3"/>
      <c r="C292" s="11"/>
      <c r="D292" s="11"/>
      <c r="E292" s="11"/>
      <c r="F292" s="1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3"/>
      <c r="C293" s="11"/>
      <c r="D293" s="11"/>
      <c r="E293" s="11"/>
      <c r="F293" s="1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3"/>
      <c r="C294" s="11"/>
      <c r="D294" s="11"/>
      <c r="E294" s="11"/>
      <c r="F294" s="1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3"/>
      <c r="C295" s="11"/>
      <c r="D295" s="11"/>
      <c r="E295" s="11"/>
      <c r="F295" s="1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3"/>
      <c r="C296" s="11"/>
      <c r="D296" s="11"/>
      <c r="E296" s="11"/>
      <c r="F296" s="1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3"/>
      <c r="C297" s="11"/>
      <c r="D297" s="11"/>
      <c r="E297" s="11"/>
      <c r="F297" s="1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3"/>
      <c r="C298" s="11"/>
      <c r="D298" s="11"/>
      <c r="E298" s="11"/>
      <c r="F298" s="1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3"/>
      <c r="C299" s="11"/>
      <c r="D299" s="11"/>
      <c r="E299" s="11"/>
      <c r="F299" s="1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3"/>
      <c r="C300" s="11"/>
      <c r="D300" s="11"/>
      <c r="E300" s="11"/>
      <c r="F300" s="1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3"/>
      <c r="C301" s="11"/>
      <c r="D301" s="11"/>
      <c r="E301" s="11"/>
      <c r="F301" s="1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3"/>
      <c r="C302" s="11"/>
      <c r="D302" s="11"/>
      <c r="E302" s="11"/>
      <c r="F302" s="1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3"/>
      <c r="C303" s="11"/>
      <c r="D303" s="11"/>
      <c r="E303" s="11"/>
      <c r="F303" s="1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3"/>
      <c r="C304" s="11"/>
      <c r="D304" s="11"/>
      <c r="E304" s="11"/>
      <c r="F304" s="1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3"/>
      <c r="C305" s="11"/>
      <c r="D305" s="11"/>
      <c r="E305" s="11"/>
      <c r="F305" s="1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3"/>
      <c r="C306" s="11"/>
      <c r="D306" s="11"/>
      <c r="E306" s="11"/>
      <c r="F306" s="1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3"/>
      <c r="C307" s="11"/>
      <c r="D307" s="11"/>
      <c r="E307" s="11"/>
      <c r="F307" s="1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3"/>
      <c r="C308" s="11"/>
      <c r="D308" s="11"/>
      <c r="E308" s="11"/>
      <c r="F308" s="1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3"/>
      <c r="C309" s="11"/>
      <c r="D309" s="11"/>
      <c r="E309" s="11"/>
      <c r="F309" s="1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3"/>
      <c r="C310" s="11"/>
      <c r="D310" s="11"/>
      <c r="E310" s="11"/>
      <c r="F310" s="1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3"/>
      <c r="C311" s="11"/>
      <c r="D311" s="11"/>
      <c r="E311" s="11"/>
      <c r="F311" s="1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3"/>
      <c r="C312" s="11"/>
      <c r="D312" s="11"/>
      <c r="E312" s="11"/>
      <c r="F312" s="1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3"/>
      <c r="C313" s="11"/>
      <c r="D313" s="11"/>
      <c r="E313" s="11"/>
      <c r="F313" s="1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3"/>
      <c r="C314" s="11"/>
      <c r="D314" s="11"/>
      <c r="E314" s="11"/>
      <c r="F314" s="1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3"/>
      <c r="C315" s="11"/>
      <c r="D315" s="11"/>
      <c r="E315" s="11"/>
      <c r="F315" s="1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3"/>
      <c r="C316" s="11"/>
      <c r="D316" s="11"/>
      <c r="E316" s="11"/>
      <c r="F316" s="1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3"/>
      <c r="C317" s="11"/>
      <c r="D317" s="11"/>
      <c r="E317" s="11"/>
      <c r="F317" s="1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3"/>
      <c r="C318" s="11"/>
      <c r="D318" s="11"/>
      <c r="E318" s="11"/>
      <c r="F318" s="1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3"/>
      <c r="C319" s="11"/>
      <c r="D319" s="11"/>
      <c r="E319" s="11"/>
      <c r="F319" s="1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3"/>
      <c r="C320" s="11"/>
      <c r="D320" s="11"/>
      <c r="E320" s="11"/>
      <c r="F320" s="1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3"/>
      <c r="C321" s="11"/>
      <c r="D321" s="11"/>
      <c r="E321" s="11"/>
      <c r="F321" s="1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3"/>
      <c r="C322" s="11"/>
      <c r="D322" s="11"/>
      <c r="E322" s="11"/>
      <c r="F322" s="1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3"/>
      <c r="C323" s="11"/>
      <c r="D323" s="11"/>
      <c r="E323" s="11"/>
      <c r="F323" s="1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3"/>
      <c r="C324" s="11"/>
      <c r="D324" s="11"/>
      <c r="E324" s="11"/>
      <c r="F324" s="1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3"/>
      <c r="C325" s="11"/>
      <c r="D325" s="11"/>
      <c r="E325" s="11"/>
      <c r="F325" s="1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3"/>
      <c r="C326" s="11"/>
      <c r="D326" s="11"/>
      <c r="E326" s="11"/>
      <c r="F326" s="1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3"/>
      <c r="C327" s="11"/>
      <c r="D327" s="11"/>
      <c r="E327" s="11"/>
      <c r="F327" s="1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3"/>
      <c r="C328" s="11"/>
      <c r="D328" s="11"/>
      <c r="E328" s="11"/>
      <c r="F328" s="1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3"/>
      <c r="C329" s="11"/>
      <c r="D329" s="11"/>
      <c r="E329" s="11"/>
      <c r="F329" s="1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3"/>
      <c r="C330" s="11"/>
      <c r="D330" s="11"/>
      <c r="E330" s="11"/>
      <c r="F330" s="1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3"/>
      <c r="C331" s="11"/>
      <c r="D331" s="11"/>
      <c r="E331" s="11"/>
      <c r="F331" s="1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3"/>
      <c r="C332" s="11"/>
      <c r="D332" s="11"/>
      <c r="E332" s="11"/>
      <c r="F332" s="1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3"/>
      <c r="C333" s="11"/>
      <c r="D333" s="11"/>
      <c r="E333" s="11"/>
      <c r="F333" s="1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3"/>
      <c r="C334" s="11"/>
      <c r="D334" s="11"/>
      <c r="E334" s="11"/>
      <c r="F334" s="1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3"/>
      <c r="C335" s="11"/>
      <c r="D335" s="11"/>
      <c r="E335" s="11"/>
      <c r="F335" s="1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3"/>
      <c r="C336" s="11"/>
      <c r="D336" s="11"/>
      <c r="E336" s="11"/>
      <c r="F336" s="1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3"/>
      <c r="C337" s="11"/>
      <c r="D337" s="11"/>
      <c r="E337" s="11"/>
      <c r="F337" s="1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3"/>
      <c r="C338" s="11"/>
      <c r="D338" s="11"/>
      <c r="E338" s="11"/>
      <c r="F338" s="1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3"/>
      <c r="C339" s="11"/>
      <c r="D339" s="11"/>
      <c r="E339" s="11"/>
      <c r="F339" s="1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3"/>
      <c r="C340" s="11"/>
      <c r="D340" s="11"/>
      <c r="E340" s="11"/>
      <c r="F340" s="1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3"/>
      <c r="C341" s="11"/>
      <c r="D341" s="11"/>
      <c r="E341" s="11"/>
      <c r="F341" s="1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3"/>
      <c r="C342" s="11"/>
      <c r="D342" s="11"/>
      <c r="E342" s="11"/>
      <c r="F342" s="1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3"/>
      <c r="C343" s="11"/>
      <c r="D343" s="11"/>
      <c r="E343" s="11"/>
      <c r="F343" s="1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3"/>
      <c r="C344" s="11"/>
      <c r="D344" s="11"/>
      <c r="E344" s="11"/>
      <c r="F344" s="1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3"/>
      <c r="C345" s="11"/>
      <c r="D345" s="11"/>
      <c r="E345" s="11"/>
      <c r="F345" s="1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3"/>
      <c r="C346" s="11"/>
      <c r="D346" s="11"/>
      <c r="E346" s="11"/>
      <c r="F346" s="1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3"/>
      <c r="C347" s="11"/>
      <c r="D347" s="11"/>
      <c r="E347" s="11"/>
      <c r="F347" s="1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3"/>
      <c r="C348" s="11"/>
      <c r="D348" s="11"/>
      <c r="E348" s="11"/>
      <c r="F348" s="1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3"/>
      <c r="C349" s="11"/>
      <c r="D349" s="11"/>
      <c r="E349" s="11"/>
      <c r="F349" s="1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3"/>
      <c r="C350" s="11"/>
      <c r="D350" s="11"/>
      <c r="E350" s="11"/>
      <c r="F350" s="1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3"/>
      <c r="C351" s="11"/>
      <c r="D351" s="11"/>
      <c r="E351" s="11"/>
      <c r="F351" s="1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3"/>
      <c r="C352" s="11"/>
      <c r="D352" s="11"/>
      <c r="E352" s="11"/>
      <c r="F352" s="1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3"/>
      <c r="C353" s="11"/>
      <c r="D353" s="11"/>
      <c r="E353" s="11"/>
      <c r="F353" s="1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3"/>
      <c r="C354" s="11"/>
      <c r="D354" s="11"/>
      <c r="E354" s="11"/>
      <c r="F354" s="1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3"/>
      <c r="C355" s="11"/>
      <c r="D355" s="11"/>
      <c r="E355" s="11"/>
      <c r="F355" s="1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3"/>
      <c r="C356" s="11"/>
      <c r="D356" s="11"/>
      <c r="E356" s="11"/>
      <c r="F356" s="1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3"/>
      <c r="C357" s="11"/>
      <c r="D357" s="11"/>
      <c r="E357" s="11"/>
      <c r="F357" s="1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3"/>
      <c r="C358" s="11"/>
      <c r="D358" s="11"/>
      <c r="E358" s="11"/>
      <c r="F358" s="1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3"/>
      <c r="C359" s="11"/>
      <c r="D359" s="11"/>
      <c r="E359" s="11"/>
      <c r="F359" s="1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3"/>
      <c r="C360" s="11"/>
      <c r="D360" s="11"/>
      <c r="E360" s="11"/>
      <c r="F360" s="1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3"/>
      <c r="C361" s="11"/>
      <c r="D361" s="11"/>
      <c r="E361" s="11"/>
      <c r="F361" s="1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3"/>
      <c r="C362" s="11"/>
      <c r="D362" s="11"/>
      <c r="E362" s="11"/>
      <c r="F362" s="1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3"/>
      <c r="C363" s="11"/>
      <c r="D363" s="11"/>
      <c r="E363" s="11"/>
      <c r="F363" s="1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3"/>
      <c r="C364" s="11"/>
      <c r="D364" s="11"/>
      <c r="E364" s="11"/>
      <c r="F364" s="1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3"/>
      <c r="C365" s="11"/>
      <c r="D365" s="11"/>
      <c r="E365" s="11"/>
      <c r="F365" s="1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3"/>
      <c r="C366" s="11"/>
      <c r="D366" s="11"/>
      <c r="E366" s="11"/>
      <c r="F366" s="1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3"/>
      <c r="C367" s="11"/>
      <c r="D367" s="11"/>
      <c r="E367" s="11"/>
      <c r="F367" s="1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3"/>
      <c r="C368" s="11"/>
      <c r="D368" s="11"/>
      <c r="E368" s="11"/>
      <c r="F368" s="1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3"/>
      <c r="C369" s="11"/>
      <c r="D369" s="11"/>
      <c r="E369" s="11"/>
      <c r="F369" s="1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3"/>
      <c r="C370" s="11"/>
      <c r="D370" s="11"/>
      <c r="E370" s="11"/>
      <c r="F370" s="1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3"/>
      <c r="C371" s="11"/>
      <c r="D371" s="11"/>
      <c r="E371" s="11"/>
      <c r="F371" s="1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3"/>
      <c r="C372" s="11"/>
      <c r="D372" s="11"/>
      <c r="E372" s="11"/>
      <c r="F372" s="1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3"/>
      <c r="C373" s="11"/>
      <c r="D373" s="11"/>
      <c r="E373" s="11"/>
      <c r="F373" s="1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3"/>
      <c r="C374" s="11"/>
      <c r="D374" s="11"/>
      <c r="E374" s="11"/>
      <c r="F374" s="1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3"/>
      <c r="C375" s="11"/>
      <c r="D375" s="11"/>
      <c r="E375" s="11"/>
      <c r="F375" s="1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3"/>
      <c r="C376" s="11"/>
      <c r="D376" s="11"/>
      <c r="E376" s="11"/>
      <c r="F376" s="1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3"/>
      <c r="C377" s="11"/>
      <c r="D377" s="11"/>
      <c r="E377" s="11"/>
      <c r="F377" s="1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3"/>
      <c r="C378" s="11"/>
      <c r="D378" s="11"/>
      <c r="E378" s="11"/>
      <c r="F378" s="1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3"/>
      <c r="C379" s="11"/>
      <c r="D379" s="11"/>
      <c r="E379" s="11"/>
      <c r="F379" s="1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3"/>
      <c r="C380" s="11"/>
      <c r="D380" s="11"/>
      <c r="E380" s="11"/>
      <c r="F380" s="1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3"/>
      <c r="C381" s="11"/>
      <c r="D381" s="11"/>
      <c r="E381" s="11"/>
      <c r="F381" s="1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3"/>
      <c r="C382" s="11"/>
      <c r="D382" s="11"/>
      <c r="E382" s="11"/>
      <c r="F382" s="1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3"/>
      <c r="C383" s="11"/>
      <c r="D383" s="11"/>
      <c r="E383" s="11"/>
      <c r="F383" s="1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3"/>
      <c r="C384" s="11"/>
      <c r="D384" s="11"/>
      <c r="E384" s="11"/>
      <c r="F384" s="1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3"/>
      <c r="C385" s="11"/>
      <c r="D385" s="11"/>
      <c r="E385" s="11"/>
      <c r="F385" s="1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3"/>
      <c r="C386" s="11"/>
      <c r="D386" s="11"/>
      <c r="E386" s="11"/>
      <c r="F386" s="1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3"/>
      <c r="C387" s="11"/>
      <c r="D387" s="11"/>
      <c r="E387" s="11"/>
      <c r="F387" s="1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3"/>
      <c r="C388" s="11"/>
      <c r="D388" s="11"/>
      <c r="E388" s="11"/>
      <c r="F388" s="1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3"/>
      <c r="C389" s="11"/>
      <c r="D389" s="11"/>
      <c r="E389" s="11"/>
      <c r="F389" s="1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3"/>
      <c r="C390" s="11"/>
      <c r="D390" s="11"/>
      <c r="E390" s="11"/>
      <c r="F390" s="1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3"/>
      <c r="C391" s="11"/>
      <c r="D391" s="11"/>
      <c r="E391" s="11"/>
      <c r="F391" s="1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3"/>
      <c r="C392" s="11"/>
      <c r="D392" s="11"/>
      <c r="E392" s="11"/>
      <c r="F392" s="1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3"/>
      <c r="C393" s="11"/>
      <c r="D393" s="11"/>
      <c r="E393" s="11"/>
      <c r="F393" s="1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3"/>
      <c r="C394" s="11"/>
      <c r="D394" s="11"/>
      <c r="E394" s="11"/>
      <c r="F394" s="1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3"/>
      <c r="C395" s="11"/>
      <c r="D395" s="11"/>
      <c r="E395" s="11"/>
      <c r="F395" s="1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3"/>
      <c r="C396" s="11"/>
      <c r="D396" s="11"/>
      <c r="E396" s="11"/>
      <c r="F396" s="1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3"/>
      <c r="C397" s="11"/>
      <c r="D397" s="11"/>
      <c r="E397" s="11"/>
      <c r="F397" s="1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3"/>
      <c r="C398" s="11"/>
      <c r="D398" s="11"/>
      <c r="E398" s="11"/>
      <c r="F398" s="1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3"/>
      <c r="C399" s="11"/>
      <c r="D399" s="11"/>
      <c r="E399" s="11"/>
      <c r="F399" s="1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3"/>
      <c r="C400" s="11"/>
      <c r="D400" s="11"/>
      <c r="E400" s="11"/>
      <c r="F400" s="1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3"/>
      <c r="C401" s="11"/>
      <c r="D401" s="11"/>
      <c r="E401" s="11"/>
      <c r="F401" s="1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3"/>
      <c r="C402" s="11"/>
      <c r="D402" s="11"/>
      <c r="E402" s="11"/>
      <c r="F402" s="1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3"/>
      <c r="C403" s="11"/>
      <c r="D403" s="11"/>
      <c r="E403" s="11"/>
      <c r="F403" s="1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3"/>
      <c r="C404" s="11"/>
      <c r="D404" s="11"/>
      <c r="E404" s="11"/>
      <c r="F404" s="1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3"/>
      <c r="C405" s="11"/>
      <c r="D405" s="11"/>
      <c r="E405" s="11"/>
      <c r="F405" s="1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3"/>
      <c r="C406" s="11"/>
      <c r="D406" s="11"/>
      <c r="E406" s="11"/>
      <c r="F406" s="1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3"/>
      <c r="C407" s="11"/>
      <c r="D407" s="11"/>
      <c r="E407" s="11"/>
      <c r="F407" s="1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3"/>
      <c r="C408" s="11"/>
      <c r="D408" s="11"/>
      <c r="E408" s="11"/>
      <c r="F408" s="1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3"/>
      <c r="C409" s="11"/>
      <c r="D409" s="11"/>
      <c r="E409" s="11"/>
      <c r="F409" s="1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3"/>
      <c r="C410" s="11"/>
      <c r="D410" s="11"/>
      <c r="E410" s="11"/>
      <c r="F410" s="1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3"/>
      <c r="C411" s="11"/>
      <c r="D411" s="11"/>
      <c r="E411" s="11"/>
      <c r="F411" s="1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3"/>
      <c r="C412" s="11"/>
      <c r="D412" s="11"/>
      <c r="E412" s="11"/>
      <c r="F412" s="1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3"/>
      <c r="C413" s="11"/>
      <c r="D413" s="11"/>
      <c r="E413" s="11"/>
      <c r="F413" s="1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3"/>
      <c r="C414" s="11"/>
      <c r="D414" s="11"/>
      <c r="E414" s="11"/>
      <c r="F414" s="1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3"/>
      <c r="C415" s="11"/>
      <c r="D415" s="11"/>
      <c r="E415" s="11"/>
      <c r="F415" s="1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3"/>
      <c r="C416" s="11"/>
      <c r="D416" s="11"/>
      <c r="E416" s="11"/>
      <c r="F416" s="1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3"/>
      <c r="C417" s="11"/>
      <c r="D417" s="11"/>
      <c r="E417" s="11"/>
      <c r="F417" s="1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3"/>
      <c r="C418" s="11"/>
      <c r="D418" s="11"/>
      <c r="E418" s="11"/>
      <c r="F418" s="1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3"/>
      <c r="C419" s="11"/>
      <c r="D419" s="11"/>
      <c r="E419" s="11"/>
      <c r="F419" s="1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3"/>
      <c r="C420" s="11"/>
      <c r="D420" s="11"/>
      <c r="E420" s="11"/>
      <c r="F420" s="1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3"/>
      <c r="C421" s="11"/>
      <c r="D421" s="11"/>
      <c r="E421" s="11"/>
      <c r="F421" s="1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3"/>
      <c r="C422" s="11"/>
      <c r="D422" s="11"/>
      <c r="E422" s="11"/>
      <c r="F422" s="1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3"/>
      <c r="C423" s="11"/>
      <c r="D423" s="11"/>
      <c r="E423" s="11"/>
      <c r="F423" s="1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3"/>
      <c r="C424" s="11"/>
      <c r="D424" s="11"/>
      <c r="E424" s="11"/>
      <c r="F424" s="1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3"/>
      <c r="C425" s="11"/>
      <c r="D425" s="11"/>
      <c r="E425" s="11"/>
      <c r="F425" s="1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3"/>
      <c r="C426" s="11"/>
      <c r="D426" s="11"/>
      <c r="E426" s="11"/>
      <c r="F426" s="1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3"/>
      <c r="C427" s="11"/>
      <c r="D427" s="11"/>
      <c r="E427" s="11"/>
      <c r="F427" s="1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3"/>
      <c r="C428" s="11"/>
      <c r="D428" s="11"/>
      <c r="E428" s="11"/>
      <c r="F428" s="1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3"/>
      <c r="C429" s="11"/>
      <c r="D429" s="11"/>
      <c r="E429" s="11"/>
      <c r="F429" s="1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3"/>
      <c r="C430" s="11"/>
      <c r="D430" s="11"/>
      <c r="E430" s="11"/>
      <c r="F430" s="1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3"/>
      <c r="C431" s="11"/>
      <c r="D431" s="11"/>
      <c r="E431" s="11"/>
      <c r="F431" s="1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3"/>
      <c r="C432" s="11"/>
      <c r="D432" s="11"/>
      <c r="E432" s="11"/>
      <c r="F432" s="1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3"/>
      <c r="C433" s="11"/>
      <c r="D433" s="11"/>
      <c r="E433" s="11"/>
      <c r="F433" s="1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3"/>
      <c r="C434" s="11"/>
      <c r="D434" s="11"/>
      <c r="E434" s="11"/>
      <c r="F434" s="1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3"/>
      <c r="C435" s="11"/>
      <c r="D435" s="11"/>
      <c r="E435" s="11"/>
      <c r="F435" s="1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3"/>
      <c r="C436" s="11"/>
      <c r="D436" s="11"/>
      <c r="E436" s="11"/>
      <c r="F436" s="1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3"/>
      <c r="C437" s="11"/>
      <c r="D437" s="11"/>
      <c r="E437" s="11"/>
      <c r="F437" s="1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3"/>
      <c r="C438" s="11"/>
      <c r="D438" s="11"/>
      <c r="E438" s="11"/>
      <c r="F438" s="1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3"/>
      <c r="C439" s="11"/>
      <c r="D439" s="11"/>
      <c r="E439" s="11"/>
      <c r="F439" s="1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3"/>
      <c r="C440" s="11"/>
      <c r="D440" s="11"/>
      <c r="E440" s="11"/>
      <c r="F440" s="1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3"/>
      <c r="C441" s="11"/>
      <c r="D441" s="11"/>
      <c r="E441" s="11"/>
      <c r="F441" s="1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3"/>
      <c r="C442" s="11"/>
      <c r="D442" s="11"/>
      <c r="E442" s="11"/>
      <c r="F442" s="1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3"/>
      <c r="C443" s="11"/>
      <c r="D443" s="11"/>
      <c r="E443" s="11"/>
      <c r="F443" s="1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3"/>
      <c r="C444" s="11"/>
      <c r="D444" s="11"/>
      <c r="E444" s="11"/>
      <c r="F444" s="1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3"/>
      <c r="C445" s="11"/>
      <c r="D445" s="11"/>
      <c r="E445" s="11"/>
      <c r="F445" s="1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3"/>
      <c r="C446" s="11"/>
      <c r="D446" s="11"/>
      <c r="E446" s="11"/>
      <c r="F446" s="1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3"/>
      <c r="C447" s="11"/>
      <c r="D447" s="11"/>
      <c r="E447" s="11"/>
      <c r="F447" s="1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3"/>
      <c r="C448" s="11"/>
      <c r="D448" s="11"/>
      <c r="E448" s="11"/>
      <c r="F448" s="1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3"/>
      <c r="C449" s="11"/>
      <c r="D449" s="11"/>
      <c r="E449" s="11"/>
      <c r="F449" s="1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3"/>
      <c r="C450" s="11"/>
      <c r="D450" s="11"/>
      <c r="E450" s="11"/>
      <c r="F450" s="1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3"/>
      <c r="C451" s="11"/>
      <c r="D451" s="11"/>
      <c r="E451" s="11"/>
      <c r="F451" s="1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3"/>
      <c r="C452" s="11"/>
      <c r="D452" s="11"/>
      <c r="E452" s="11"/>
      <c r="F452" s="1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3"/>
      <c r="C453" s="11"/>
      <c r="D453" s="11"/>
      <c r="E453" s="11"/>
      <c r="F453" s="1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3"/>
      <c r="C454" s="11"/>
      <c r="D454" s="11"/>
      <c r="E454" s="11"/>
      <c r="F454" s="1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3"/>
      <c r="C455" s="11"/>
      <c r="D455" s="11"/>
      <c r="E455" s="11"/>
      <c r="F455" s="1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3"/>
      <c r="C456" s="11"/>
      <c r="D456" s="11"/>
      <c r="E456" s="11"/>
      <c r="F456" s="1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3"/>
      <c r="C457" s="11"/>
      <c r="D457" s="11"/>
      <c r="E457" s="11"/>
      <c r="F457" s="1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3"/>
      <c r="C458" s="11"/>
      <c r="D458" s="11"/>
      <c r="E458" s="11"/>
      <c r="F458" s="1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3"/>
      <c r="C459" s="11"/>
      <c r="D459" s="11"/>
      <c r="E459" s="11"/>
      <c r="F459" s="1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3"/>
      <c r="C460" s="11"/>
      <c r="D460" s="11"/>
      <c r="E460" s="11"/>
      <c r="F460" s="1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3"/>
      <c r="C461" s="11"/>
      <c r="D461" s="11"/>
      <c r="E461" s="11"/>
      <c r="F461" s="1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3"/>
      <c r="C462" s="11"/>
      <c r="D462" s="11"/>
      <c r="E462" s="11"/>
      <c r="F462" s="1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3"/>
      <c r="C463" s="11"/>
      <c r="D463" s="11"/>
      <c r="E463" s="11"/>
      <c r="F463" s="1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3"/>
      <c r="C464" s="11"/>
      <c r="D464" s="11"/>
      <c r="E464" s="11"/>
      <c r="F464" s="1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3"/>
      <c r="C465" s="11"/>
      <c r="D465" s="11"/>
      <c r="E465" s="11"/>
      <c r="F465" s="1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3"/>
      <c r="C466" s="11"/>
      <c r="D466" s="11"/>
      <c r="E466" s="11"/>
      <c r="F466" s="1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3"/>
      <c r="C467" s="11"/>
      <c r="D467" s="11"/>
      <c r="E467" s="11"/>
      <c r="F467" s="1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3"/>
      <c r="C468" s="11"/>
      <c r="D468" s="11"/>
      <c r="E468" s="11"/>
      <c r="F468" s="1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3"/>
      <c r="C469" s="11"/>
      <c r="D469" s="11"/>
      <c r="E469" s="11"/>
      <c r="F469" s="1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3"/>
      <c r="C470" s="11"/>
      <c r="D470" s="11"/>
      <c r="E470" s="11"/>
      <c r="F470" s="1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3"/>
      <c r="C471" s="11"/>
      <c r="D471" s="11"/>
      <c r="E471" s="11"/>
      <c r="F471" s="1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3"/>
      <c r="C472" s="11"/>
      <c r="D472" s="11"/>
      <c r="E472" s="11"/>
      <c r="F472" s="1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3"/>
      <c r="C473" s="11"/>
      <c r="D473" s="11"/>
      <c r="E473" s="11"/>
      <c r="F473" s="1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3"/>
      <c r="C474" s="11"/>
      <c r="D474" s="11"/>
      <c r="E474" s="11"/>
      <c r="F474" s="1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3"/>
      <c r="C475" s="11"/>
      <c r="D475" s="11"/>
      <c r="E475" s="11"/>
      <c r="F475" s="1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3"/>
      <c r="C476" s="11"/>
      <c r="D476" s="11"/>
      <c r="E476" s="11"/>
      <c r="F476" s="1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3"/>
      <c r="C477" s="11"/>
      <c r="D477" s="11"/>
      <c r="E477" s="11"/>
      <c r="F477" s="1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3"/>
      <c r="C478" s="11"/>
      <c r="D478" s="11"/>
      <c r="E478" s="11"/>
      <c r="F478" s="1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3"/>
      <c r="C479" s="11"/>
      <c r="D479" s="11"/>
      <c r="E479" s="11"/>
      <c r="F479" s="1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3"/>
      <c r="C480" s="11"/>
      <c r="D480" s="11"/>
      <c r="E480" s="11"/>
      <c r="F480" s="1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3"/>
      <c r="C481" s="11"/>
      <c r="D481" s="11"/>
      <c r="E481" s="11"/>
      <c r="F481" s="1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3"/>
      <c r="C482" s="11"/>
      <c r="D482" s="11"/>
      <c r="E482" s="11"/>
      <c r="F482" s="1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3"/>
      <c r="C483" s="11"/>
      <c r="D483" s="11"/>
      <c r="E483" s="11"/>
      <c r="F483" s="1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3"/>
      <c r="C484" s="11"/>
      <c r="D484" s="11"/>
      <c r="E484" s="11"/>
      <c r="F484" s="1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3"/>
      <c r="C485" s="11"/>
      <c r="D485" s="11"/>
      <c r="E485" s="11"/>
      <c r="F485" s="1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3"/>
      <c r="C486" s="11"/>
      <c r="D486" s="11"/>
      <c r="E486" s="11"/>
      <c r="F486" s="1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3"/>
      <c r="C487" s="11"/>
      <c r="D487" s="11"/>
      <c r="E487" s="11"/>
      <c r="F487" s="1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3"/>
      <c r="C488" s="11"/>
      <c r="D488" s="11"/>
      <c r="E488" s="11"/>
      <c r="F488" s="1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3"/>
      <c r="C489" s="11"/>
      <c r="D489" s="11"/>
      <c r="E489" s="11"/>
      <c r="F489" s="1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3"/>
      <c r="C490" s="11"/>
      <c r="D490" s="11"/>
      <c r="E490" s="11"/>
      <c r="F490" s="1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3"/>
      <c r="C491" s="11"/>
      <c r="D491" s="11"/>
      <c r="E491" s="11"/>
      <c r="F491" s="1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3"/>
      <c r="C492" s="11"/>
      <c r="D492" s="11"/>
      <c r="E492" s="11"/>
      <c r="F492" s="1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3"/>
      <c r="C493" s="11"/>
      <c r="D493" s="11"/>
      <c r="E493" s="11"/>
      <c r="F493" s="1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3"/>
      <c r="C494" s="11"/>
      <c r="D494" s="11"/>
      <c r="E494" s="11"/>
      <c r="F494" s="1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3"/>
      <c r="C495" s="11"/>
      <c r="D495" s="11"/>
      <c r="E495" s="11"/>
      <c r="F495" s="1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3"/>
      <c r="C496" s="11"/>
      <c r="D496" s="11"/>
      <c r="E496" s="11"/>
      <c r="F496" s="1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3"/>
      <c r="C497" s="11"/>
      <c r="D497" s="11"/>
      <c r="E497" s="11"/>
      <c r="F497" s="1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3"/>
      <c r="C498" s="11"/>
      <c r="D498" s="11"/>
      <c r="E498" s="11"/>
      <c r="F498" s="1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3"/>
      <c r="C499" s="11"/>
      <c r="D499" s="11"/>
      <c r="E499" s="11"/>
      <c r="F499" s="1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3"/>
      <c r="C500" s="11"/>
      <c r="D500" s="11"/>
      <c r="E500" s="11"/>
      <c r="F500" s="1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3"/>
      <c r="C501" s="11"/>
      <c r="D501" s="11"/>
      <c r="E501" s="11"/>
      <c r="F501" s="1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3"/>
      <c r="C502" s="11"/>
      <c r="D502" s="11"/>
      <c r="E502" s="11"/>
      <c r="F502" s="1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3"/>
      <c r="C503" s="11"/>
      <c r="D503" s="11"/>
      <c r="E503" s="11"/>
      <c r="F503" s="1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3"/>
      <c r="C504" s="11"/>
      <c r="D504" s="11"/>
      <c r="E504" s="11"/>
      <c r="F504" s="1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3"/>
      <c r="C505" s="11"/>
      <c r="D505" s="11"/>
      <c r="E505" s="11"/>
      <c r="F505" s="1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3"/>
      <c r="C506" s="11"/>
      <c r="D506" s="11"/>
      <c r="E506" s="11"/>
      <c r="F506" s="1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3"/>
      <c r="C507" s="11"/>
      <c r="D507" s="11"/>
      <c r="E507" s="11"/>
      <c r="F507" s="1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3"/>
      <c r="C508" s="11"/>
      <c r="D508" s="11"/>
      <c r="E508" s="11"/>
      <c r="F508" s="1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3"/>
      <c r="C509" s="11"/>
      <c r="D509" s="11"/>
      <c r="E509" s="11"/>
      <c r="F509" s="1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3"/>
      <c r="C510" s="11"/>
      <c r="D510" s="11"/>
      <c r="E510" s="11"/>
      <c r="F510" s="1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3"/>
      <c r="C511" s="11"/>
      <c r="D511" s="11"/>
      <c r="E511" s="11"/>
      <c r="F511" s="1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3"/>
      <c r="C512" s="11"/>
      <c r="D512" s="11"/>
      <c r="E512" s="11"/>
      <c r="F512" s="1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3"/>
      <c r="C513" s="11"/>
      <c r="D513" s="11"/>
      <c r="E513" s="11"/>
      <c r="F513" s="1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3"/>
      <c r="C514" s="11"/>
      <c r="D514" s="11"/>
      <c r="E514" s="11"/>
      <c r="F514" s="1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3"/>
      <c r="C515" s="11"/>
      <c r="D515" s="11"/>
      <c r="E515" s="11"/>
      <c r="F515" s="1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3"/>
      <c r="C516" s="11"/>
      <c r="D516" s="11"/>
      <c r="E516" s="11"/>
      <c r="F516" s="1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3"/>
      <c r="C517" s="11"/>
      <c r="D517" s="11"/>
      <c r="E517" s="11"/>
      <c r="F517" s="1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3"/>
      <c r="C518" s="11"/>
      <c r="D518" s="11"/>
      <c r="E518" s="11"/>
      <c r="F518" s="1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3"/>
      <c r="C519" s="11"/>
      <c r="D519" s="11"/>
      <c r="E519" s="11"/>
      <c r="F519" s="1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3"/>
      <c r="C520" s="11"/>
      <c r="D520" s="11"/>
      <c r="E520" s="11"/>
      <c r="F520" s="1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3"/>
      <c r="C521" s="11"/>
      <c r="D521" s="11"/>
      <c r="E521" s="11"/>
      <c r="F521" s="1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3"/>
      <c r="C522" s="11"/>
      <c r="D522" s="11"/>
      <c r="E522" s="11"/>
      <c r="F522" s="1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3"/>
      <c r="C523" s="11"/>
      <c r="D523" s="11"/>
      <c r="E523" s="11"/>
      <c r="F523" s="1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3"/>
      <c r="C524" s="11"/>
      <c r="D524" s="11"/>
      <c r="E524" s="11"/>
      <c r="F524" s="1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3"/>
      <c r="C525" s="11"/>
      <c r="D525" s="11"/>
      <c r="E525" s="11"/>
      <c r="F525" s="1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3"/>
      <c r="C526" s="11"/>
      <c r="D526" s="11"/>
      <c r="E526" s="11"/>
      <c r="F526" s="1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3"/>
      <c r="C527" s="11"/>
      <c r="D527" s="11"/>
      <c r="E527" s="11"/>
      <c r="F527" s="1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3"/>
      <c r="C528" s="11"/>
      <c r="D528" s="11"/>
      <c r="E528" s="11"/>
      <c r="F528" s="1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3"/>
      <c r="C529" s="11"/>
      <c r="D529" s="11"/>
      <c r="E529" s="11"/>
      <c r="F529" s="1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3"/>
      <c r="C530" s="11"/>
      <c r="D530" s="11"/>
      <c r="E530" s="11"/>
      <c r="F530" s="1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3"/>
      <c r="C531" s="11"/>
      <c r="D531" s="11"/>
      <c r="E531" s="11"/>
      <c r="F531" s="1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3"/>
      <c r="C532" s="11"/>
      <c r="D532" s="11"/>
      <c r="E532" s="11"/>
      <c r="F532" s="1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3"/>
      <c r="C533" s="11"/>
      <c r="D533" s="11"/>
      <c r="E533" s="11"/>
      <c r="F533" s="1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3"/>
      <c r="C534" s="11"/>
      <c r="D534" s="11"/>
      <c r="E534" s="11"/>
      <c r="F534" s="1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3"/>
      <c r="C535" s="11"/>
      <c r="D535" s="11"/>
      <c r="E535" s="11"/>
      <c r="F535" s="1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3"/>
      <c r="C536" s="11"/>
      <c r="D536" s="11"/>
      <c r="E536" s="11"/>
      <c r="F536" s="1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3"/>
      <c r="C537" s="11"/>
      <c r="D537" s="11"/>
      <c r="E537" s="11"/>
      <c r="F537" s="1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3"/>
      <c r="C538" s="11"/>
      <c r="D538" s="11"/>
      <c r="E538" s="11"/>
      <c r="F538" s="1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3"/>
      <c r="C539" s="11"/>
      <c r="D539" s="11"/>
      <c r="E539" s="11"/>
      <c r="F539" s="1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3"/>
      <c r="C540" s="11"/>
      <c r="D540" s="11"/>
      <c r="E540" s="11"/>
      <c r="F540" s="1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3"/>
      <c r="C541" s="11"/>
      <c r="D541" s="11"/>
      <c r="E541" s="11"/>
      <c r="F541" s="1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3"/>
      <c r="C542" s="11"/>
      <c r="D542" s="11"/>
      <c r="E542" s="11"/>
      <c r="F542" s="1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3"/>
      <c r="C543" s="11"/>
      <c r="D543" s="11"/>
      <c r="E543" s="11"/>
      <c r="F543" s="1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3"/>
      <c r="C544" s="11"/>
      <c r="D544" s="11"/>
      <c r="E544" s="11"/>
      <c r="F544" s="1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3"/>
      <c r="C545" s="11"/>
      <c r="D545" s="11"/>
      <c r="E545" s="11"/>
      <c r="F545" s="1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3"/>
      <c r="C546" s="11"/>
      <c r="D546" s="11"/>
      <c r="E546" s="11"/>
      <c r="F546" s="1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3"/>
      <c r="C547" s="11"/>
      <c r="D547" s="11"/>
      <c r="E547" s="11"/>
      <c r="F547" s="1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3"/>
      <c r="C548" s="11"/>
      <c r="D548" s="11"/>
      <c r="E548" s="11"/>
      <c r="F548" s="1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3"/>
      <c r="C549" s="11"/>
      <c r="D549" s="11"/>
      <c r="E549" s="11"/>
      <c r="F549" s="1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3"/>
      <c r="C550" s="11"/>
      <c r="D550" s="11"/>
      <c r="E550" s="11"/>
      <c r="F550" s="1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3"/>
      <c r="C551" s="11"/>
      <c r="D551" s="11"/>
      <c r="E551" s="11"/>
      <c r="F551" s="1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3"/>
      <c r="C552" s="11"/>
      <c r="D552" s="11"/>
      <c r="E552" s="11"/>
      <c r="F552" s="1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3"/>
      <c r="C553" s="11"/>
      <c r="D553" s="11"/>
      <c r="E553" s="11"/>
      <c r="F553" s="1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3"/>
      <c r="C554" s="11"/>
      <c r="D554" s="11"/>
      <c r="E554" s="11"/>
      <c r="F554" s="1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3"/>
      <c r="C555" s="11"/>
      <c r="D555" s="11"/>
      <c r="E555" s="11"/>
      <c r="F555" s="1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3"/>
      <c r="C556" s="11"/>
      <c r="D556" s="11"/>
      <c r="E556" s="11"/>
      <c r="F556" s="1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3"/>
      <c r="C557" s="11"/>
      <c r="D557" s="11"/>
      <c r="E557" s="11"/>
      <c r="F557" s="1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3"/>
      <c r="C558" s="11"/>
      <c r="D558" s="11"/>
      <c r="E558" s="11"/>
      <c r="F558" s="1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3"/>
      <c r="C559" s="11"/>
      <c r="D559" s="11"/>
      <c r="E559" s="11"/>
      <c r="F559" s="1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3"/>
      <c r="C560" s="11"/>
      <c r="D560" s="11"/>
      <c r="E560" s="11"/>
      <c r="F560" s="1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3"/>
      <c r="C561" s="11"/>
      <c r="D561" s="11"/>
      <c r="E561" s="11"/>
      <c r="F561" s="1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3"/>
      <c r="C562" s="11"/>
      <c r="D562" s="11"/>
      <c r="E562" s="11"/>
      <c r="F562" s="1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3"/>
      <c r="C563" s="11"/>
      <c r="D563" s="11"/>
      <c r="E563" s="11"/>
      <c r="F563" s="1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3"/>
      <c r="C564" s="11"/>
      <c r="D564" s="11"/>
      <c r="E564" s="11"/>
      <c r="F564" s="1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3"/>
      <c r="C565" s="11"/>
      <c r="D565" s="11"/>
      <c r="E565" s="11"/>
      <c r="F565" s="1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3"/>
      <c r="C566" s="11"/>
      <c r="D566" s="11"/>
      <c r="E566" s="11"/>
      <c r="F566" s="1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3"/>
      <c r="C567" s="11"/>
      <c r="D567" s="11"/>
      <c r="E567" s="11"/>
      <c r="F567" s="1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3"/>
      <c r="C568" s="11"/>
      <c r="D568" s="11"/>
      <c r="E568" s="11"/>
      <c r="F568" s="1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3"/>
      <c r="C569" s="11"/>
      <c r="D569" s="11"/>
      <c r="E569" s="11"/>
      <c r="F569" s="1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3"/>
      <c r="C570" s="11"/>
      <c r="D570" s="11"/>
      <c r="E570" s="11"/>
      <c r="F570" s="1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3"/>
      <c r="C571" s="11"/>
      <c r="D571" s="11"/>
      <c r="E571" s="11"/>
      <c r="F571" s="1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3"/>
      <c r="C572" s="11"/>
      <c r="D572" s="11"/>
      <c r="E572" s="11"/>
      <c r="F572" s="1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3"/>
      <c r="C573" s="11"/>
      <c r="D573" s="11"/>
      <c r="E573" s="11"/>
      <c r="F573" s="1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3"/>
      <c r="C574" s="11"/>
      <c r="D574" s="11"/>
      <c r="E574" s="11"/>
      <c r="F574" s="1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3"/>
      <c r="C575" s="11"/>
      <c r="D575" s="11"/>
      <c r="E575" s="11"/>
      <c r="F575" s="1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3"/>
      <c r="C576" s="11"/>
      <c r="D576" s="11"/>
      <c r="E576" s="11"/>
      <c r="F576" s="1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3"/>
      <c r="C577" s="11"/>
      <c r="D577" s="11"/>
      <c r="E577" s="11"/>
      <c r="F577" s="1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3"/>
      <c r="C578" s="11"/>
      <c r="D578" s="11"/>
      <c r="E578" s="11"/>
      <c r="F578" s="1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3"/>
      <c r="C579" s="11"/>
      <c r="D579" s="11"/>
      <c r="E579" s="11"/>
      <c r="F579" s="1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3"/>
      <c r="C580" s="11"/>
      <c r="D580" s="11"/>
      <c r="E580" s="11"/>
      <c r="F580" s="1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3"/>
      <c r="C581" s="11"/>
      <c r="D581" s="11"/>
      <c r="E581" s="11"/>
      <c r="F581" s="1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3"/>
      <c r="C582" s="11"/>
      <c r="D582" s="11"/>
      <c r="E582" s="11"/>
      <c r="F582" s="1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3"/>
      <c r="C583" s="11"/>
      <c r="D583" s="11"/>
      <c r="E583" s="11"/>
      <c r="F583" s="1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3"/>
      <c r="C584" s="11"/>
      <c r="D584" s="11"/>
      <c r="E584" s="11"/>
      <c r="F584" s="1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3"/>
      <c r="C585" s="11"/>
      <c r="D585" s="11"/>
      <c r="E585" s="11"/>
      <c r="F585" s="1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3"/>
      <c r="C586" s="11"/>
      <c r="D586" s="11"/>
      <c r="E586" s="11"/>
      <c r="F586" s="1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3"/>
      <c r="C587" s="11"/>
      <c r="D587" s="11"/>
      <c r="E587" s="11"/>
      <c r="F587" s="1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3"/>
      <c r="C588" s="11"/>
      <c r="D588" s="11"/>
      <c r="E588" s="11"/>
      <c r="F588" s="1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3"/>
      <c r="C589" s="11"/>
      <c r="D589" s="11"/>
      <c r="E589" s="11"/>
      <c r="F589" s="1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3"/>
      <c r="C590" s="11"/>
      <c r="D590" s="11"/>
      <c r="E590" s="11"/>
      <c r="F590" s="1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3"/>
      <c r="C591" s="11"/>
      <c r="D591" s="11"/>
      <c r="E591" s="11"/>
      <c r="F591" s="1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3"/>
      <c r="C592" s="11"/>
      <c r="D592" s="11"/>
      <c r="E592" s="11"/>
      <c r="F592" s="1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3"/>
      <c r="C593" s="11"/>
      <c r="D593" s="11"/>
      <c r="E593" s="11"/>
      <c r="F593" s="1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3"/>
      <c r="C594" s="11"/>
      <c r="D594" s="11"/>
      <c r="E594" s="11"/>
      <c r="F594" s="1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3"/>
      <c r="C595" s="11"/>
      <c r="D595" s="11"/>
      <c r="E595" s="11"/>
      <c r="F595" s="1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3"/>
      <c r="C596" s="11"/>
      <c r="D596" s="11"/>
      <c r="E596" s="11"/>
      <c r="F596" s="1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3"/>
      <c r="C597" s="11"/>
      <c r="D597" s="11"/>
      <c r="E597" s="11"/>
      <c r="F597" s="1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3"/>
      <c r="C598" s="11"/>
      <c r="D598" s="11"/>
      <c r="E598" s="11"/>
      <c r="F598" s="1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3"/>
      <c r="C599" s="11"/>
      <c r="D599" s="11"/>
      <c r="E599" s="11"/>
      <c r="F599" s="1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3"/>
      <c r="C600" s="11"/>
      <c r="D600" s="11"/>
      <c r="E600" s="11"/>
      <c r="F600" s="1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3"/>
      <c r="C601" s="11"/>
      <c r="D601" s="11"/>
      <c r="E601" s="11"/>
      <c r="F601" s="1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3"/>
      <c r="C602" s="11"/>
      <c r="D602" s="11"/>
      <c r="E602" s="11"/>
      <c r="F602" s="1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3"/>
      <c r="C603" s="11"/>
      <c r="D603" s="11"/>
      <c r="E603" s="11"/>
      <c r="F603" s="1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3"/>
      <c r="C604" s="11"/>
      <c r="D604" s="11"/>
      <c r="E604" s="11"/>
      <c r="F604" s="1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3"/>
      <c r="C605" s="11"/>
      <c r="D605" s="11"/>
      <c r="E605" s="11"/>
      <c r="F605" s="1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3"/>
      <c r="C606" s="11"/>
      <c r="D606" s="11"/>
      <c r="E606" s="11"/>
      <c r="F606" s="1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3"/>
      <c r="C607" s="11"/>
      <c r="D607" s="11"/>
      <c r="E607" s="11"/>
      <c r="F607" s="1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3"/>
      <c r="C608" s="11"/>
      <c r="D608" s="11"/>
      <c r="E608" s="11"/>
      <c r="F608" s="1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3"/>
      <c r="C609" s="11"/>
      <c r="D609" s="11"/>
      <c r="E609" s="11"/>
      <c r="F609" s="1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3"/>
      <c r="C610" s="11"/>
      <c r="D610" s="11"/>
      <c r="E610" s="11"/>
      <c r="F610" s="1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3"/>
      <c r="C611" s="11"/>
      <c r="D611" s="11"/>
      <c r="E611" s="11"/>
      <c r="F611" s="1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3"/>
      <c r="C612" s="11"/>
      <c r="D612" s="11"/>
      <c r="E612" s="11"/>
      <c r="F612" s="1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3"/>
      <c r="C613" s="11"/>
      <c r="D613" s="11"/>
      <c r="E613" s="11"/>
      <c r="F613" s="1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3"/>
      <c r="C614" s="11"/>
      <c r="D614" s="11"/>
      <c r="E614" s="11"/>
      <c r="F614" s="1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3"/>
      <c r="C615" s="11"/>
      <c r="D615" s="11"/>
      <c r="E615" s="11"/>
      <c r="F615" s="1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3"/>
      <c r="C616" s="11"/>
      <c r="D616" s="11"/>
      <c r="E616" s="11"/>
      <c r="F616" s="1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3"/>
      <c r="C617" s="11"/>
      <c r="D617" s="11"/>
      <c r="E617" s="11"/>
      <c r="F617" s="1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3"/>
      <c r="C618" s="11"/>
      <c r="D618" s="11"/>
      <c r="E618" s="11"/>
      <c r="F618" s="1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3"/>
      <c r="C619" s="11"/>
      <c r="D619" s="11"/>
      <c r="E619" s="11"/>
      <c r="F619" s="1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3"/>
      <c r="C620" s="11"/>
      <c r="D620" s="11"/>
      <c r="E620" s="11"/>
      <c r="F620" s="1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3"/>
      <c r="C621" s="11"/>
      <c r="D621" s="11"/>
      <c r="E621" s="11"/>
      <c r="F621" s="1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3"/>
      <c r="C622" s="11"/>
      <c r="D622" s="11"/>
      <c r="E622" s="11"/>
      <c r="F622" s="1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3"/>
      <c r="C623" s="11"/>
      <c r="D623" s="11"/>
      <c r="E623" s="11"/>
      <c r="F623" s="1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3"/>
      <c r="C624" s="11"/>
      <c r="D624" s="11"/>
      <c r="E624" s="11"/>
      <c r="F624" s="1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3"/>
      <c r="C625" s="11"/>
      <c r="D625" s="11"/>
      <c r="E625" s="11"/>
      <c r="F625" s="1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3"/>
      <c r="C626" s="11"/>
      <c r="D626" s="11"/>
      <c r="E626" s="11"/>
      <c r="F626" s="1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3"/>
      <c r="C627" s="11"/>
      <c r="D627" s="11"/>
      <c r="E627" s="11"/>
      <c r="F627" s="1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3"/>
      <c r="C628" s="11"/>
      <c r="D628" s="11"/>
      <c r="E628" s="11"/>
      <c r="F628" s="1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3"/>
      <c r="C629" s="11"/>
      <c r="D629" s="11"/>
      <c r="E629" s="11"/>
      <c r="F629" s="1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3"/>
      <c r="C630" s="11"/>
      <c r="D630" s="11"/>
      <c r="E630" s="11"/>
      <c r="F630" s="1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3"/>
      <c r="C631" s="11"/>
      <c r="D631" s="11"/>
      <c r="E631" s="11"/>
      <c r="F631" s="1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3"/>
      <c r="C632" s="11"/>
      <c r="D632" s="11"/>
      <c r="E632" s="11"/>
      <c r="F632" s="1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3"/>
      <c r="C633" s="11"/>
      <c r="D633" s="11"/>
      <c r="E633" s="11"/>
      <c r="F633" s="1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3"/>
      <c r="C634" s="11"/>
      <c r="D634" s="11"/>
      <c r="E634" s="11"/>
      <c r="F634" s="1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3"/>
      <c r="C635" s="11"/>
      <c r="D635" s="11"/>
      <c r="E635" s="11"/>
      <c r="F635" s="1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3"/>
      <c r="C636" s="11"/>
      <c r="D636" s="11"/>
      <c r="E636" s="11"/>
      <c r="F636" s="1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3"/>
      <c r="C637" s="11"/>
      <c r="D637" s="11"/>
      <c r="E637" s="11"/>
      <c r="F637" s="1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3"/>
      <c r="C638" s="11"/>
      <c r="D638" s="11"/>
      <c r="E638" s="11"/>
      <c r="F638" s="1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3"/>
      <c r="C639" s="11"/>
      <c r="D639" s="11"/>
      <c r="E639" s="11"/>
      <c r="F639" s="1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3"/>
      <c r="C640" s="11"/>
      <c r="D640" s="11"/>
      <c r="E640" s="11"/>
      <c r="F640" s="1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3"/>
      <c r="C641" s="11"/>
      <c r="D641" s="11"/>
      <c r="E641" s="11"/>
      <c r="F641" s="1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3"/>
      <c r="C642" s="11"/>
      <c r="D642" s="11"/>
      <c r="E642" s="11"/>
      <c r="F642" s="1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3"/>
      <c r="C643" s="11"/>
      <c r="D643" s="11"/>
      <c r="E643" s="11"/>
      <c r="F643" s="1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3"/>
      <c r="C644" s="11"/>
      <c r="D644" s="11"/>
      <c r="E644" s="11"/>
      <c r="F644" s="1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3"/>
      <c r="C645" s="11"/>
      <c r="D645" s="11"/>
      <c r="E645" s="11"/>
      <c r="F645" s="1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3"/>
      <c r="C646" s="11"/>
      <c r="D646" s="11"/>
      <c r="E646" s="11"/>
      <c r="F646" s="1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3"/>
      <c r="C647" s="11"/>
      <c r="D647" s="11"/>
      <c r="E647" s="11"/>
      <c r="F647" s="1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3"/>
      <c r="C648" s="11"/>
      <c r="D648" s="11"/>
      <c r="E648" s="11"/>
      <c r="F648" s="1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3"/>
      <c r="C649" s="11"/>
      <c r="D649" s="11"/>
      <c r="E649" s="11"/>
      <c r="F649" s="1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3"/>
      <c r="C650" s="11"/>
      <c r="D650" s="11"/>
      <c r="E650" s="11"/>
      <c r="F650" s="1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3"/>
      <c r="C651" s="11"/>
      <c r="D651" s="11"/>
      <c r="E651" s="11"/>
      <c r="F651" s="1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3"/>
      <c r="C652" s="11"/>
      <c r="D652" s="11"/>
      <c r="E652" s="11"/>
      <c r="F652" s="1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3"/>
      <c r="C653" s="11"/>
      <c r="D653" s="11"/>
      <c r="E653" s="11"/>
      <c r="F653" s="1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3"/>
      <c r="C654" s="11"/>
      <c r="D654" s="11"/>
      <c r="E654" s="11"/>
      <c r="F654" s="1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3"/>
      <c r="C655" s="11"/>
      <c r="D655" s="11"/>
      <c r="E655" s="11"/>
      <c r="F655" s="1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3"/>
      <c r="C656" s="11"/>
      <c r="D656" s="11"/>
      <c r="E656" s="11"/>
      <c r="F656" s="1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3"/>
      <c r="C657" s="11"/>
      <c r="D657" s="11"/>
      <c r="E657" s="11"/>
      <c r="F657" s="1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3"/>
      <c r="C658" s="11"/>
      <c r="D658" s="11"/>
      <c r="E658" s="11"/>
      <c r="F658" s="1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3"/>
      <c r="C659" s="11"/>
      <c r="D659" s="11"/>
      <c r="E659" s="11"/>
      <c r="F659" s="1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3"/>
      <c r="C660" s="11"/>
      <c r="D660" s="11"/>
      <c r="E660" s="11"/>
      <c r="F660" s="1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3"/>
      <c r="C661" s="11"/>
      <c r="D661" s="11"/>
      <c r="E661" s="11"/>
      <c r="F661" s="1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3"/>
      <c r="C662" s="11"/>
      <c r="D662" s="11"/>
      <c r="E662" s="11"/>
      <c r="F662" s="1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3"/>
      <c r="C663" s="11"/>
      <c r="D663" s="11"/>
      <c r="E663" s="11"/>
      <c r="F663" s="1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3"/>
      <c r="C664" s="11"/>
      <c r="D664" s="11"/>
      <c r="E664" s="11"/>
      <c r="F664" s="1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3"/>
      <c r="C665" s="11"/>
      <c r="D665" s="11"/>
      <c r="E665" s="11"/>
      <c r="F665" s="1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3"/>
      <c r="C666" s="11"/>
      <c r="D666" s="11"/>
      <c r="E666" s="11"/>
      <c r="F666" s="1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3"/>
      <c r="C667" s="11"/>
      <c r="D667" s="11"/>
      <c r="E667" s="11"/>
      <c r="F667" s="1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3"/>
      <c r="C668" s="11"/>
      <c r="D668" s="11"/>
      <c r="E668" s="11"/>
      <c r="F668" s="1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3"/>
      <c r="C669" s="11"/>
      <c r="D669" s="11"/>
      <c r="E669" s="11"/>
      <c r="F669" s="1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3"/>
      <c r="C670" s="11"/>
      <c r="D670" s="11"/>
      <c r="E670" s="11"/>
      <c r="F670" s="1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3"/>
      <c r="C671" s="11"/>
      <c r="D671" s="11"/>
      <c r="E671" s="11"/>
      <c r="F671" s="1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3"/>
      <c r="C672" s="11"/>
      <c r="D672" s="11"/>
      <c r="E672" s="11"/>
      <c r="F672" s="1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3"/>
      <c r="C673" s="11"/>
      <c r="D673" s="11"/>
      <c r="E673" s="11"/>
      <c r="F673" s="1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3"/>
      <c r="C674" s="11"/>
      <c r="D674" s="11"/>
      <c r="E674" s="11"/>
      <c r="F674" s="1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3"/>
      <c r="C675" s="11"/>
      <c r="D675" s="11"/>
      <c r="E675" s="11"/>
      <c r="F675" s="1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3"/>
      <c r="C676" s="11"/>
      <c r="D676" s="11"/>
      <c r="E676" s="11"/>
      <c r="F676" s="1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3"/>
      <c r="C677" s="11"/>
      <c r="D677" s="11"/>
      <c r="E677" s="11"/>
      <c r="F677" s="1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3"/>
      <c r="C678" s="11"/>
      <c r="D678" s="11"/>
      <c r="E678" s="11"/>
      <c r="F678" s="1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3"/>
      <c r="C679" s="11"/>
      <c r="D679" s="11"/>
      <c r="E679" s="11"/>
      <c r="F679" s="1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3"/>
      <c r="C680" s="11"/>
      <c r="D680" s="11"/>
      <c r="E680" s="11"/>
      <c r="F680" s="1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3"/>
      <c r="C681" s="11"/>
      <c r="D681" s="11"/>
      <c r="E681" s="11"/>
      <c r="F681" s="1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3"/>
      <c r="C682" s="11"/>
      <c r="D682" s="11"/>
      <c r="E682" s="11"/>
      <c r="F682" s="1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3"/>
      <c r="C683" s="11"/>
      <c r="D683" s="11"/>
      <c r="E683" s="11"/>
      <c r="F683" s="1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3"/>
      <c r="C684" s="11"/>
      <c r="D684" s="11"/>
      <c r="E684" s="11"/>
      <c r="F684" s="1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3"/>
      <c r="C685" s="11"/>
      <c r="D685" s="11"/>
      <c r="E685" s="11"/>
      <c r="F685" s="1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3"/>
      <c r="C686" s="11"/>
      <c r="D686" s="11"/>
      <c r="E686" s="11"/>
      <c r="F686" s="1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3"/>
      <c r="C687" s="11"/>
      <c r="D687" s="11"/>
      <c r="E687" s="11"/>
      <c r="F687" s="1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3"/>
      <c r="C688" s="11"/>
      <c r="D688" s="11"/>
      <c r="E688" s="11"/>
      <c r="F688" s="1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3"/>
      <c r="C689" s="11"/>
      <c r="D689" s="11"/>
      <c r="E689" s="11"/>
      <c r="F689" s="1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3"/>
      <c r="C690" s="11"/>
      <c r="D690" s="11"/>
      <c r="E690" s="11"/>
      <c r="F690" s="1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3"/>
      <c r="C691" s="11"/>
      <c r="D691" s="11"/>
      <c r="E691" s="11"/>
      <c r="F691" s="1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3"/>
      <c r="C692" s="11"/>
      <c r="D692" s="11"/>
      <c r="E692" s="11"/>
      <c r="F692" s="1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3"/>
      <c r="C693" s="11"/>
      <c r="D693" s="11"/>
      <c r="E693" s="11"/>
      <c r="F693" s="1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3"/>
      <c r="C694" s="11"/>
      <c r="D694" s="11"/>
      <c r="E694" s="11"/>
      <c r="F694" s="1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3"/>
      <c r="C695" s="11"/>
      <c r="D695" s="11"/>
      <c r="E695" s="11"/>
      <c r="F695" s="1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3"/>
      <c r="C696" s="11"/>
      <c r="D696" s="11"/>
      <c r="E696" s="11"/>
      <c r="F696" s="1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3"/>
      <c r="C697" s="11"/>
      <c r="D697" s="11"/>
      <c r="E697" s="11"/>
      <c r="F697" s="1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3"/>
      <c r="C698" s="11"/>
      <c r="D698" s="11"/>
      <c r="E698" s="11"/>
      <c r="F698" s="1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3"/>
      <c r="C699" s="11"/>
      <c r="D699" s="11"/>
      <c r="E699" s="11"/>
      <c r="F699" s="1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3"/>
      <c r="C700" s="11"/>
      <c r="D700" s="11"/>
      <c r="E700" s="11"/>
      <c r="F700" s="1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3"/>
      <c r="C701" s="11"/>
      <c r="D701" s="11"/>
      <c r="E701" s="11"/>
      <c r="F701" s="1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3"/>
      <c r="C702" s="11"/>
      <c r="D702" s="11"/>
      <c r="E702" s="11"/>
      <c r="F702" s="1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3"/>
      <c r="C703" s="11"/>
      <c r="D703" s="11"/>
      <c r="E703" s="11"/>
      <c r="F703" s="1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3"/>
      <c r="C704" s="11"/>
      <c r="D704" s="11"/>
      <c r="E704" s="11"/>
      <c r="F704" s="1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3"/>
      <c r="C705" s="11"/>
      <c r="D705" s="11"/>
      <c r="E705" s="11"/>
      <c r="F705" s="1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3"/>
      <c r="C706" s="11"/>
      <c r="D706" s="11"/>
      <c r="E706" s="11"/>
      <c r="F706" s="1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3"/>
      <c r="C707" s="11"/>
      <c r="D707" s="11"/>
      <c r="E707" s="11"/>
      <c r="F707" s="1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3"/>
      <c r="C708" s="11"/>
      <c r="D708" s="11"/>
      <c r="E708" s="11"/>
      <c r="F708" s="1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3"/>
      <c r="C709" s="11"/>
      <c r="D709" s="11"/>
      <c r="E709" s="11"/>
      <c r="F709" s="1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3"/>
      <c r="C710" s="11"/>
      <c r="D710" s="11"/>
      <c r="E710" s="11"/>
      <c r="F710" s="1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3"/>
      <c r="C711" s="11"/>
      <c r="D711" s="11"/>
      <c r="E711" s="11"/>
      <c r="F711" s="1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3"/>
      <c r="C712" s="11"/>
      <c r="D712" s="11"/>
      <c r="E712" s="11"/>
      <c r="F712" s="1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3"/>
      <c r="C713" s="11"/>
      <c r="D713" s="11"/>
      <c r="E713" s="11"/>
      <c r="F713" s="1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3"/>
      <c r="C714" s="11"/>
      <c r="D714" s="11"/>
      <c r="E714" s="11"/>
      <c r="F714" s="1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3"/>
      <c r="C715" s="11"/>
      <c r="D715" s="11"/>
      <c r="E715" s="11"/>
      <c r="F715" s="1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3"/>
      <c r="C716" s="11"/>
      <c r="D716" s="11"/>
      <c r="E716" s="11"/>
      <c r="F716" s="1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3"/>
      <c r="C717" s="11"/>
      <c r="D717" s="11"/>
      <c r="E717" s="11"/>
      <c r="F717" s="1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3"/>
      <c r="C718" s="11"/>
      <c r="D718" s="11"/>
      <c r="E718" s="11"/>
      <c r="F718" s="1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3"/>
      <c r="C719" s="11"/>
      <c r="D719" s="11"/>
      <c r="E719" s="11"/>
      <c r="F719" s="1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3"/>
      <c r="C720" s="11"/>
      <c r="D720" s="11"/>
      <c r="E720" s="11"/>
      <c r="F720" s="1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3"/>
      <c r="C721" s="11"/>
      <c r="D721" s="11"/>
      <c r="E721" s="11"/>
      <c r="F721" s="1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3"/>
      <c r="C722" s="11"/>
      <c r="D722" s="11"/>
      <c r="E722" s="11"/>
      <c r="F722" s="1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3"/>
      <c r="C723" s="11"/>
      <c r="D723" s="11"/>
      <c r="E723" s="11"/>
      <c r="F723" s="1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3"/>
      <c r="C724" s="11"/>
      <c r="D724" s="11"/>
      <c r="E724" s="11"/>
      <c r="F724" s="1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3"/>
      <c r="C725" s="11"/>
      <c r="D725" s="11"/>
      <c r="E725" s="11"/>
      <c r="F725" s="1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3"/>
      <c r="C726" s="11"/>
      <c r="D726" s="11"/>
      <c r="E726" s="11"/>
      <c r="F726" s="1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3"/>
      <c r="C727" s="11"/>
      <c r="D727" s="11"/>
      <c r="E727" s="11"/>
      <c r="F727" s="1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3"/>
      <c r="C728" s="11"/>
      <c r="D728" s="11"/>
      <c r="E728" s="11"/>
      <c r="F728" s="1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3"/>
      <c r="C729" s="11"/>
      <c r="D729" s="11"/>
      <c r="E729" s="11"/>
      <c r="F729" s="1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3"/>
      <c r="C730" s="11"/>
      <c r="D730" s="11"/>
      <c r="E730" s="11"/>
      <c r="F730" s="1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3"/>
      <c r="C731" s="11"/>
      <c r="D731" s="11"/>
      <c r="E731" s="11"/>
      <c r="F731" s="1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3"/>
      <c r="C732" s="11"/>
      <c r="D732" s="11"/>
      <c r="E732" s="11"/>
      <c r="F732" s="1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3"/>
      <c r="C733" s="11"/>
      <c r="D733" s="11"/>
      <c r="E733" s="11"/>
      <c r="F733" s="1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3"/>
      <c r="C734" s="11"/>
      <c r="D734" s="11"/>
      <c r="E734" s="11"/>
      <c r="F734" s="1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3"/>
      <c r="C735" s="11"/>
      <c r="D735" s="11"/>
      <c r="E735" s="11"/>
      <c r="F735" s="1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3"/>
      <c r="C736" s="11"/>
      <c r="D736" s="11"/>
      <c r="E736" s="11"/>
      <c r="F736" s="1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3"/>
      <c r="C737" s="11"/>
      <c r="D737" s="11"/>
      <c r="E737" s="11"/>
      <c r="F737" s="1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3"/>
      <c r="C738" s="11"/>
      <c r="D738" s="11"/>
      <c r="E738" s="11"/>
      <c r="F738" s="1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3"/>
      <c r="C739" s="11"/>
      <c r="D739" s="11"/>
      <c r="E739" s="11"/>
      <c r="F739" s="1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3"/>
      <c r="C740" s="11"/>
      <c r="D740" s="11"/>
      <c r="E740" s="11"/>
      <c r="F740" s="1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3"/>
      <c r="C741" s="11"/>
      <c r="D741" s="11"/>
      <c r="E741" s="11"/>
      <c r="F741" s="1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3"/>
      <c r="C742" s="11"/>
      <c r="D742" s="11"/>
      <c r="E742" s="11"/>
      <c r="F742" s="1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3"/>
      <c r="C743" s="11"/>
      <c r="D743" s="11"/>
      <c r="E743" s="11"/>
      <c r="F743" s="1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3"/>
      <c r="C744" s="11"/>
      <c r="D744" s="11"/>
      <c r="E744" s="11"/>
      <c r="F744" s="1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3"/>
      <c r="C745" s="11"/>
      <c r="D745" s="11"/>
      <c r="E745" s="11"/>
      <c r="F745" s="1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3"/>
      <c r="C746" s="11"/>
      <c r="D746" s="11"/>
      <c r="E746" s="11"/>
      <c r="F746" s="1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3"/>
      <c r="C747" s="11"/>
      <c r="D747" s="11"/>
      <c r="E747" s="11"/>
      <c r="F747" s="1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3"/>
      <c r="C748" s="11"/>
      <c r="D748" s="11"/>
      <c r="E748" s="11"/>
      <c r="F748" s="1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3"/>
      <c r="C749" s="11"/>
      <c r="D749" s="11"/>
      <c r="E749" s="11"/>
      <c r="F749" s="1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3"/>
      <c r="C750" s="11"/>
      <c r="D750" s="11"/>
      <c r="E750" s="11"/>
      <c r="F750" s="1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3"/>
      <c r="C751" s="11"/>
      <c r="D751" s="11"/>
      <c r="E751" s="11"/>
      <c r="F751" s="1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3"/>
      <c r="C752" s="11"/>
      <c r="D752" s="11"/>
      <c r="E752" s="11"/>
      <c r="F752" s="1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3"/>
      <c r="C753" s="11"/>
      <c r="D753" s="11"/>
      <c r="E753" s="11"/>
      <c r="F753" s="1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3"/>
      <c r="C754" s="11"/>
      <c r="D754" s="11"/>
      <c r="E754" s="11"/>
      <c r="F754" s="1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3"/>
      <c r="C755" s="11"/>
      <c r="D755" s="11"/>
      <c r="E755" s="11"/>
      <c r="F755" s="1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3"/>
      <c r="C756" s="11"/>
      <c r="D756" s="11"/>
      <c r="E756" s="11"/>
      <c r="F756" s="1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3"/>
      <c r="C757" s="11"/>
      <c r="D757" s="11"/>
      <c r="E757" s="11"/>
      <c r="F757" s="1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3"/>
      <c r="C758" s="11"/>
      <c r="D758" s="11"/>
      <c r="E758" s="11"/>
      <c r="F758" s="1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3"/>
      <c r="C759" s="11"/>
      <c r="D759" s="11"/>
      <c r="E759" s="11"/>
      <c r="F759" s="1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3"/>
      <c r="C760" s="11"/>
      <c r="D760" s="11"/>
      <c r="E760" s="11"/>
      <c r="F760" s="1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3"/>
      <c r="C761" s="11"/>
      <c r="D761" s="11"/>
      <c r="E761" s="11"/>
      <c r="F761" s="1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3"/>
      <c r="C762" s="11"/>
      <c r="D762" s="11"/>
      <c r="E762" s="11"/>
      <c r="F762" s="1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3"/>
      <c r="C763" s="11"/>
      <c r="D763" s="11"/>
      <c r="E763" s="11"/>
      <c r="F763" s="1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3"/>
      <c r="C764" s="11"/>
      <c r="D764" s="11"/>
      <c r="E764" s="11"/>
      <c r="F764" s="1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3"/>
      <c r="C765" s="11"/>
      <c r="D765" s="11"/>
      <c r="E765" s="11"/>
      <c r="F765" s="1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3"/>
      <c r="C766" s="11"/>
      <c r="D766" s="11"/>
      <c r="E766" s="11"/>
      <c r="F766" s="1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3"/>
      <c r="C767" s="11"/>
      <c r="D767" s="11"/>
      <c r="E767" s="11"/>
      <c r="F767" s="1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3"/>
      <c r="C768" s="11"/>
      <c r="D768" s="11"/>
      <c r="E768" s="11"/>
      <c r="F768" s="1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3"/>
      <c r="C769" s="11"/>
      <c r="D769" s="11"/>
      <c r="E769" s="11"/>
      <c r="F769" s="1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3"/>
      <c r="C770" s="11"/>
      <c r="D770" s="11"/>
      <c r="E770" s="11"/>
      <c r="F770" s="1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3"/>
      <c r="C771" s="11"/>
      <c r="D771" s="11"/>
      <c r="E771" s="11"/>
      <c r="F771" s="1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3"/>
      <c r="C772" s="11"/>
      <c r="D772" s="11"/>
      <c r="E772" s="11"/>
      <c r="F772" s="1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3"/>
      <c r="C773" s="11"/>
      <c r="D773" s="11"/>
      <c r="E773" s="11"/>
      <c r="F773" s="1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3"/>
      <c r="C774" s="11"/>
      <c r="D774" s="11"/>
      <c r="E774" s="11"/>
      <c r="F774" s="1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3"/>
      <c r="C775" s="11"/>
      <c r="D775" s="11"/>
      <c r="E775" s="11"/>
      <c r="F775" s="1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3"/>
      <c r="C776" s="11"/>
      <c r="D776" s="11"/>
      <c r="E776" s="11"/>
      <c r="F776" s="1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3"/>
      <c r="C777" s="11"/>
      <c r="D777" s="11"/>
      <c r="E777" s="11"/>
      <c r="F777" s="1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3"/>
      <c r="C778" s="11"/>
      <c r="D778" s="11"/>
      <c r="E778" s="11"/>
      <c r="F778" s="1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3"/>
      <c r="C779" s="11"/>
      <c r="D779" s="11"/>
      <c r="E779" s="11"/>
      <c r="F779" s="1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3"/>
      <c r="C780" s="11"/>
      <c r="D780" s="11"/>
      <c r="E780" s="11"/>
      <c r="F780" s="1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3"/>
      <c r="C781" s="11"/>
      <c r="D781" s="11"/>
      <c r="E781" s="11"/>
      <c r="F781" s="1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3"/>
      <c r="C782" s="11"/>
      <c r="D782" s="11"/>
      <c r="E782" s="11"/>
      <c r="F782" s="1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3"/>
      <c r="C783" s="11"/>
      <c r="D783" s="11"/>
      <c r="E783" s="11"/>
      <c r="F783" s="1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3"/>
      <c r="C784" s="11"/>
      <c r="D784" s="11"/>
      <c r="E784" s="11"/>
      <c r="F784" s="1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3"/>
      <c r="C785" s="11"/>
      <c r="D785" s="11"/>
      <c r="E785" s="11"/>
      <c r="F785" s="1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3"/>
      <c r="C786" s="11"/>
      <c r="D786" s="11"/>
      <c r="E786" s="11"/>
      <c r="F786" s="1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3"/>
      <c r="C787" s="11"/>
      <c r="D787" s="11"/>
      <c r="E787" s="11"/>
      <c r="F787" s="1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3"/>
      <c r="C788" s="11"/>
      <c r="D788" s="11"/>
      <c r="E788" s="11"/>
      <c r="F788" s="1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3"/>
      <c r="C789" s="11"/>
      <c r="D789" s="11"/>
      <c r="E789" s="11"/>
      <c r="F789" s="1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3"/>
      <c r="C790" s="11"/>
      <c r="D790" s="11"/>
      <c r="E790" s="11"/>
      <c r="F790" s="1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3"/>
      <c r="C791" s="11"/>
      <c r="D791" s="11"/>
      <c r="E791" s="11"/>
      <c r="F791" s="1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3"/>
      <c r="C792" s="11"/>
      <c r="D792" s="11"/>
      <c r="E792" s="11"/>
      <c r="F792" s="1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3"/>
      <c r="C793" s="11"/>
      <c r="D793" s="11"/>
      <c r="E793" s="11"/>
      <c r="F793" s="1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3"/>
      <c r="C794" s="11"/>
      <c r="D794" s="11"/>
      <c r="E794" s="11"/>
      <c r="F794" s="1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3"/>
      <c r="C795" s="11"/>
      <c r="D795" s="11"/>
      <c r="E795" s="11"/>
      <c r="F795" s="1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3"/>
      <c r="C796" s="11"/>
      <c r="D796" s="11"/>
      <c r="E796" s="11"/>
      <c r="F796" s="1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3"/>
      <c r="C797" s="11"/>
      <c r="D797" s="11"/>
      <c r="E797" s="11"/>
      <c r="F797" s="1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3"/>
      <c r="C798" s="11"/>
      <c r="D798" s="11"/>
      <c r="E798" s="11"/>
      <c r="F798" s="1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3"/>
      <c r="C799" s="11"/>
      <c r="D799" s="11"/>
      <c r="E799" s="11"/>
      <c r="F799" s="1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3"/>
      <c r="C800" s="11"/>
      <c r="D800" s="11"/>
      <c r="E800" s="11"/>
      <c r="F800" s="1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3"/>
      <c r="C801" s="11"/>
      <c r="D801" s="11"/>
      <c r="E801" s="11"/>
      <c r="F801" s="1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3"/>
      <c r="C802" s="11"/>
      <c r="D802" s="11"/>
      <c r="E802" s="11"/>
      <c r="F802" s="1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3"/>
      <c r="C803" s="11"/>
      <c r="D803" s="11"/>
      <c r="E803" s="11"/>
      <c r="F803" s="1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3"/>
      <c r="C804" s="11"/>
      <c r="D804" s="11"/>
      <c r="E804" s="11"/>
      <c r="F804" s="1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3"/>
      <c r="C805" s="11"/>
      <c r="D805" s="11"/>
      <c r="E805" s="11"/>
      <c r="F805" s="1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3"/>
      <c r="C806" s="11"/>
      <c r="D806" s="11"/>
      <c r="E806" s="11"/>
      <c r="F806" s="1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3"/>
      <c r="C807" s="11"/>
      <c r="D807" s="11"/>
      <c r="E807" s="11"/>
      <c r="F807" s="1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3"/>
      <c r="C808" s="11"/>
      <c r="D808" s="11"/>
      <c r="E808" s="11"/>
      <c r="F808" s="1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3"/>
      <c r="C809" s="11"/>
      <c r="D809" s="11"/>
      <c r="E809" s="11"/>
      <c r="F809" s="1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3"/>
      <c r="C810" s="11"/>
      <c r="D810" s="11"/>
      <c r="E810" s="11"/>
      <c r="F810" s="1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3"/>
      <c r="C811" s="11"/>
      <c r="D811" s="11"/>
      <c r="E811" s="11"/>
      <c r="F811" s="1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3"/>
      <c r="C812" s="11"/>
      <c r="D812" s="11"/>
      <c r="E812" s="11"/>
      <c r="F812" s="1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3"/>
      <c r="C813" s="11"/>
      <c r="D813" s="11"/>
      <c r="E813" s="11"/>
      <c r="F813" s="1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3"/>
      <c r="C814" s="11"/>
      <c r="D814" s="11"/>
      <c r="E814" s="11"/>
      <c r="F814" s="1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3"/>
      <c r="C815" s="11"/>
      <c r="D815" s="11"/>
      <c r="E815" s="11"/>
      <c r="F815" s="1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3"/>
      <c r="C816" s="11"/>
      <c r="D816" s="11"/>
      <c r="E816" s="11"/>
      <c r="F816" s="1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3"/>
      <c r="C817" s="11"/>
      <c r="D817" s="11"/>
      <c r="E817" s="11"/>
      <c r="F817" s="1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3"/>
      <c r="C818" s="11"/>
      <c r="D818" s="11"/>
      <c r="E818" s="11"/>
      <c r="F818" s="1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3"/>
      <c r="C819" s="11"/>
      <c r="D819" s="11"/>
      <c r="E819" s="11"/>
      <c r="F819" s="1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3"/>
      <c r="C820" s="11"/>
      <c r="D820" s="11"/>
      <c r="E820" s="11"/>
      <c r="F820" s="1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3"/>
      <c r="C821" s="11"/>
      <c r="D821" s="11"/>
      <c r="E821" s="11"/>
      <c r="F821" s="1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3"/>
      <c r="C822" s="11"/>
      <c r="D822" s="11"/>
      <c r="E822" s="11"/>
      <c r="F822" s="1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3"/>
      <c r="C823" s="11"/>
      <c r="D823" s="11"/>
      <c r="E823" s="11"/>
      <c r="F823" s="1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3"/>
      <c r="C824" s="11"/>
      <c r="D824" s="11"/>
      <c r="E824" s="11"/>
      <c r="F824" s="1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3"/>
      <c r="C825" s="11"/>
      <c r="D825" s="11"/>
      <c r="E825" s="11"/>
      <c r="F825" s="1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3"/>
      <c r="C826" s="11"/>
      <c r="D826" s="11"/>
      <c r="E826" s="11"/>
      <c r="F826" s="1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3"/>
      <c r="C827" s="11"/>
      <c r="D827" s="11"/>
      <c r="E827" s="11"/>
      <c r="F827" s="1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3"/>
      <c r="C828" s="11"/>
      <c r="D828" s="11"/>
      <c r="E828" s="11"/>
      <c r="F828" s="1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3"/>
      <c r="C829" s="11"/>
      <c r="D829" s="11"/>
      <c r="E829" s="11"/>
      <c r="F829" s="1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3"/>
      <c r="C830" s="11"/>
      <c r="D830" s="11"/>
      <c r="E830" s="11"/>
      <c r="F830" s="1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3"/>
      <c r="C831" s="11"/>
      <c r="D831" s="11"/>
      <c r="E831" s="11"/>
      <c r="F831" s="1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3"/>
      <c r="C832" s="11"/>
      <c r="D832" s="11"/>
      <c r="E832" s="11"/>
      <c r="F832" s="1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3"/>
      <c r="C833" s="11"/>
      <c r="D833" s="11"/>
      <c r="E833" s="11"/>
      <c r="F833" s="1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3"/>
      <c r="C834" s="11"/>
      <c r="D834" s="11"/>
      <c r="E834" s="11"/>
      <c r="F834" s="1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3"/>
      <c r="C835" s="11"/>
      <c r="D835" s="11"/>
      <c r="E835" s="11"/>
      <c r="F835" s="1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3"/>
      <c r="C836" s="11"/>
      <c r="D836" s="11"/>
      <c r="E836" s="11"/>
      <c r="F836" s="1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3"/>
      <c r="C837" s="11"/>
      <c r="D837" s="11"/>
      <c r="E837" s="11"/>
      <c r="F837" s="1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3"/>
      <c r="C838" s="11"/>
      <c r="D838" s="11"/>
      <c r="E838" s="11"/>
      <c r="F838" s="1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3"/>
      <c r="C839" s="11"/>
      <c r="D839" s="11"/>
      <c r="E839" s="11"/>
      <c r="F839" s="1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3"/>
      <c r="C840" s="11"/>
      <c r="D840" s="11"/>
      <c r="E840" s="11"/>
      <c r="F840" s="1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3"/>
      <c r="C841" s="11"/>
      <c r="D841" s="11"/>
      <c r="E841" s="11"/>
      <c r="F841" s="1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3"/>
      <c r="C842" s="11"/>
      <c r="D842" s="11"/>
      <c r="E842" s="11"/>
      <c r="F842" s="1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3"/>
      <c r="C843" s="11"/>
      <c r="D843" s="11"/>
      <c r="E843" s="11"/>
      <c r="F843" s="1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3"/>
      <c r="C844" s="11"/>
      <c r="D844" s="11"/>
      <c r="E844" s="11"/>
      <c r="F844" s="1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3"/>
      <c r="C845" s="11"/>
      <c r="D845" s="11"/>
      <c r="E845" s="11"/>
      <c r="F845" s="1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3"/>
      <c r="C846" s="11"/>
      <c r="D846" s="11"/>
      <c r="E846" s="11"/>
      <c r="F846" s="1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3"/>
      <c r="C847" s="11"/>
      <c r="D847" s="11"/>
      <c r="E847" s="11"/>
      <c r="F847" s="1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3"/>
      <c r="C848" s="11"/>
      <c r="D848" s="11"/>
      <c r="E848" s="11"/>
      <c r="F848" s="1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3"/>
      <c r="C849" s="11"/>
      <c r="D849" s="11"/>
      <c r="E849" s="11"/>
      <c r="F849" s="1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3"/>
      <c r="C850" s="11"/>
      <c r="D850" s="11"/>
      <c r="E850" s="11"/>
      <c r="F850" s="1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3"/>
      <c r="C851" s="11"/>
      <c r="D851" s="11"/>
      <c r="E851" s="11"/>
      <c r="F851" s="1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3"/>
      <c r="C852" s="11"/>
      <c r="D852" s="11"/>
      <c r="E852" s="11"/>
      <c r="F852" s="1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3"/>
      <c r="C853" s="11"/>
      <c r="D853" s="11"/>
      <c r="E853" s="11"/>
      <c r="F853" s="1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3"/>
      <c r="C854" s="11"/>
      <c r="D854" s="11"/>
      <c r="E854" s="11"/>
      <c r="F854" s="1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3"/>
      <c r="C855" s="11"/>
      <c r="D855" s="11"/>
      <c r="E855" s="11"/>
      <c r="F855" s="1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3"/>
      <c r="C856" s="11"/>
      <c r="D856" s="11"/>
      <c r="E856" s="11"/>
      <c r="F856" s="1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3"/>
      <c r="C857" s="11"/>
      <c r="D857" s="11"/>
      <c r="E857" s="11"/>
      <c r="F857" s="1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3"/>
      <c r="C858" s="11"/>
      <c r="D858" s="11"/>
      <c r="E858" s="11"/>
      <c r="F858" s="1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3"/>
      <c r="C859" s="11"/>
      <c r="D859" s="11"/>
      <c r="E859" s="11"/>
      <c r="F859" s="1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3"/>
      <c r="C860" s="11"/>
      <c r="D860" s="11"/>
      <c r="E860" s="11"/>
      <c r="F860" s="1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3"/>
      <c r="C861" s="11"/>
      <c r="D861" s="11"/>
      <c r="E861" s="11"/>
      <c r="F861" s="1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3"/>
      <c r="C862" s="11"/>
      <c r="D862" s="11"/>
      <c r="E862" s="11"/>
      <c r="F862" s="1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3"/>
      <c r="C863" s="11"/>
      <c r="D863" s="11"/>
      <c r="E863" s="11"/>
      <c r="F863" s="1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3"/>
      <c r="C864" s="11"/>
      <c r="D864" s="11"/>
      <c r="E864" s="11"/>
      <c r="F864" s="1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3"/>
      <c r="C865" s="11"/>
      <c r="D865" s="11"/>
      <c r="E865" s="11"/>
      <c r="F865" s="1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3"/>
      <c r="C866" s="11"/>
      <c r="D866" s="11"/>
      <c r="E866" s="11"/>
      <c r="F866" s="1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3"/>
      <c r="C867" s="11"/>
      <c r="D867" s="11"/>
      <c r="E867" s="11"/>
      <c r="F867" s="1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3"/>
      <c r="C868" s="11"/>
      <c r="D868" s="11"/>
      <c r="E868" s="11"/>
      <c r="F868" s="1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3"/>
      <c r="C869" s="11"/>
      <c r="D869" s="11"/>
      <c r="E869" s="11"/>
      <c r="F869" s="1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3"/>
      <c r="C870" s="11"/>
      <c r="D870" s="11"/>
      <c r="E870" s="11"/>
      <c r="F870" s="1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3"/>
      <c r="C871" s="11"/>
      <c r="D871" s="11"/>
      <c r="E871" s="11"/>
      <c r="F871" s="1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3"/>
      <c r="C872" s="11"/>
      <c r="D872" s="11"/>
      <c r="E872" s="11"/>
      <c r="F872" s="1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3"/>
      <c r="C873" s="11"/>
      <c r="D873" s="11"/>
      <c r="E873" s="11"/>
      <c r="F873" s="1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3"/>
      <c r="C874" s="11"/>
      <c r="D874" s="11"/>
      <c r="E874" s="11"/>
      <c r="F874" s="1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3"/>
      <c r="C875" s="11"/>
      <c r="D875" s="11"/>
      <c r="E875" s="11"/>
      <c r="F875" s="1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3"/>
      <c r="C876" s="11"/>
      <c r="D876" s="11"/>
      <c r="E876" s="11"/>
      <c r="F876" s="1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3"/>
      <c r="C877" s="11"/>
      <c r="D877" s="11"/>
      <c r="E877" s="11"/>
      <c r="F877" s="1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3"/>
      <c r="C878" s="11"/>
      <c r="D878" s="11"/>
      <c r="E878" s="11"/>
      <c r="F878" s="1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3"/>
      <c r="C879" s="11"/>
      <c r="D879" s="11"/>
      <c r="E879" s="11"/>
      <c r="F879" s="1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3"/>
      <c r="C880" s="11"/>
      <c r="D880" s="11"/>
      <c r="E880" s="11"/>
      <c r="F880" s="1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3"/>
      <c r="C881" s="11"/>
      <c r="D881" s="11"/>
      <c r="E881" s="11"/>
      <c r="F881" s="1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3"/>
      <c r="C882" s="11"/>
      <c r="D882" s="11"/>
      <c r="E882" s="11"/>
      <c r="F882" s="1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3"/>
      <c r="C883" s="11"/>
      <c r="D883" s="11"/>
      <c r="E883" s="11"/>
      <c r="F883" s="1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3"/>
      <c r="C884" s="11"/>
      <c r="D884" s="11"/>
      <c r="E884" s="11"/>
      <c r="F884" s="1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3"/>
      <c r="C885" s="11"/>
      <c r="D885" s="11"/>
      <c r="E885" s="11"/>
      <c r="F885" s="1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3"/>
      <c r="C886" s="11"/>
      <c r="D886" s="11"/>
      <c r="E886" s="11"/>
      <c r="F886" s="1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3"/>
      <c r="C887" s="11"/>
      <c r="D887" s="11"/>
      <c r="E887" s="11"/>
      <c r="F887" s="1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3"/>
      <c r="C888" s="11"/>
      <c r="D888" s="11"/>
      <c r="E888" s="11"/>
      <c r="F888" s="1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3"/>
      <c r="C889" s="11"/>
      <c r="D889" s="11"/>
      <c r="E889" s="11"/>
      <c r="F889" s="1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3"/>
      <c r="C890" s="11"/>
      <c r="D890" s="11"/>
      <c r="E890" s="11"/>
      <c r="F890" s="1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3"/>
      <c r="C891" s="11"/>
      <c r="D891" s="11"/>
      <c r="E891" s="11"/>
      <c r="F891" s="1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3"/>
      <c r="C892" s="11"/>
      <c r="D892" s="11"/>
      <c r="E892" s="11"/>
      <c r="F892" s="1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3"/>
      <c r="C893" s="11"/>
      <c r="D893" s="11"/>
      <c r="E893" s="11"/>
      <c r="F893" s="1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3"/>
      <c r="C894" s="11"/>
      <c r="D894" s="11"/>
      <c r="E894" s="11"/>
      <c r="F894" s="1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3"/>
      <c r="C895" s="11"/>
      <c r="D895" s="11"/>
      <c r="E895" s="11"/>
      <c r="F895" s="1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3"/>
      <c r="C896" s="11"/>
      <c r="D896" s="11"/>
      <c r="E896" s="11"/>
      <c r="F896" s="1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3"/>
      <c r="C897" s="11"/>
      <c r="D897" s="11"/>
      <c r="E897" s="11"/>
      <c r="F897" s="1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3"/>
      <c r="C898" s="11"/>
      <c r="D898" s="11"/>
      <c r="E898" s="11"/>
      <c r="F898" s="1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3"/>
      <c r="C899" s="11"/>
      <c r="D899" s="11"/>
      <c r="E899" s="11"/>
      <c r="F899" s="1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3"/>
      <c r="C900" s="11"/>
      <c r="D900" s="11"/>
      <c r="E900" s="11"/>
      <c r="F900" s="1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3"/>
      <c r="C901" s="11"/>
      <c r="D901" s="11"/>
      <c r="E901" s="11"/>
      <c r="F901" s="1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3"/>
      <c r="C902" s="11"/>
      <c r="D902" s="11"/>
      <c r="E902" s="11"/>
      <c r="F902" s="1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3"/>
      <c r="C903" s="11"/>
      <c r="D903" s="11"/>
      <c r="E903" s="11"/>
      <c r="F903" s="1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3"/>
      <c r="C904" s="11"/>
      <c r="D904" s="11"/>
      <c r="E904" s="11"/>
      <c r="F904" s="1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3"/>
      <c r="C905" s="11"/>
      <c r="D905" s="11"/>
      <c r="E905" s="11"/>
      <c r="F905" s="1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3"/>
      <c r="C906" s="11"/>
      <c r="D906" s="11"/>
      <c r="E906" s="11"/>
      <c r="F906" s="1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3"/>
      <c r="C907" s="11"/>
      <c r="D907" s="11"/>
      <c r="E907" s="11"/>
      <c r="F907" s="1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3"/>
      <c r="C908" s="11"/>
      <c r="D908" s="11"/>
      <c r="E908" s="11"/>
      <c r="F908" s="1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3"/>
      <c r="C909" s="11"/>
      <c r="D909" s="11"/>
      <c r="E909" s="11"/>
      <c r="F909" s="1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3"/>
      <c r="C910" s="11"/>
      <c r="D910" s="11"/>
      <c r="E910" s="11"/>
      <c r="F910" s="1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3"/>
      <c r="C911" s="11"/>
      <c r="D911" s="11"/>
      <c r="E911" s="11"/>
      <c r="F911" s="1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3"/>
      <c r="C912" s="11"/>
      <c r="D912" s="11"/>
      <c r="E912" s="11"/>
      <c r="F912" s="1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3"/>
      <c r="C913" s="11"/>
      <c r="D913" s="11"/>
      <c r="E913" s="11"/>
      <c r="F913" s="1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3"/>
      <c r="C914" s="11"/>
      <c r="D914" s="11"/>
      <c r="E914" s="11"/>
      <c r="F914" s="1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3"/>
      <c r="C915" s="11"/>
      <c r="D915" s="11"/>
      <c r="E915" s="11"/>
      <c r="F915" s="1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3"/>
      <c r="C916" s="11"/>
      <c r="D916" s="11"/>
      <c r="E916" s="11"/>
      <c r="F916" s="1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3"/>
      <c r="C917" s="11"/>
      <c r="D917" s="11"/>
      <c r="E917" s="11"/>
      <c r="F917" s="1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3"/>
      <c r="C918" s="11"/>
      <c r="D918" s="11"/>
      <c r="E918" s="11"/>
      <c r="F918" s="1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3"/>
      <c r="C919" s="11"/>
      <c r="D919" s="11"/>
      <c r="E919" s="11"/>
      <c r="F919" s="1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3"/>
      <c r="C920" s="11"/>
      <c r="D920" s="11"/>
      <c r="E920" s="11"/>
      <c r="F920" s="1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3"/>
      <c r="C921" s="11"/>
      <c r="D921" s="11"/>
      <c r="E921" s="11"/>
      <c r="F921" s="1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3"/>
      <c r="C922" s="11"/>
      <c r="D922" s="11"/>
      <c r="E922" s="11"/>
      <c r="F922" s="1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3"/>
      <c r="C923" s="11"/>
      <c r="D923" s="11"/>
      <c r="E923" s="11"/>
      <c r="F923" s="1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3"/>
      <c r="C924" s="11"/>
      <c r="D924" s="11"/>
      <c r="E924" s="11"/>
      <c r="F924" s="1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3"/>
      <c r="C925" s="11"/>
      <c r="D925" s="11"/>
      <c r="E925" s="11"/>
      <c r="F925" s="1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3"/>
      <c r="C926" s="11"/>
      <c r="D926" s="11"/>
      <c r="E926" s="11"/>
      <c r="F926" s="1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3"/>
      <c r="C927" s="11"/>
      <c r="D927" s="11"/>
      <c r="E927" s="11"/>
      <c r="F927" s="1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3"/>
      <c r="C928" s="11"/>
      <c r="D928" s="11"/>
      <c r="E928" s="11"/>
      <c r="F928" s="1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3"/>
      <c r="C929" s="11"/>
      <c r="D929" s="11"/>
      <c r="E929" s="11"/>
      <c r="F929" s="1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3"/>
      <c r="C930" s="11"/>
      <c r="D930" s="11"/>
      <c r="E930" s="11"/>
      <c r="F930" s="1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3"/>
      <c r="C931" s="11"/>
      <c r="D931" s="11"/>
      <c r="E931" s="11"/>
      <c r="F931" s="1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3"/>
      <c r="C932" s="11"/>
      <c r="D932" s="11"/>
      <c r="E932" s="11"/>
      <c r="F932" s="1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3"/>
      <c r="C933" s="11"/>
      <c r="D933" s="11"/>
      <c r="E933" s="11"/>
      <c r="F933" s="1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3"/>
      <c r="C934" s="11"/>
      <c r="D934" s="11"/>
      <c r="E934" s="11"/>
      <c r="F934" s="1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3"/>
      <c r="C935" s="11"/>
      <c r="D935" s="11"/>
      <c r="E935" s="11"/>
      <c r="F935" s="1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3"/>
      <c r="C936" s="11"/>
      <c r="D936" s="11"/>
      <c r="E936" s="11"/>
      <c r="F936" s="1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3"/>
      <c r="C937" s="11"/>
      <c r="D937" s="11"/>
      <c r="E937" s="11"/>
      <c r="F937" s="1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3"/>
      <c r="C938" s="11"/>
      <c r="D938" s="11"/>
      <c r="E938" s="11"/>
      <c r="F938" s="1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3"/>
      <c r="C939" s="11"/>
      <c r="D939" s="11"/>
      <c r="E939" s="11"/>
      <c r="F939" s="1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3"/>
      <c r="C940" s="11"/>
      <c r="D940" s="11"/>
      <c r="E940" s="11"/>
      <c r="F940" s="1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3"/>
      <c r="C941" s="11"/>
      <c r="D941" s="11"/>
      <c r="E941" s="11"/>
      <c r="F941" s="1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3"/>
      <c r="C942" s="11"/>
      <c r="D942" s="11"/>
      <c r="E942" s="11"/>
      <c r="F942" s="1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3"/>
      <c r="C943" s="11"/>
      <c r="D943" s="11"/>
      <c r="E943" s="11"/>
      <c r="F943" s="1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3"/>
      <c r="C944" s="11"/>
      <c r="D944" s="11"/>
      <c r="E944" s="11"/>
      <c r="F944" s="1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3"/>
      <c r="C945" s="11"/>
      <c r="D945" s="11"/>
      <c r="E945" s="11"/>
      <c r="F945" s="1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3"/>
      <c r="C946" s="11"/>
      <c r="D946" s="11"/>
      <c r="E946" s="11"/>
      <c r="F946" s="1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3"/>
      <c r="C947" s="11"/>
      <c r="D947" s="11"/>
      <c r="E947" s="11"/>
      <c r="F947" s="1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3"/>
      <c r="C948" s="11"/>
      <c r="D948" s="11"/>
      <c r="E948" s="11"/>
      <c r="F948" s="1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3"/>
      <c r="C949" s="11"/>
      <c r="D949" s="11"/>
      <c r="E949" s="11"/>
      <c r="F949" s="1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3"/>
      <c r="C950" s="11"/>
      <c r="D950" s="11"/>
      <c r="E950" s="11"/>
      <c r="F950" s="1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3"/>
      <c r="C951" s="11"/>
      <c r="D951" s="11"/>
      <c r="E951" s="11"/>
      <c r="F951" s="1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3"/>
      <c r="C952" s="11"/>
      <c r="D952" s="11"/>
      <c r="E952" s="11"/>
      <c r="F952" s="1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3"/>
      <c r="C953" s="11"/>
      <c r="D953" s="11"/>
      <c r="E953" s="11"/>
      <c r="F953" s="1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3"/>
      <c r="C954" s="11"/>
      <c r="D954" s="11"/>
      <c r="E954" s="11"/>
      <c r="F954" s="1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3"/>
      <c r="C955" s="11"/>
      <c r="D955" s="11"/>
      <c r="E955" s="11"/>
      <c r="F955" s="1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3"/>
      <c r="C956" s="11"/>
      <c r="D956" s="11"/>
      <c r="E956" s="11"/>
      <c r="F956" s="1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3"/>
      <c r="C957" s="11"/>
      <c r="D957" s="11"/>
      <c r="E957" s="11"/>
      <c r="F957" s="1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3"/>
      <c r="C958" s="11"/>
      <c r="D958" s="11"/>
      <c r="E958" s="11"/>
      <c r="F958" s="1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3"/>
      <c r="C959" s="11"/>
      <c r="D959" s="11"/>
      <c r="E959" s="11"/>
      <c r="F959" s="1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3"/>
      <c r="C960" s="11"/>
      <c r="D960" s="11"/>
      <c r="E960" s="11"/>
      <c r="F960" s="1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3"/>
      <c r="C961" s="11"/>
      <c r="D961" s="11"/>
      <c r="E961" s="11"/>
      <c r="F961" s="1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3"/>
      <c r="C962" s="11"/>
      <c r="D962" s="11"/>
      <c r="E962" s="11"/>
      <c r="F962" s="1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3"/>
      <c r="C963" s="11"/>
      <c r="D963" s="11"/>
      <c r="E963" s="11"/>
      <c r="F963" s="1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3"/>
      <c r="C964" s="11"/>
      <c r="D964" s="11"/>
      <c r="E964" s="11"/>
      <c r="F964" s="1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3"/>
      <c r="C965" s="11"/>
      <c r="D965" s="11"/>
      <c r="E965" s="11"/>
      <c r="F965" s="1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3"/>
      <c r="C966" s="11"/>
      <c r="D966" s="11"/>
      <c r="E966" s="11"/>
      <c r="F966" s="1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3"/>
      <c r="C967" s="11"/>
      <c r="D967" s="11"/>
      <c r="E967" s="11"/>
      <c r="F967" s="1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3"/>
      <c r="C968" s="11"/>
      <c r="D968" s="11"/>
      <c r="E968" s="11"/>
      <c r="F968" s="1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3"/>
      <c r="C969" s="11"/>
      <c r="D969" s="11"/>
      <c r="E969" s="11"/>
      <c r="F969" s="1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3"/>
      <c r="C970" s="11"/>
      <c r="D970" s="11"/>
      <c r="E970" s="11"/>
      <c r="F970" s="1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3"/>
      <c r="C971" s="11"/>
      <c r="D971" s="11"/>
      <c r="E971" s="11"/>
      <c r="F971" s="1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3"/>
      <c r="C972" s="11"/>
      <c r="D972" s="11"/>
      <c r="E972" s="11"/>
      <c r="F972" s="1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3"/>
      <c r="C973" s="11"/>
      <c r="D973" s="11"/>
      <c r="E973" s="11"/>
      <c r="F973" s="1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3"/>
      <c r="C974" s="11"/>
      <c r="D974" s="11"/>
      <c r="E974" s="11"/>
      <c r="F974" s="1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3"/>
      <c r="C975" s="11"/>
      <c r="D975" s="11"/>
      <c r="E975" s="11"/>
      <c r="F975" s="1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3"/>
      <c r="C976" s="11"/>
      <c r="D976" s="11"/>
      <c r="E976" s="11"/>
      <c r="F976" s="1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3"/>
      <c r="C977" s="11"/>
      <c r="D977" s="11"/>
      <c r="E977" s="11"/>
      <c r="F977" s="1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3"/>
      <c r="C978" s="11"/>
      <c r="D978" s="11"/>
      <c r="E978" s="11"/>
      <c r="F978" s="1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3"/>
      <c r="C979" s="11"/>
      <c r="D979" s="11"/>
      <c r="E979" s="11"/>
      <c r="F979" s="1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3"/>
      <c r="C980" s="11"/>
      <c r="D980" s="11"/>
      <c r="E980" s="11"/>
      <c r="F980" s="1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3"/>
      <c r="C981" s="11"/>
      <c r="D981" s="11"/>
      <c r="E981" s="11"/>
      <c r="F981" s="1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3"/>
      <c r="C982" s="11"/>
      <c r="D982" s="11"/>
      <c r="E982" s="11"/>
      <c r="F982" s="1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3"/>
      <c r="C983" s="11"/>
      <c r="D983" s="11"/>
      <c r="E983" s="11"/>
      <c r="F983" s="1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3"/>
      <c r="C984" s="11"/>
      <c r="D984" s="11"/>
      <c r="E984" s="11"/>
      <c r="F984" s="1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3"/>
      <c r="C985" s="11"/>
      <c r="D985" s="11"/>
      <c r="E985" s="11"/>
      <c r="F985" s="1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3"/>
      <c r="C986" s="11"/>
      <c r="D986" s="11"/>
      <c r="E986" s="11"/>
      <c r="F986" s="1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3"/>
      <c r="C987" s="11"/>
      <c r="D987" s="11"/>
      <c r="E987" s="11"/>
      <c r="F987" s="1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3"/>
      <c r="C988" s="11"/>
      <c r="D988" s="11"/>
      <c r="E988" s="11"/>
      <c r="F988" s="1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3"/>
      <c r="C989" s="11"/>
      <c r="D989" s="11"/>
      <c r="E989" s="11"/>
      <c r="F989" s="1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3"/>
      <c r="C990" s="11"/>
      <c r="D990" s="11"/>
      <c r="E990" s="11"/>
      <c r="F990" s="1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3"/>
      <c r="C991" s="11"/>
      <c r="D991" s="11"/>
      <c r="E991" s="11"/>
      <c r="F991" s="1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3"/>
      <c r="C992" s="11"/>
      <c r="D992" s="11"/>
      <c r="E992" s="11"/>
      <c r="F992" s="1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3"/>
      <c r="C993" s="11"/>
      <c r="D993" s="11"/>
      <c r="E993" s="11"/>
      <c r="F993" s="1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3"/>
      <c r="C994" s="11"/>
      <c r="D994" s="11"/>
      <c r="E994" s="11"/>
      <c r="F994" s="1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3"/>
      <c r="C995" s="11"/>
      <c r="D995" s="11"/>
      <c r="E995" s="11"/>
      <c r="F995" s="1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3"/>
      <c r="C996" s="11"/>
      <c r="D996" s="11"/>
      <c r="E996" s="11"/>
      <c r="F996" s="1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3"/>
      <c r="C997" s="11"/>
      <c r="D997" s="11"/>
      <c r="E997" s="11"/>
      <c r="F997" s="1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3"/>
      <c r="C998" s="11"/>
      <c r="D998" s="11"/>
      <c r="E998" s="11"/>
      <c r="F998" s="1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3"/>
      <c r="C999" s="11"/>
      <c r="D999" s="11"/>
      <c r="E999" s="11"/>
      <c r="F999" s="1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3"/>
      <c r="C1000" s="11"/>
      <c r="D1000" s="11"/>
      <c r="E1000" s="11"/>
      <c r="F1000" s="1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32.0"/>
    <col customWidth="1" min="4" max="6" width="11.63"/>
    <col customWidth="1" min="7" max="7" width="18.63"/>
    <col customWidth="1" min="8" max="8" width="35.5"/>
    <col customWidth="1" min="9" max="26" width="9.0"/>
  </cols>
  <sheetData>
    <row r="1" ht="25.5" customHeight="1">
      <c r="A1" s="2"/>
      <c r="B1" s="4" t="s">
        <v>0</v>
      </c>
      <c r="C1" s="6"/>
      <c r="D1" s="6"/>
      <c r="E1" s="6"/>
      <c r="F1" s="6"/>
      <c r="G1" s="6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6"/>
      <c r="B2" s="16"/>
      <c r="C2" s="2"/>
      <c r="D2" s="2"/>
      <c r="E2" s="2"/>
      <c r="F2" s="2"/>
      <c r="G2" s="2"/>
      <c r="H2" s="1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2"/>
      <c r="B3" s="28" t="s">
        <v>5</v>
      </c>
      <c r="C3" s="30" t="s">
        <v>7</v>
      </c>
      <c r="D3" s="14"/>
      <c r="E3" s="32" t="s">
        <v>8</v>
      </c>
      <c r="F3" s="14"/>
      <c r="G3" s="33" t="s">
        <v>9</v>
      </c>
      <c r="H3" s="3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2"/>
      <c r="B4" s="28" t="s">
        <v>10</v>
      </c>
      <c r="C4" s="30" t="s">
        <v>11</v>
      </c>
      <c r="D4" s="14"/>
      <c r="E4" s="32" t="s">
        <v>16</v>
      </c>
      <c r="F4" s="14"/>
      <c r="G4" s="44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2"/>
      <c r="B5" s="47" t="s">
        <v>15</v>
      </c>
      <c r="C5" s="50" t="str">
        <f>C4&amp;"_"&amp;"Test Report"&amp;"_"&amp;"v0.2"</f>
        <v>SU26SE038 / GSU26SE45_Test Report_v0.2</v>
      </c>
      <c r="D5" s="14"/>
      <c r="E5" s="32" t="s">
        <v>12</v>
      </c>
      <c r="F5" s="14"/>
      <c r="G5" s="33" t="s">
        <v>13</v>
      </c>
      <c r="H5" s="5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6"/>
      <c r="B6" s="47" t="s">
        <v>25</v>
      </c>
      <c r="C6" s="59"/>
      <c r="D6" s="12"/>
      <c r="E6" s="12"/>
      <c r="F6" s="12"/>
      <c r="G6" s="12"/>
      <c r="H6" s="1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6"/>
      <c r="B7" s="67"/>
      <c r="C7" s="68"/>
      <c r="D7" s="2"/>
      <c r="E7" s="2"/>
      <c r="F7" s="2"/>
      <c r="G7" s="2"/>
      <c r="H7" s="1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67"/>
      <c r="C8" s="68"/>
      <c r="D8" s="2"/>
      <c r="E8" s="2"/>
      <c r="F8" s="2"/>
      <c r="G8" s="2"/>
      <c r="H8" s="1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2"/>
      <c r="B10" s="93" t="s">
        <v>38</v>
      </c>
      <c r="C10" s="94" t="s">
        <v>47</v>
      </c>
      <c r="D10" s="96" t="s">
        <v>14</v>
      </c>
      <c r="E10" s="94" t="s">
        <v>20</v>
      </c>
      <c r="F10" s="94" t="s">
        <v>27</v>
      </c>
      <c r="G10" s="99" t="s">
        <v>33</v>
      </c>
      <c r="H10" s="100" t="s">
        <v>49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2"/>
      <c r="B11" s="103">
        <v>1.0</v>
      </c>
      <c r="C11" s="104" t="s">
        <v>4</v>
      </c>
      <c r="D11" s="105">
        <f>'Authentication &amp; Onboarding'!B6</f>
        <v>20</v>
      </c>
      <c r="E11" s="105">
        <f>'Authentication &amp; Onboarding'!C6</f>
        <v>0</v>
      </c>
      <c r="F11" s="105">
        <f>'Authentication &amp; Onboarding'!D6</f>
        <v>0</v>
      </c>
      <c r="G11" s="105">
        <f>'Authentication &amp; Onboarding'!E6</f>
        <v>0</v>
      </c>
      <c r="H11" s="110">
        <f>'Authentication &amp; Onboarding'!B4</f>
        <v>25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2"/>
      <c r="B12" s="103">
        <v>2.0</v>
      </c>
      <c r="C12" s="104" t="s">
        <v>55</v>
      </c>
      <c r="D12" s="105">
        <f>'Space &amp; Listing Management'!B6</f>
        <v>23</v>
      </c>
      <c r="E12" s="105">
        <f>'Space &amp; Listing Management'!C6</f>
        <v>0</v>
      </c>
      <c r="F12" s="105">
        <f>'Space &amp; Listing Management'!D6</f>
        <v>0</v>
      </c>
      <c r="G12" s="105">
        <f>'Space &amp; Listing Management'!E6</f>
        <v>2</v>
      </c>
      <c r="H12" s="105">
        <f>'Space &amp; Listing Management'!B4</f>
        <v>25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2"/>
      <c r="B13" s="103">
        <v>3.0</v>
      </c>
      <c r="C13" s="104" t="s">
        <v>58</v>
      </c>
      <c r="D13" s="114">
        <f>'Search &amp; Public Feed'!B6</f>
        <v>5</v>
      </c>
      <c r="E13" s="114">
        <f>'Search &amp; Public Feed'!C6</f>
        <v>0</v>
      </c>
      <c r="F13" s="114">
        <f>'Search &amp; Public Feed'!D6</f>
        <v>0</v>
      </c>
      <c r="G13" s="114">
        <f>'Search &amp; Public Feed'!E6</f>
        <v>1</v>
      </c>
      <c r="H13" s="114">
        <f>'Search &amp; Public Feed'!B4</f>
        <v>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2"/>
      <c r="B14" s="103">
        <v>4.0</v>
      </c>
      <c r="C14" s="104" t="s">
        <v>60</v>
      </c>
      <c r="D14" s="114">
        <f>'Booking &amp; Real-time Chat'!B6</f>
        <v>12</v>
      </c>
      <c r="E14" s="114">
        <f>'Booking &amp; Real-time Chat'!C6</f>
        <v>0</v>
      </c>
      <c r="F14" s="114">
        <f>'Booking &amp; Real-time Chat'!D6</f>
        <v>1</v>
      </c>
      <c r="G14" s="114">
        <f>'Booking &amp; Real-time Chat'!E6</f>
        <v>0</v>
      </c>
      <c r="H14" s="114">
        <f>'Booking &amp; Real-time Chat'!B4</f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2"/>
      <c r="B15" s="103">
        <v>5.0</v>
      </c>
      <c r="C15" s="104" t="s">
        <v>68</v>
      </c>
      <c r="D15" s="114">
        <f>'E-Contract &amp; OTP Signing'!B6</f>
        <v>11</v>
      </c>
      <c r="E15" s="114">
        <f>'E-Contract &amp; OTP Signing'!C6</f>
        <v>0</v>
      </c>
      <c r="F15" s="114">
        <f>'E-Contract &amp; OTP Signing'!D6</f>
        <v>0</v>
      </c>
      <c r="G15" s="114">
        <f>'E-Contract &amp; OTP Signing'!E6</f>
        <v>0</v>
      </c>
      <c r="H15" s="114">
        <f>'E-Contract &amp; OTP Signing'!B4</f>
        <v>11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2"/>
      <c r="B16" s="103">
        <v>6.0</v>
      </c>
      <c r="C16" s="104" t="s">
        <v>76</v>
      </c>
      <c r="D16" s="114">
        <f>'Time-based Scheduling &amp; Sub-Boo'!B6</f>
        <v>6</v>
      </c>
      <c r="E16" s="114">
        <f>'Time-based Scheduling &amp; Sub-Boo'!C6</f>
        <v>3</v>
      </c>
      <c r="F16" s="114">
        <f>'Time-based Scheduling &amp; Sub-Boo'!D6</f>
        <v>0</v>
      </c>
      <c r="G16" s="114">
        <f>'Time-based Scheduling &amp; Sub-Boo'!E6</f>
        <v>0</v>
      </c>
      <c r="H16" s="114">
        <f>'Time-based Scheduling &amp; Sub-Boo'!B4</f>
        <v>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2"/>
      <c r="B17" s="103">
        <v>7.0</v>
      </c>
      <c r="C17" s="104" t="s">
        <v>78</v>
      </c>
      <c r="D17" s="114">
        <f>'Tenant &amp; Contract Management '!B6</f>
        <v>2</v>
      </c>
      <c r="E17" s="114">
        <f>'Tenant &amp; Contract Management '!C6</f>
        <v>1</v>
      </c>
      <c r="F17" s="114">
        <f>'Tenant &amp; Contract Management '!D6</f>
        <v>0</v>
      </c>
      <c r="G17" s="114">
        <f>'Tenant &amp; Contract Management '!E6</f>
        <v>0</v>
      </c>
      <c r="H17" s="114">
        <f>'Tenant &amp; Contract Management '!B4</f>
        <v>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2"/>
      <c r="B18" s="103">
        <v>8.0</v>
      </c>
      <c r="C18" s="104" t="s">
        <v>85</v>
      </c>
      <c r="D18" s="114">
        <f>'Wallet &amp; Payment'!B6</f>
        <v>7</v>
      </c>
      <c r="E18" s="114">
        <f>'Wallet &amp; Payment'!C6</f>
        <v>1</v>
      </c>
      <c r="F18" s="114">
        <f>'Wallet &amp; Payment'!D6</f>
        <v>0</v>
      </c>
      <c r="G18" s="114">
        <f>'Wallet &amp; Payment'!E6</f>
        <v>0</v>
      </c>
      <c r="H18" s="114">
        <f>'Wallet &amp; Payment'!B4</f>
        <v>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92"/>
      <c r="B19" s="103">
        <v>9.0</v>
      </c>
      <c r="C19" s="104" t="s">
        <v>89</v>
      </c>
      <c r="D19" s="114">
        <f>'AI Image Editor'!B6</f>
        <v>4</v>
      </c>
      <c r="E19" s="114">
        <f>'AI Image Editor'!C6</f>
        <v>1</v>
      </c>
      <c r="F19" s="114">
        <f>'AI Image Editor'!D6</f>
        <v>0</v>
      </c>
      <c r="G19" s="114">
        <f>'AI Image Editor'!E6</f>
        <v>0</v>
      </c>
      <c r="H19" s="114">
        <f>'AI Image Editor'!B4</f>
        <v>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2"/>
      <c r="B20" s="103">
        <v>10.0</v>
      </c>
      <c r="C20" s="104" t="s">
        <v>97</v>
      </c>
      <c r="D20" s="114">
        <f>'Admin Dashboard'!B6</f>
        <v>9</v>
      </c>
      <c r="E20" s="114">
        <f>'Admin Dashboard'!C6</f>
        <v>1</v>
      </c>
      <c r="F20" s="114">
        <f>'Admin Dashboard'!D6</f>
        <v>0</v>
      </c>
      <c r="G20" s="114">
        <f>'Admin Dashboard'!E6</f>
        <v>0</v>
      </c>
      <c r="H20" s="114">
        <f>'Admin Dashboard'!B4</f>
        <v>10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2"/>
      <c r="B21" s="131"/>
      <c r="C21" s="132" t="s">
        <v>103</v>
      </c>
      <c r="D21" s="133">
        <f t="shared" ref="D21:H21" si="1">SUM(D9:D20)</f>
        <v>99</v>
      </c>
      <c r="E21" s="133">
        <f t="shared" si="1"/>
        <v>7</v>
      </c>
      <c r="F21" s="133">
        <f t="shared" si="1"/>
        <v>1</v>
      </c>
      <c r="G21" s="133">
        <f t="shared" si="1"/>
        <v>3</v>
      </c>
      <c r="H21" s="134">
        <f t="shared" si="1"/>
        <v>115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135"/>
      <c r="C22" s="2"/>
      <c r="D22" s="136"/>
      <c r="E22" s="137"/>
      <c r="F22" s="137"/>
      <c r="G22" s="137"/>
      <c r="H22" s="13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19" t="s">
        <v>112</v>
      </c>
      <c r="D23" s="2"/>
      <c r="E23" s="138">
        <f>(D21+E21)*100/(H21-G21)</f>
        <v>94.64285714</v>
      </c>
      <c r="F23" s="2" t="s">
        <v>116</v>
      </c>
      <c r="G23" s="2"/>
      <c r="H23" s="1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19" t="s">
        <v>120</v>
      </c>
      <c r="D24" s="2"/>
      <c r="E24" s="138">
        <f>D21*100/(H21-G21)</f>
        <v>88.39285714</v>
      </c>
      <c r="F24" s="2" t="s">
        <v>116</v>
      </c>
      <c r="G24" s="2"/>
      <c r="H24" s="11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hyperlinks>
    <hyperlink display="Authentication &amp; Onboarding" location="'Authentication &amp; Onboarding'!A1" ref="C11"/>
    <hyperlink display="Space &amp; Listing Management" location="'Space &amp; Listing Management'!A1" ref="C12"/>
    <hyperlink display="Search &amp; Public Feed" location="'Search &amp; Public Feed'!A1" ref="C13"/>
    <hyperlink display="Booking &amp; Real-time Chat" location="'Booking &amp; Real-time Chat'!A1" ref="C14"/>
    <hyperlink display="E-Contract &amp; OTP Signing" location="'E-Contract &amp; OTP Signing'!A1" ref="C15"/>
    <hyperlink display="Time-based Scheduling &amp; Sub-Booking" location="'Time-based Scheduling &amp; Sub-Boo'!A1" ref="C16"/>
    <hyperlink display="Tenant &amp; Contract Management Da" location="'Tenant &amp; Contract Management '!A1" ref="C17"/>
    <hyperlink display="Wallet &amp; Payment" location="'Wallet &amp; Payment'!A1" ref="C18"/>
    <hyperlink display="AI Image Editor" location="'AI Image Editor'!A1" ref="C19"/>
    <hyperlink display="Admin Dashboard" location="'Admin Dashboard'!A1" ref="C20"/>
  </hyperlink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25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4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46" t="s">
        <v>13</v>
      </c>
      <c r="C3" s="12"/>
      <c r="D3" s="12"/>
      <c r="E3" s="14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56">
        <f>COUNTA(A12:A1014)</f>
        <v>25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COUNTIF($F10:$F1012,B5)</f>
        <v>20</v>
      </c>
      <c r="C6" s="88">
        <f t="shared" si="1"/>
        <v>0</v>
      </c>
      <c r="D6" s="88">
        <f t="shared" si="1"/>
        <v>0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COUNTIF($F10:$F1012,B5)</f>
        <v>20</v>
      </c>
      <c r="C7" s="88">
        <f t="shared" si="2"/>
        <v>0</v>
      </c>
      <c r="D7" s="88">
        <f t="shared" si="2"/>
        <v>0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COUNTIF($F10:$F1012,B5)</f>
        <v>20</v>
      </c>
      <c r="C8" s="112">
        <f t="shared" si="3"/>
        <v>0</v>
      </c>
      <c r="D8" s="112">
        <f t="shared" si="3"/>
        <v>0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19" t="s">
        <v>75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80</v>
      </c>
      <c r="B12" s="124" t="s">
        <v>81</v>
      </c>
      <c r="C12" s="124" t="s">
        <v>82</v>
      </c>
      <c r="D12" s="124" t="s">
        <v>83</v>
      </c>
      <c r="E12" s="124" t="s">
        <v>84</v>
      </c>
      <c r="F12" s="125" t="s">
        <v>14</v>
      </c>
      <c r="G12" s="125" t="s">
        <v>13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90</v>
      </c>
      <c r="B13" s="124" t="s">
        <v>91</v>
      </c>
      <c r="C13" s="124" t="s">
        <v>92</v>
      </c>
      <c r="D13" s="124" t="s">
        <v>93</v>
      </c>
      <c r="E13" s="124" t="s">
        <v>84</v>
      </c>
      <c r="F13" s="125" t="s">
        <v>14</v>
      </c>
      <c r="G13" s="125" t="s">
        <v>13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2.75" customHeight="1" outlineLevel="1">
      <c r="A14" s="124" t="s">
        <v>98</v>
      </c>
      <c r="B14" s="124" t="s">
        <v>99</v>
      </c>
      <c r="C14" s="124" t="s">
        <v>100</v>
      </c>
      <c r="D14" s="124" t="s">
        <v>101</v>
      </c>
      <c r="E14" s="124" t="s">
        <v>84</v>
      </c>
      <c r="F14" s="125" t="s">
        <v>14</v>
      </c>
      <c r="G14" s="125" t="s">
        <v>13</v>
      </c>
      <c r="H14" s="125" t="s">
        <v>86</v>
      </c>
      <c r="I14" s="126"/>
      <c r="J14" s="126"/>
      <c r="K14" s="126"/>
      <c r="L14" s="126"/>
      <c r="M14" s="126"/>
      <c r="N14" s="126"/>
      <c r="O14" s="126"/>
      <c r="P14" s="130"/>
      <c r="Q14" s="128"/>
      <c r="R14" s="130"/>
      <c r="S14" s="130"/>
      <c r="T14" s="130"/>
      <c r="U14" s="130"/>
      <c r="V14" s="130"/>
      <c r="W14" s="130"/>
      <c r="X14" s="130"/>
      <c r="Y14" s="130"/>
      <c r="Z14" s="130"/>
    </row>
    <row r="15" ht="12.75" customHeight="1" outlineLevel="1">
      <c r="A15" s="124" t="s">
        <v>106</v>
      </c>
      <c r="B15" s="124" t="s">
        <v>107</v>
      </c>
      <c r="C15" s="124" t="s">
        <v>108</v>
      </c>
      <c r="D15" s="124" t="s">
        <v>109</v>
      </c>
      <c r="E15" s="124" t="s">
        <v>110</v>
      </c>
      <c r="F15" s="125" t="s">
        <v>14</v>
      </c>
      <c r="G15" s="125" t="s">
        <v>13</v>
      </c>
      <c r="H15" s="125" t="s">
        <v>86</v>
      </c>
      <c r="I15" s="125" t="s">
        <v>33</v>
      </c>
      <c r="J15" s="126"/>
      <c r="K15" s="126"/>
      <c r="L15" s="125" t="s">
        <v>33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12.75" customHeight="1" outlineLevel="1">
      <c r="A16" s="124" t="s">
        <v>113</v>
      </c>
      <c r="B16" s="124" t="s">
        <v>114</v>
      </c>
      <c r="C16" s="124" t="s">
        <v>115</v>
      </c>
      <c r="D16" s="124" t="s">
        <v>117</v>
      </c>
      <c r="E16" s="124" t="s">
        <v>118</v>
      </c>
      <c r="F16" s="125" t="s">
        <v>14</v>
      </c>
      <c r="G16" s="125" t="s">
        <v>13</v>
      </c>
      <c r="H16" s="125" t="s">
        <v>86</v>
      </c>
      <c r="I16" s="126"/>
      <c r="J16" s="126"/>
      <c r="K16" s="126"/>
      <c r="L16" s="126"/>
      <c r="M16" s="126"/>
      <c r="N16" s="126"/>
      <c r="O16" s="126"/>
      <c r="P16" s="130"/>
      <c r="Q16" s="128"/>
      <c r="R16" s="130"/>
      <c r="S16" s="130"/>
      <c r="T16" s="130"/>
      <c r="U16" s="130"/>
      <c r="V16" s="130"/>
      <c r="W16" s="130"/>
      <c r="X16" s="130"/>
      <c r="Y16" s="130"/>
      <c r="Z16" s="130"/>
    </row>
    <row r="17" ht="15.75" customHeight="1">
      <c r="A17" s="119" t="s">
        <v>122</v>
      </c>
      <c r="B17" s="139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1"/>
      <c r="P17" s="122"/>
      <c r="Q17" s="123"/>
      <c r="R17" s="122"/>
      <c r="S17" s="122"/>
      <c r="T17" s="122"/>
      <c r="U17" s="122"/>
      <c r="V17" s="122"/>
      <c r="W17" s="122"/>
      <c r="X17" s="122"/>
      <c r="Y17" s="122"/>
      <c r="Z17" s="122"/>
    </row>
    <row r="18" ht="12.75" customHeight="1" outlineLevel="1">
      <c r="A18" s="124" t="s">
        <v>127</v>
      </c>
      <c r="B18" s="124" t="s">
        <v>128</v>
      </c>
      <c r="C18" s="124" t="s">
        <v>129</v>
      </c>
      <c r="D18" s="124" t="s">
        <v>130</v>
      </c>
      <c r="E18" s="124" t="s">
        <v>131</v>
      </c>
      <c r="F18" s="125" t="s">
        <v>14</v>
      </c>
      <c r="G18" s="125" t="s">
        <v>13</v>
      </c>
      <c r="H18" s="125" t="s">
        <v>86</v>
      </c>
      <c r="I18" s="125" t="s">
        <v>33</v>
      </c>
      <c r="J18" s="126"/>
      <c r="K18" s="126"/>
      <c r="L18" s="125" t="s">
        <v>33</v>
      </c>
      <c r="M18" s="126"/>
      <c r="N18" s="126"/>
      <c r="O18" s="126"/>
      <c r="P18" s="130"/>
      <c r="Q18" s="128"/>
      <c r="R18" s="130"/>
      <c r="S18" s="130"/>
      <c r="T18" s="130"/>
      <c r="U18" s="130"/>
      <c r="V18" s="130"/>
      <c r="W18" s="130"/>
      <c r="X18" s="130"/>
      <c r="Y18" s="130"/>
      <c r="Z18" s="130"/>
    </row>
    <row r="19" ht="12.75" customHeight="1" outlineLevel="1">
      <c r="A19" s="124" t="s">
        <v>136</v>
      </c>
      <c r="B19" s="124" t="s">
        <v>137</v>
      </c>
      <c r="C19" s="124" t="s">
        <v>138</v>
      </c>
      <c r="D19" s="124" t="s">
        <v>139</v>
      </c>
      <c r="E19" s="124" t="s">
        <v>140</v>
      </c>
      <c r="F19" s="125" t="s">
        <v>14</v>
      </c>
      <c r="G19" s="125" t="s">
        <v>13</v>
      </c>
      <c r="H19" s="125" t="s">
        <v>86</v>
      </c>
      <c r="I19" s="126"/>
      <c r="J19" s="142"/>
      <c r="K19" s="142"/>
      <c r="L19" s="126"/>
      <c r="M19" s="142"/>
      <c r="N19" s="142"/>
      <c r="O19" s="142"/>
      <c r="P19" s="130"/>
      <c r="Q19" s="143"/>
      <c r="R19" s="130"/>
      <c r="S19" s="130"/>
      <c r="T19" s="130"/>
      <c r="U19" s="130"/>
      <c r="V19" s="130"/>
      <c r="W19" s="130"/>
      <c r="X19" s="130"/>
      <c r="Y19" s="130"/>
      <c r="Z19" s="130"/>
    </row>
    <row r="20" ht="12.75" customHeight="1" outlineLevel="1">
      <c r="A20" s="124" t="s">
        <v>142</v>
      </c>
      <c r="B20" s="124" t="s">
        <v>143</v>
      </c>
      <c r="C20" s="124" t="s">
        <v>144</v>
      </c>
      <c r="D20" s="124" t="s">
        <v>145</v>
      </c>
      <c r="E20" s="124" t="s">
        <v>146</v>
      </c>
      <c r="F20" s="125" t="s">
        <v>14</v>
      </c>
      <c r="G20" s="125" t="s">
        <v>13</v>
      </c>
      <c r="H20" s="125" t="s">
        <v>86</v>
      </c>
      <c r="I20" s="125" t="s">
        <v>33</v>
      </c>
      <c r="J20" s="142"/>
      <c r="K20" s="142"/>
      <c r="L20" s="125" t="s">
        <v>33</v>
      </c>
      <c r="M20" s="142"/>
      <c r="N20" s="142"/>
      <c r="O20" s="142"/>
      <c r="P20" s="130"/>
      <c r="Q20" s="143"/>
      <c r="R20" s="130"/>
      <c r="S20" s="130"/>
      <c r="T20" s="130"/>
      <c r="U20" s="130"/>
      <c r="V20" s="130"/>
      <c r="W20" s="130"/>
      <c r="X20" s="130"/>
      <c r="Y20" s="130"/>
      <c r="Z20" s="130"/>
    </row>
    <row r="21" ht="15.75" customHeight="1">
      <c r="A21" s="119" t="s">
        <v>149</v>
      </c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1"/>
      <c r="P21" s="122"/>
      <c r="Q21" s="123"/>
      <c r="R21" s="122"/>
      <c r="S21" s="122"/>
      <c r="T21" s="122"/>
      <c r="U21" s="122"/>
      <c r="V21" s="122"/>
      <c r="W21" s="122"/>
      <c r="X21" s="122"/>
      <c r="Y21" s="122"/>
      <c r="Z21" s="122"/>
    </row>
    <row r="22" ht="41.25" customHeight="1" outlineLevel="1">
      <c r="A22" s="124" t="s">
        <v>154</v>
      </c>
      <c r="B22" s="124" t="s">
        <v>155</v>
      </c>
      <c r="C22" s="124" t="s">
        <v>156</v>
      </c>
      <c r="D22" s="124" t="s">
        <v>157</v>
      </c>
      <c r="E22" s="124" t="s">
        <v>158</v>
      </c>
      <c r="F22" s="144" t="s">
        <v>14</v>
      </c>
      <c r="G22" s="125" t="s">
        <v>13</v>
      </c>
      <c r="H22" s="125" t="s">
        <v>86</v>
      </c>
      <c r="I22" s="144" t="s">
        <v>33</v>
      </c>
      <c r="J22" s="145"/>
      <c r="K22" s="145"/>
      <c r="L22" s="144" t="s">
        <v>33</v>
      </c>
      <c r="M22" s="145"/>
      <c r="N22" s="145"/>
      <c r="O22" s="146"/>
      <c r="P22" s="130"/>
      <c r="Q22" s="128"/>
      <c r="R22" s="130"/>
      <c r="S22" s="130"/>
      <c r="T22" s="130"/>
      <c r="U22" s="130"/>
      <c r="V22" s="130"/>
      <c r="W22" s="130"/>
      <c r="X22" s="130"/>
      <c r="Y22" s="130"/>
      <c r="Z22" s="130"/>
    </row>
    <row r="23" ht="75.0" customHeight="1" outlineLevel="1">
      <c r="A23" s="124" t="s">
        <v>162</v>
      </c>
      <c r="B23" s="124" t="s">
        <v>163</v>
      </c>
      <c r="C23" s="124" t="s">
        <v>164</v>
      </c>
      <c r="D23" s="124" t="s">
        <v>165</v>
      </c>
      <c r="E23" s="124" t="s">
        <v>166</v>
      </c>
      <c r="F23" s="144" t="s">
        <v>14</v>
      </c>
      <c r="G23" s="125" t="s">
        <v>13</v>
      </c>
      <c r="H23" s="125" t="s">
        <v>86</v>
      </c>
      <c r="I23" s="144" t="s">
        <v>33</v>
      </c>
      <c r="J23" s="145"/>
      <c r="K23" s="145"/>
      <c r="L23" s="144" t="s">
        <v>33</v>
      </c>
      <c r="M23" s="145"/>
      <c r="N23" s="145"/>
      <c r="O23" s="146"/>
      <c r="P23" s="130"/>
      <c r="Q23" s="128"/>
      <c r="R23" s="130"/>
      <c r="S23" s="130"/>
      <c r="T23" s="130"/>
      <c r="U23" s="130"/>
      <c r="V23" s="130"/>
      <c r="W23" s="130"/>
      <c r="X23" s="130"/>
      <c r="Y23" s="130"/>
      <c r="Z23" s="130"/>
    </row>
    <row r="24" ht="81.75" customHeight="1" outlineLevel="1">
      <c r="A24" s="124" t="s">
        <v>168</v>
      </c>
      <c r="B24" s="124" t="s">
        <v>169</v>
      </c>
      <c r="C24" s="124" t="s">
        <v>170</v>
      </c>
      <c r="D24" s="124" t="s">
        <v>171</v>
      </c>
      <c r="E24" s="124" t="s">
        <v>172</v>
      </c>
      <c r="F24" s="144" t="s">
        <v>14</v>
      </c>
      <c r="G24" s="125" t="s">
        <v>13</v>
      </c>
      <c r="H24" s="125" t="s">
        <v>86</v>
      </c>
      <c r="I24" s="144" t="s">
        <v>33</v>
      </c>
      <c r="J24" s="145"/>
      <c r="K24" s="145"/>
      <c r="L24" s="144" t="s">
        <v>33</v>
      </c>
      <c r="M24" s="145"/>
      <c r="N24" s="145"/>
      <c r="O24" s="146"/>
      <c r="P24" s="130"/>
      <c r="Q24" s="128"/>
      <c r="R24" s="130"/>
      <c r="S24" s="130"/>
      <c r="T24" s="130"/>
      <c r="U24" s="130"/>
      <c r="V24" s="130"/>
      <c r="W24" s="130"/>
      <c r="X24" s="130"/>
      <c r="Y24" s="130"/>
      <c r="Z24" s="130"/>
    </row>
    <row r="25" ht="57.0" customHeight="1" outlineLevel="1">
      <c r="A25" s="124" t="s">
        <v>174</v>
      </c>
      <c r="B25" s="124" t="s">
        <v>175</v>
      </c>
      <c r="C25" s="124" t="s">
        <v>176</v>
      </c>
      <c r="D25" s="124" t="s">
        <v>177</v>
      </c>
      <c r="E25" s="124" t="s">
        <v>179</v>
      </c>
      <c r="F25" s="125" t="s">
        <v>14</v>
      </c>
      <c r="G25" s="125" t="s">
        <v>13</v>
      </c>
      <c r="H25" s="125" t="s">
        <v>86</v>
      </c>
      <c r="I25" s="125" t="s">
        <v>33</v>
      </c>
      <c r="J25" s="126"/>
      <c r="K25" s="126"/>
      <c r="L25" s="125" t="s">
        <v>33</v>
      </c>
      <c r="M25" s="126"/>
      <c r="N25" s="126"/>
      <c r="O25" s="126"/>
      <c r="P25" s="130"/>
      <c r="Q25" s="128"/>
      <c r="R25" s="130"/>
      <c r="S25" s="130"/>
      <c r="T25" s="130"/>
      <c r="U25" s="130"/>
      <c r="V25" s="130"/>
      <c r="W25" s="130"/>
      <c r="X25" s="130"/>
      <c r="Y25" s="130"/>
      <c r="Z25" s="130"/>
    </row>
    <row r="26" ht="12.0" customHeight="1">
      <c r="A26" s="147" t="s">
        <v>183</v>
      </c>
      <c r="B26" s="148"/>
      <c r="C26" s="148"/>
      <c r="D26" s="148"/>
      <c r="E26" s="148"/>
      <c r="F26" s="149"/>
      <c r="G26" s="149"/>
      <c r="H26" s="149"/>
      <c r="I26" s="149"/>
      <c r="J26" s="149"/>
      <c r="K26" s="149"/>
      <c r="L26" s="149"/>
      <c r="M26" s="149"/>
      <c r="N26" s="149"/>
      <c r="O26" s="150"/>
      <c r="P26" s="122"/>
      <c r="Q26" s="123"/>
      <c r="R26" s="122"/>
      <c r="S26" s="122"/>
      <c r="T26" s="122"/>
      <c r="U26" s="122"/>
      <c r="V26" s="122"/>
      <c r="W26" s="122"/>
      <c r="X26" s="122"/>
      <c r="Y26" s="122"/>
      <c r="Z26" s="122"/>
    </row>
    <row r="27" ht="63.0" customHeight="1" outlineLevel="1">
      <c r="A27" s="124" t="s">
        <v>188</v>
      </c>
      <c r="B27" s="124" t="s">
        <v>189</v>
      </c>
      <c r="C27" s="124" t="s">
        <v>190</v>
      </c>
      <c r="D27" s="124" t="s">
        <v>191</v>
      </c>
      <c r="E27" s="124" t="s">
        <v>192</v>
      </c>
      <c r="F27" s="144" t="s">
        <v>14</v>
      </c>
      <c r="G27" s="125" t="s">
        <v>13</v>
      </c>
      <c r="H27" s="125" t="s">
        <v>86</v>
      </c>
      <c r="I27" s="144" t="s">
        <v>33</v>
      </c>
      <c r="J27" s="145"/>
      <c r="K27" s="145"/>
      <c r="L27" s="144" t="s">
        <v>33</v>
      </c>
      <c r="M27" s="145"/>
      <c r="N27" s="145"/>
      <c r="O27" s="146"/>
      <c r="P27" s="130"/>
      <c r="Q27" s="128"/>
      <c r="R27" s="130"/>
      <c r="S27" s="130"/>
      <c r="T27" s="130"/>
      <c r="U27" s="130"/>
      <c r="V27" s="130"/>
      <c r="W27" s="130"/>
      <c r="X27" s="130"/>
      <c r="Y27" s="130"/>
      <c r="Z27" s="130"/>
    </row>
    <row r="28" ht="66.75" customHeight="1" outlineLevel="1">
      <c r="A28" s="124" t="s">
        <v>194</v>
      </c>
      <c r="B28" s="124" t="s">
        <v>195</v>
      </c>
      <c r="C28" s="124" t="s">
        <v>196</v>
      </c>
      <c r="D28" s="124" t="s">
        <v>198</v>
      </c>
      <c r="E28" s="124" t="s">
        <v>199</v>
      </c>
      <c r="F28" s="144" t="s">
        <v>14</v>
      </c>
      <c r="G28" s="125" t="s">
        <v>13</v>
      </c>
      <c r="H28" s="125" t="s">
        <v>86</v>
      </c>
      <c r="I28" s="144" t="s">
        <v>33</v>
      </c>
      <c r="J28" s="145"/>
      <c r="K28" s="145"/>
      <c r="L28" s="144" t="s">
        <v>33</v>
      </c>
      <c r="M28" s="145"/>
      <c r="N28" s="145"/>
      <c r="O28" s="146"/>
      <c r="P28" s="130"/>
      <c r="Q28" s="128"/>
      <c r="R28" s="130"/>
      <c r="S28" s="130"/>
      <c r="T28" s="130"/>
      <c r="U28" s="130"/>
      <c r="V28" s="130"/>
      <c r="W28" s="130"/>
      <c r="X28" s="130"/>
      <c r="Y28" s="130"/>
      <c r="Z28" s="130"/>
    </row>
    <row r="29" ht="60.0" customHeight="1" outlineLevel="1">
      <c r="A29" s="124" t="s">
        <v>200</v>
      </c>
      <c r="B29" s="124" t="s">
        <v>201</v>
      </c>
      <c r="C29" s="124" t="s">
        <v>202</v>
      </c>
      <c r="D29" s="124" t="s">
        <v>203</v>
      </c>
      <c r="E29" s="124" t="s">
        <v>204</v>
      </c>
      <c r="F29" s="144" t="s">
        <v>14</v>
      </c>
      <c r="G29" s="125" t="s">
        <v>13</v>
      </c>
      <c r="H29" s="125" t="s">
        <v>86</v>
      </c>
      <c r="I29" s="144" t="s">
        <v>33</v>
      </c>
      <c r="J29" s="145"/>
      <c r="K29" s="145"/>
      <c r="L29" s="144" t="s">
        <v>33</v>
      </c>
      <c r="M29" s="145"/>
      <c r="N29" s="145"/>
      <c r="O29" s="146"/>
      <c r="P29" s="130"/>
      <c r="Q29" s="128"/>
      <c r="R29" s="130"/>
      <c r="S29" s="130"/>
      <c r="T29" s="130"/>
      <c r="U29" s="130"/>
      <c r="V29" s="130"/>
      <c r="W29" s="130"/>
      <c r="X29" s="130"/>
      <c r="Y29" s="130"/>
      <c r="Z29" s="130"/>
    </row>
    <row r="30" ht="12.0" customHeight="1">
      <c r="A30" s="152" t="s">
        <v>205</v>
      </c>
      <c r="B30" s="148"/>
      <c r="C30" s="148"/>
      <c r="D30" s="148"/>
      <c r="E30" s="148"/>
      <c r="F30" s="149"/>
      <c r="G30" s="153"/>
      <c r="H30" s="149"/>
      <c r="I30" s="149"/>
      <c r="J30" s="149"/>
      <c r="K30" s="149"/>
      <c r="L30" s="149"/>
      <c r="M30" s="149"/>
      <c r="N30" s="149"/>
      <c r="O30" s="150"/>
      <c r="P30" s="122"/>
      <c r="Q30" s="123"/>
      <c r="R30" s="122"/>
      <c r="S30" s="122"/>
      <c r="T30" s="122"/>
      <c r="U30" s="122"/>
      <c r="V30" s="122"/>
      <c r="W30" s="122"/>
      <c r="X30" s="122"/>
      <c r="Y30" s="122"/>
      <c r="Z30" s="122"/>
    </row>
    <row r="31" ht="12.75" customHeight="1">
      <c r="A31" s="124" t="s">
        <v>206</v>
      </c>
      <c r="B31" s="124" t="s">
        <v>207</v>
      </c>
      <c r="C31" s="124" t="s">
        <v>208</v>
      </c>
      <c r="D31" s="124" t="s">
        <v>209</v>
      </c>
      <c r="E31" s="124" t="s">
        <v>210</v>
      </c>
      <c r="F31" s="144" t="s">
        <v>14</v>
      </c>
      <c r="G31" s="125" t="s">
        <v>13</v>
      </c>
      <c r="H31" s="125" t="s">
        <v>86</v>
      </c>
      <c r="I31" s="144" t="s">
        <v>33</v>
      </c>
      <c r="J31" s="154"/>
      <c r="K31" s="154"/>
      <c r="L31" s="144" t="s">
        <v>33</v>
      </c>
      <c r="M31" s="154"/>
      <c r="N31" s="154"/>
      <c r="O31" s="155"/>
      <c r="P31" s="156"/>
      <c r="Q31" s="157"/>
      <c r="R31" s="156"/>
      <c r="S31" s="156"/>
      <c r="T31" s="156"/>
      <c r="U31" s="156"/>
      <c r="V31" s="156"/>
      <c r="W31" s="156"/>
      <c r="X31" s="156"/>
      <c r="Y31" s="156"/>
      <c r="Z31" s="156"/>
    </row>
    <row r="32" ht="12.75" customHeight="1">
      <c r="A32" s="124" t="s">
        <v>211</v>
      </c>
      <c r="B32" s="124" t="s">
        <v>212</v>
      </c>
      <c r="C32" s="124" t="s">
        <v>213</v>
      </c>
      <c r="D32" s="124" t="s">
        <v>214</v>
      </c>
      <c r="E32" s="124" t="s">
        <v>215</v>
      </c>
      <c r="F32" s="125" t="s">
        <v>14</v>
      </c>
      <c r="G32" s="125" t="s">
        <v>13</v>
      </c>
      <c r="H32" s="125" t="s">
        <v>86</v>
      </c>
      <c r="I32" s="125" t="s">
        <v>33</v>
      </c>
      <c r="J32" s="158"/>
      <c r="K32" s="158"/>
      <c r="L32" s="125" t="s">
        <v>33</v>
      </c>
      <c r="M32" s="158"/>
      <c r="N32" s="158"/>
      <c r="O32" s="158"/>
      <c r="P32" s="156"/>
      <c r="Q32" s="157"/>
      <c r="R32" s="156"/>
      <c r="S32" s="156"/>
      <c r="T32" s="156"/>
      <c r="U32" s="156"/>
      <c r="V32" s="156"/>
      <c r="W32" s="156"/>
      <c r="X32" s="156"/>
      <c r="Y32" s="156"/>
      <c r="Z32" s="156"/>
    </row>
    <row r="33" ht="15.75" customHeight="1">
      <c r="A33" s="152" t="s">
        <v>216</v>
      </c>
      <c r="B33" s="148"/>
      <c r="C33" s="148"/>
      <c r="D33" s="148"/>
      <c r="E33" s="148"/>
      <c r="F33" s="149"/>
      <c r="G33" s="153"/>
      <c r="H33" s="149"/>
      <c r="I33" s="149"/>
      <c r="J33" s="149"/>
      <c r="K33" s="149"/>
      <c r="L33" s="149"/>
      <c r="M33" s="149"/>
      <c r="N33" s="149"/>
      <c r="O33" s="150"/>
      <c r="P33" s="122"/>
      <c r="Q33" s="123"/>
      <c r="R33" s="122"/>
      <c r="S33" s="122"/>
      <c r="T33" s="122"/>
      <c r="U33" s="122"/>
      <c r="V33" s="122"/>
      <c r="W33" s="122"/>
      <c r="X33" s="122"/>
      <c r="Y33" s="122"/>
      <c r="Z33" s="122"/>
    </row>
    <row r="34" ht="12.75" customHeight="1">
      <c r="A34" s="124" t="s">
        <v>217</v>
      </c>
      <c r="B34" s="124" t="s">
        <v>218</v>
      </c>
      <c r="C34" s="124" t="s">
        <v>219</v>
      </c>
      <c r="D34" s="124" t="s">
        <v>220</v>
      </c>
      <c r="E34" s="124" t="s">
        <v>221</v>
      </c>
      <c r="F34" s="159" t="s">
        <v>14</v>
      </c>
      <c r="G34" s="125" t="s">
        <v>13</v>
      </c>
      <c r="H34" s="125" t="s">
        <v>86</v>
      </c>
      <c r="I34" s="158"/>
      <c r="J34" s="160"/>
      <c r="K34" s="160"/>
      <c r="L34" s="158"/>
      <c r="M34" s="160"/>
      <c r="N34" s="160"/>
      <c r="O34" s="160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 ht="12.75" customHeight="1">
      <c r="A35" s="124" t="s">
        <v>222</v>
      </c>
      <c r="B35" s="124" t="s">
        <v>223</v>
      </c>
      <c r="C35" s="124" t="s">
        <v>224</v>
      </c>
      <c r="D35" s="124" t="s">
        <v>225</v>
      </c>
      <c r="E35" s="124" t="s">
        <v>226</v>
      </c>
      <c r="F35" s="125" t="s">
        <v>14</v>
      </c>
      <c r="G35" s="125" t="s">
        <v>13</v>
      </c>
      <c r="H35" s="125" t="s">
        <v>86</v>
      </c>
      <c r="I35" s="126"/>
      <c r="J35" s="160"/>
      <c r="K35" s="160"/>
      <c r="L35" s="126"/>
      <c r="M35" s="160"/>
      <c r="N35" s="160"/>
      <c r="O35" s="160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ht="12.75" customHeight="1">
      <c r="A36" s="124" t="s">
        <v>227</v>
      </c>
      <c r="B36" s="124" t="s">
        <v>228</v>
      </c>
      <c r="C36" s="124" t="s">
        <v>229</v>
      </c>
      <c r="D36" s="124" t="s">
        <v>230</v>
      </c>
      <c r="E36" s="124" t="s">
        <v>231</v>
      </c>
      <c r="F36" s="125" t="s">
        <v>14</v>
      </c>
      <c r="G36" s="125" t="s">
        <v>13</v>
      </c>
      <c r="H36" s="125" t="s">
        <v>86</v>
      </c>
      <c r="I36" s="125" t="s">
        <v>33</v>
      </c>
      <c r="J36" s="160"/>
      <c r="K36" s="160"/>
      <c r="L36" s="125" t="s">
        <v>33</v>
      </c>
      <c r="M36" s="160"/>
      <c r="N36" s="160"/>
      <c r="O36" s="160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3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3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3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3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3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3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3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3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3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3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3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3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13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13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13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13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3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13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13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13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13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13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13"/>
      <c r="R1014" s="2"/>
      <c r="S1014" s="2"/>
      <c r="T1014" s="2"/>
      <c r="U1014" s="2"/>
      <c r="V1014" s="2"/>
      <c r="W1014" s="2"/>
      <c r="X1014" s="2"/>
      <c r="Y1014" s="2"/>
      <c r="Z1014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I12:I30 L12:L30 I31:J32 L31:M32 I33 L33 F12:F36 I34:J36 L34:M36 G37:G161 J37:J161 M37:M161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37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55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232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25.0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COUNTIF($F10:$F1011,B5)</f>
        <v>23</v>
      </c>
      <c r="C6" s="88">
        <f t="shared" si="1"/>
        <v>0</v>
      </c>
      <c r="D6" s="88">
        <f t="shared" si="1"/>
        <v>0</v>
      </c>
      <c r="E6" s="95">
        <f t="shared" si="1"/>
        <v>2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COUNTIF($F10:$F1011,B5)</f>
        <v>23</v>
      </c>
      <c r="C7" s="88">
        <f t="shared" si="2"/>
        <v>0</v>
      </c>
      <c r="D7" s="88">
        <f t="shared" si="2"/>
        <v>0</v>
      </c>
      <c r="E7" s="95">
        <f t="shared" si="2"/>
        <v>2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COUNTIF($F10:$F1011,B5)</f>
        <v>23</v>
      </c>
      <c r="C8" s="112">
        <f t="shared" si="3"/>
        <v>0</v>
      </c>
      <c r="D8" s="112">
        <f t="shared" si="3"/>
        <v>0</v>
      </c>
      <c r="E8" s="113">
        <f t="shared" si="3"/>
        <v>2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25.5" customHeight="1">
      <c r="A11" s="162" t="s">
        <v>63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4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70.5" customHeight="1" outlineLevel="1">
      <c r="A12" s="124" t="s">
        <v>233</v>
      </c>
      <c r="B12" s="124" t="s">
        <v>234</v>
      </c>
      <c r="C12" s="124" t="s">
        <v>235</v>
      </c>
      <c r="D12" s="124" t="s">
        <v>236</v>
      </c>
      <c r="E12" s="124" t="s">
        <v>237</v>
      </c>
      <c r="F12" s="165" t="s">
        <v>14</v>
      </c>
      <c r="G12" s="165" t="s">
        <v>13</v>
      </c>
      <c r="H12" s="165" t="s">
        <v>86</v>
      </c>
      <c r="I12" s="165" t="s">
        <v>33</v>
      </c>
      <c r="J12" s="166"/>
      <c r="K12" s="166"/>
      <c r="L12" s="165" t="s">
        <v>33</v>
      </c>
      <c r="M12" s="166"/>
      <c r="N12" s="166"/>
      <c r="O12" s="167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70.5" customHeight="1" outlineLevel="1">
      <c r="A13" s="124" t="s">
        <v>238</v>
      </c>
      <c r="B13" s="124" t="s">
        <v>239</v>
      </c>
      <c r="C13" s="124" t="s">
        <v>240</v>
      </c>
      <c r="D13" s="124" t="s">
        <v>241</v>
      </c>
      <c r="E13" s="124" t="s">
        <v>242</v>
      </c>
      <c r="F13" s="125" t="s">
        <v>14</v>
      </c>
      <c r="G13" s="125" t="s">
        <v>13</v>
      </c>
      <c r="H13" s="165" t="s">
        <v>86</v>
      </c>
      <c r="I13" s="165" t="s">
        <v>33</v>
      </c>
      <c r="J13" s="126"/>
      <c r="K13" s="126"/>
      <c r="L13" s="165" t="s">
        <v>33</v>
      </c>
      <c r="M13" s="126"/>
      <c r="N13" s="126"/>
      <c r="O13" s="126"/>
      <c r="P13" s="127"/>
      <c r="Q13" s="128"/>
      <c r="R13" s="127"/>
      <c r="S13" s="127"/>
      <c r="T13" s="127"/>
      <c r="U13" s="127"/>
      <c r="V13" s="127"/>
      <c r="W13" s="127"/>
      <c r="X13" s="127"/>
      <c r="Y13" s="127"/>
      <c r="Z13" s="127"/>
    </row>
    <row r="14" ht="70.5" customHeight="1" outlineLevel="1">
      <c r="A14" s="124" t="s">
        <v>243</v>
      </c>
      <c r="B14" s="124" t="s">
        <v>244</v>
      </c>
      <c r="C14" s="124" t="s">
        <v>245</v>
      </c>
      <c r="D14" s="124" t="s">
        <v>246</v>
      </c>
      <c r="E14" s="124" t="s">
        <v>247</v>
      </c>
      <c r="F14" s="125" t="s">
        <v>14</v>
      </c>
      <c r="G14" s="125" t="s">
        <v>13</v>
      </c>
      <c r="H14" s="165" t="s">
        <v>86</v>
      </c>
      <c r="I14" s="165" t="s">
        <v>33</v>
      </c>
      <c r="J14" s="126"/>
      <c r="K14" s="126"/>
      <c r="L14" s="165" t="s">
        <v>33</v>
      </c>
      <c r="M14" s="126"/>
      <c r="N14" s="126"/>
      <c r="O14" s="126"/>
      <c r="P14" s="130"/>
      <c r="Q14" s="128"/>
      <c r="R14" s="130"/>
      <c r="S14" s="130"/>
      <c r="T14" s="130"/>
      <c r="U14" s="130"/>
      <c r="V14" s="130"/>
      <c r="W14" s="130"/>
      <c r="X14" s="130"/>
      <c r="Y14" s="130"/>
      <c r="Z14" s="130"/>
    </row>
    <row r="15" ht="70.5" customHeight="1" outlineLevel="1">
      <c r="A15" s="124" t="s">
        <v>248</v>
      </c>
      <c r="B15" s="124" t="s">
        <v>249</v>
      </c>
      <c r="C15" s="124" t="s">
        <v>250</v>
      </c>
      <c r="D15" s="124" t="s">
        <v>251</v>
      </c>
      <c r="E15" s="124" t="s">
        <v>252</v>
      </c>
      <c r="F15" s="125" t="s">
        <v>14</v>
      </c>
      <c r="G15" s="125" t="s">
        <v>13</v>
      </c>
      <c r="H15" s="165" t="s">
        <v>86</v>
      </c>
      <c r="I15" s="165" t="s">
        <v>33</v>
      </c>
      <c r="J15" s="126"/>
      <c r="K15" s="126"/>
      <c r="L15" s="165" t="s">
        <v>33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70.5" customHeight="1" outlineLevel="1">
      <c r="A16" s="124" t="s">
        <v>253</v>
      </c>
      <c r="B16" s="124" t="s">
        <v>254</v>
      </c>
      <c r="C16" s="124" t="s">
        <v>255</v>
      </c>
      <c r="D16" s="124" t="s">
        <v>256</v>
      </c>
      <c r="E16" s="124" t="s">
        <v>247</v>
      </c>
      <c r="F16" s="125" t="s">
        <v>14</v>
      </c>
      <c r="G16" s="125" t="s">
        <v>13</v>
      </c>
      <c r="H16" s="165" t="s">
        <v>86</v>
      </c>
      <c r="I16" s="165" t="s">
        <v>33</v>
      </c>
      <c r="J16" s="126"/>
      <c r="K16" s="126"/>
      <c r="L16" s="165" t="s">
        <v>33</v>
      </c>
      <c r="M16" s="126"/>
      <c r="N16" s="126"/>
      <c r="O16" s="126"/>
      <c r="P16" s="130"/>
      <c r="Q16" s="128"/>
      <c r="R16" s="130"/>
      <c r="S16" s="130"/>
      <c r="T16" s="130"/>
      <c r="U16" s="130"/>
      <c r="V16" s="130"/>
      <c r="W16" s="130"/>
      <c r="X16" s="130"/>
      <c r="Y16" s="130"/>
      <c r="Z16" s="130"/>
    </row>
    <row r="17" ht="70.5" customHeight="1" outlineLevel="1">
      <c r="A17" s="124" t="s">
        <v>257</v>
      </c>
      <c r="B17" s="124" t="s">
        <v>258</v>
      </c>
      <c r="C17" s="124" t="s">
        <v>259</v>
      </c>
      <c r="D17" s="124" t="s">
        <v>260</v>
      </c>
      <c r="E17" s="124" t="s">
        <v>247</v>
      </c>
      <c r="F17" s="125" t="s">
        <v>14</v>
      </c>
      <c r="G17" s="125" t="s">
        <v>13</v>
      </c>
      <c r="H17" s="165" t="s">
        <v>86</v>
      </c>
      <c r="I17" s="165" t="s">
        <v>33</v>
      </c>
      <c r="J17" s="126"/>
      <c r="K17" s="126"/>
      <c r="L17" s="165" t="s">
        <v>33</v>
      </c>
      <c r="M17" s="126"/>
      <c r="N17" s="126"/>
      <c r="O17" s="126"/>
      <c r="P17" s="130"/>
      <c r="Q17" s="128"/>
      <c r="R17" s="130"/>
      <c r="S17" s="130"/>
      <c r="T17" s="130"/>
      <c r="U17" s="130"/>
      <c r="V17" s="130"/>
      <c r="W17" s="130"/>
      <c r="X17" s="130"/>
      <c r="Y17" s="130"/>
      <c r="Z17" s="130"/>
    </row>
    <row r="18" ht="70.5" customHeight="1" outlineLevel="1">
      <c r="A18" s="124" t="s">
        <v>261</v>
      </c>
      <c r="B18" s="124" t="s">
        <v>262</v>
      </c>
      <c r="C18" s="124" t="s">
        <v>263</v>
      </c>
      <c r="D18" s="124" t="s">
        <v>264</v>
      </c>
      <c r="E18" s="124" t="s">
        <v>265</v>
      </c>
      <c r="F18" s="125" t="s">
        <v>14</v>
      </c>
      <c r="G18" s="125" t="s">
        <v>13</v>
      </c>
      <c r="H18" s="165" t="s">
        <v>86</v>
      </c>
      <c r="I18" s="165" t="s">
        <v>33</v>
      </c>
      <c r="J18" s="126"/>
      <c r="K18" s="126"/>
      <c r="L18" s="165" t="s">
        <v>33</v>
      </c>
      <c r="M18" s="126"/>
      <c r="N18" s="126"/>
      <c r="O18" s="126"/>
      <c r="P18" s="130"/>
      <c r="Q18" s="128"/>
      <c r="R18" s="130"/>
      <c r="S18" s="130"/>
      <c r="T18" s="130"/>
      <c r="U18" s="130"/>
      <c r="V18" s="130"/>
      <c r="W18" s="130"/>
      <c r="X18" s="130"/>
      <c r="Y18" s="130"/>
      <c r="Z18" s="130"/>
    </row>
    <row r="19" ht="70.5" customHeight="1" outlineLevel="1">
      <c r="A19" s="124" t="s">
        <v>266</v>
      </c>
      <c r="B19" s="124" t="s">
        <v>267</v>
      </c>
      <c r="C19" s="124" t="s">
        <v>268</v>
      </c>
      <c r="D19" s="124" t="s">
        <v>269</v>
      </c>
      <c r="E19" s="124" t="s">
        <v>270</v>
      </c>
      <c r="F19" s="125" t="s">
        <v>14</v>
      </c>
      <c r="G19" s="125" t="s">
        <v>13</v>
      </c>
      <c r="H19" s="165" t="s">
        <v>86</v>
      </c>
      <c r="I19" s="165" t="s">
        <v>33</v>
      </c>
      <c r="J19" s="126"/>
      <c r="K19" s="126"/>
      <c r="L19" s="165" t="s">
        <v>33</v>
      </c>
      <c r="M19" s="126"/>
      <c r="N19" s="126"/>
      <c r="O19" s="126"/>
      <c r="P19" s="130"/>
      <c r="Q19" s="128"/>
      <c r="R19" s="130"/>
      <c r="S19" s="130"/>
      <c r="T19" s="130"/>
      <c r="U19" s="130"/>
      <c r="V19" s="130"/>
      <c r="W19" s="130"/>
      <c r="X19" s="130"/>
      <c r="Y19" s="130"/>
      <c r="Z19" s="130"/>
    </row>
    <row r="20" ht="33.0" customHeight="1">
      <c r="A20" s="162" t="s">
        <v>74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4"/>
      <c r="P20" s="122"/>
      <c r="Q20" s="123"/>
      <c r="R20" s="122"/>
      <c r="S20" s="122"/>
      <c r="T20" s="122"/>
      <c r="U20" s="122"/>
      <c r="V20" s="122"/>
      <c r="W20" s="122"/>
      <c r="X20" s="122"/>
      <c r="Y20" s="122"/>
      <c r="Z20" s="122"/>
    </row>
    <row r="21" ht="70.5" customHeight="1" outlineLevel="1">
      <c r="A21" s="124" t="s">
        <v>271</v>
      </c>
      <c r="B21" s="124" t="s">
        <v>272</v>
      </c>
      <c r="C21" s="124" t="s">
        <v>273</v>
      </c>
      <c r="D21" s="124" t="s">
        <v>274</v>
      </c>
      <c r="E21" s="124" t="s">
        <v>275</v>
      </c>
      <c r="F21" s="168" t="s">
        <v>14</v>
      </c>
      <c r="G21" s="125" t="s">
        <v>13</v>
      </c>
      <c r="H21" s="165" t="s">
        <v>86</v>
      </c>
      <c r="I21" s="168" t="s">
        <v>33</v>
      </c>
      <c r="J21" s="169"/>
      <c r="K21" s="169"/>
      <c r="L21" s="165" t="s">
        <v>33</v>
      </c>
      <c r="M21" s="169"/>
      <c r="N21" s="169"/>
      <c r="O21" s="169"/>
      <c r="P21" s="130"/>
      <c r="Q21" s="128"/>
      <c r="R21" s="130"/>
      <c r="S21" s="130"/>
      <c r="T21" s="130"/>
      <c r="U21" s="130"/>
      <c r="V21" s="130"/>
      <c r="W21" s="130"/>
      <c r="X21" s="130"/>
      <c r="Y21" s="130"/>
      <c r="Z21" s="130"/>
    </row>
    <row r="22" ht="70.5" customHeight="1" outlineLevel="1">
      <c r="A22" s="124" t="s">
        <v>276</v>
      </c>
      <c r="B22" s="124" t="s">
        <v>277</v>
      </c>
      <c r="C22" s="124" t="s">
        <v>278</v>
      </c>
      <c r="D22" s="124" t="s">
        <v>279</v>
      </c>
      <c r="E22" s="124" t="s">
        <v>280</v>
      </c>
      <c r="F22" s="125" t="s">
        <v>14</v>
      </c>
      <c r="G22" s="125" t="s">
        <v>13</v>
      </c>
      <c r="H22" s="165" t="s">
        <v>86</v>
      </c>
      <c r="I22" s="168" t="s">
        <v>33</v>
      </c>
      <c r="J22" s="126"/>
      <c r="K22" s="126"/>
      <c r="L22" s="165" t="s">
        <v>33</v>
      </c>
      <c r="M22" s="126"/>
      <c r="N22" s="126"/>
      <c r="O22" s="126"/>
      <c r="P22" s="130"/>
      <c r="Q22" s="128"/>
      <c r="R22" s="130"/>
      <c r="S22" s="130"/>
      <c r="T22" s="130"/>
      <c r="U22" s="130"/>
      <c r="V22" s="130"/>
      <c r="W22" s="130"/>
      <c r="X22" s="130"/>
      <c r="Y22" s="130"/>
      <c r="Z22" s="130"/>
    </row>
    <row r="23" ht="70.5" customHeight="1" outlineLevel="1">
      <c r="A23" s="124" t="s">
        <v>281</v>
      </c>
      <c r="B23" s="124" t="s">
        <v>282</v>
      </c>
      <c r="C23" s="124" t="s">
        <v>283</v>
      </c>
      <c r="D23" s="124" t="s">
        <v>284</v>
      </c>
      <c r="E23" s="124" t="s">
        <v>285</v>
      </c>
      <c r="F23" s="125" t="s">
        <v>14</v>
      </c>
      <c r="G23" s="125" t="s">
        <v>13</v>
      </c>
      <c r="H23" s="165" t="s">
        <v>86</v>
      </c>
      <c r="I23" s="168" t="s">
        <v>33</v>
      </c>
      <c r="J23" s="142"/>
      <c r="K23" s="142"/>
      <c r="L23" s="165" t="s">
        <v>33</v>
      </c>
      <c r="M23" s="142"/>
      <c r="N23" s="142"/>
      <c r="O23" s="142"/>
      <c r="P23" s="130"/>
      <c r="Q23" s="143"/>
      <c r="R23" s="130"/>
      <c r="S23" s="130"/>
      <c r="T23" s="130"/>
      <c r="U23" s="130"/>
      <c r="V23" s="130"/>
      <c r="W23" s="130"/>
      <c r="X23" s="130"/>
      <c r="Y23" s="130"/>
      <c r="Z23" s="130"/>
    </row>
    <row r="24" ht="34.5" customHeight="1">
      <c r="A24" s="170" t="s">
        <v>77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4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ht="70.5" customHeight="1">
      <c r="A25" s="124" t="s">
        <v>286</v>
      </c>
      <c r="B25" s="124" t="s">
        <v>287</v>
      </c>
      <c r="C25" s="124" t="s">
        <v>288</v>
      </c>
      <c r="D25" s="124" t="s">
        <v>289</v>
      </c>
      <c r="E25" s="124" t="s">
        <v>237</v>
      </c>
      <c r="F25" s="166" t="s">
        <v>14</v>
      </c>
      <c r="G25" s="125" t="s">
        <v>13</v>
      </c>
      <c r="H25" s="165" t="s">
        <v>86</v>
      </c>
      <c r="I25" s="165" t="s">
        <v>33</v>
      </c>
      <c r="J25" s="172"/>
      <c r="K25" s="172"/>
      <c r="L25" s="165" t="s">
        <v>33</v>
      </c>
      <c r="M25" s="172"/>
      <c r="N25" s="172"/>
      <c r="O25" s="173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 ht="70.5" customHeight="1">
      <c r="A26" s="124" t="s">
        <v>290</v>
      </c>
      <c r="B26" s="124" t="s">
        <v>291</v>
      </c>
      <c r="C26" s="124" t="s">
        <v>292</v>
      </c>
      <c r="D26" s="124" t="s">
        <v>293</v>
      </c>
      <c r="E26" s="124" t="s">
        <v>294</v>
      </c>
      <c r="F26" s="165" t="s">
        <v>14</v>
      </c>
      <c r="G26" s="125" t="s">
        <v>13</v>
      </c>
      <c r="H26" s="165" t="s">
        <v>86</v>
      </c>
      <c r="I26" s="165" t="s">
        <v>33</v>
      </c>
      <c r="J26" s="172"/>
      <c r="K26" s="172"/>
      <c r="L26" s="165" t="s">
        <v>33</v>
      </c>
      <c r="M26" s="172"/>
      <c r="N26" s="172"/>
      <c r="O26" s="173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 ht="70.5" customHeight="1">
      <c r="A27" s="124" t="s">
        <v>295</v>
      </c>
      <c r="B27" s="124" t="s">
        <v>296</v>
      </c>
      <c r="C27" s="124" t="s">
        <v>297</v>
      </c>
      <c r="D27" s="124" t="s">
        <v>298</v>
      </c>
      <c r="E27" s="124" t="s">
        <v>294</v>
      </c>
      <c r="F27" s="165" t="s">
        <v>14</v>
      </c>
      <c r="G27" s="125" t="s">
        <v>13</v>
      </c>
      <c r="H27" s="165" t="s">
        <v>86</v>
      </c>
      <c r="I27" s="165" t="s">
        <v>33</v>
      </c>
      <c r="J27" s="172"/>
      <c r="K27" s="172"/>
      <c r="L27" s="165" t="s">
        <v>33</v>
      </c>
      <c r="M27" s="172"/>
      <c r="N27" s="172"/>
      <c r="O27" s="173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 ht="70.5" customHeight="1">
      <c r="A28" s="124" t="s">
        <v>299</v>
      </c>
      <c r="B28" s="124" t="s">
        <v>300</v>
      </c>
      <c r="C28" s="124" t="s">
        <v>301</v>
      </c>
      <c r="D28" s="124" t="s">
        <v>302</v>
      </c>
      <c r="E28" s="124" t="s">
        <v>242</v>
      </c>
      <c r="F28" s="125" t="s">
        <v>33</v>
      </c>
      <c r="G28" s="125" t="s">
        <v>13</v>
      </c>
      <c r="H28" s="165" t="s">
        <v>86</v>
      </c>
      <c r="I28" s="165" t="s">
        <v>33</v>
      </c>
      <c r="J28" s="158"/>
      <c r="K28" s="158"/>
      <c r="L28" s="165" t="s">
        <v>33</v>
      </c>
      <c r="M28" s="158"/>
      <c r="N28" s="158"/>
      <c r="O28" s="158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</row>
    <row r="29" ht="33.0" customHeight="1">
      <c r="A29" s="170" t="s">
        <v>79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4"/>
      <c r="P29" s="156"/>
      <c r="Q29" s="174"/>
      <c r="R29" s="156"/>
      <c r="S29" s="156"/>
      <c r="T29" s="156"/>
      <c r="U29" s="156"/>
      <c r="V29" s="156"/>
      <c r="W29" s="156"/>
      <c r="X29" s="156"/>
      <c r="Y29" s="156"/>
      <c r="Z29" s="156"/>
    </row>
    <row r="30" ht="70.5" customHeight="1">
      <c r="A30" s="124" t="s">
        <v>303</v>
      </c>
      <c r="B30" s="124" t="s">
        <v>304</v>
      </c>
      <c r="C30" s="124" t="s">
        <v>305</v>
      </c>
      <c r="D30" s="124" t="s">
        <v>306</v>
      </c>
      <c r="E30" s="124" t="s">
        <v>307</v>
      </c>
      <c r="F30" s="168" t="s">
        <v>14</v>
      </c>
      <c r="G30" s="125" t="s">
        <v>13</v>
      </c>
      <c r="H30" s="165" t="s">
        <v>86</v>
      </c>
      <c r="I30" s="168" t="s">
        <v>33</v>
      </c>
      <c r="J30" s="175"/>
      <c r="K30" s="175"/>
      <c r="L30" s="165" t="s">
        <v>33</v>
      </c>
      <c r="M30" s="175"/>
      <c r="N30" s="175"/>
      <c r="O30" s="175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</row>
    <row r="31" ht="70.5" customHeight="1">
      <c r="A31" s="124" t="s">
        <v>308</v>
      </c>
      <c r="B31" s="124" t="s">
        <v>309</v>
      </c>
      <c r="C31" s="124" t="s">
        <v>310</v>
      </c>
      <c r="D31" s="124" t="s">
        <v>311</v>
      </c>
      <c r="E31" s="124" t="s">
        <v>312</v>
      </c>
      <c r="F31" s="168" t="s">
        <v>14</v>
      </c>
      <c r="G31" s="125" t="s">
        <v>13</v>
      </c>
      <c r="H31" s="165" t="s">
        <v>86</v>
      </c>
      <c r="I31" s="168" t="s">
        <v>33</v>
      </c>
      <c r="J31" s="175"/>
      <c r="K31" s="175"/>
      <c r="L31" s="165" t="s">
        <v>33</v>
      </c>
      <c r="M31" s="175"/>
      <c r="N31" s="175"/>
      <c r="O31" s="175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</row>
    <row r="32" ht="70.5" customHeight="1">
      <c r="A32" s="124" t="s">
        <v>313</v>
      </c>
      <c r="B32" s="124" t="s">
        <v>314</v>
      </c>
      <c r="C32" s="124" t="s">
        <v>315</v>
      </c>
      <c r="D32" s="124" t="s">
        <v>316</v>
      </c>
      <c r="E32" s="124" t="s">
        <v>317</v>
      </c>
      <c r="F32" s="168" t="s">
        <v>14</v>
      </c>
      <c r="G32" s="165" t="s">
        <v>318</v>
      </c>
      <c r="H32" s="165" t="s">
        <v>86</v>
      </c>
      <c r="I32" s="168" t="s">
        <v>33</v>
      </c>
      <c r="J32" s="175"/>
      <c r="K32" s="175"/>
      <c r="L32" s="165" t="s">
        <v>33</v>
      </c>
      <c r="M32" s="175"/>
      <c r="N32" s="175"/>
      <c r="O32" s="175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</row>
    <row r="33" ht="70.5" customHeight="1">
      <c r="A33" s="124" t="s">
        <v>319</v>
      </c>
      <c r="B33" s="124" t="s">
        <v>320</v>
      </c>
      <c r="C33" s="124" t="s">
        <v>321</v>
      </c>
      <c r="D33" s="124" t="s">
        <v>322</v>
      </c>
      <c r="E33" s="124" t="s">
        <v>317</v>
      </c>
      <c r="F33" s="168" t="s">
        <v>14</v>
      </c>
      <c r="G33" s="125" t="s">
        <v>13</v>
      </c>
      <c r="H33" s="165" t="s">
        <v>86</v>
      </c>
      <c r="I33" s="168" t="s">
        <v>33</v>
      </c>
      <c r="J33" s="175"/>
      <c r="K33" s="175"/>
      <c r="L33" s="165" t="s">
        <v>33</v>
      </c>
      <c r="M33" s="175"/>
      <c r="N33" s="175"/>
      <c r="O33" s="175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</row>
    <row r="34" ht="70.5" customHeight="1">
      <c r="A34" s="124" t="s">
        <v>323</v>
      </c>
      <c r="B34" s="124" t="s">
        <v>324</v>
      </c>
      <c r="C34" s="124" t="s">
        <v>325</v>
      </c>
      <c r="D34" s="124" t="s">
        <v>326</v>
      </c>
      <c r="E34" s="124" t="s">
        <v>327</v>
      </c>
      <c r="F34" s="168" t="s">
        <v>14</v>
      </c>
      <c r="G34" s="125" t="s">
        <v>13</v>
      </c>
      <c r="H34" s="165" t="s">
        <v>86</v>
      </c>
      <c r="I34" s="168" t="s">
        <v>33</v>
      </c>
      <c r="J34" s="175"/>
      <c r="K34" s="175"/>
      <c r="L34" s="165" t="s">
        <v>33</v>
      </c>
      <c r="M34" s="175"/>
      <c r="N34" s="175"/>
      <c r="O34" s="175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</row>
    <row r="35" ht="70.5" customHeight="1">
      <c r="A35" s="124" t="s">
        <v>328</v>
      </c>
      <c r="B35" s="124" t="s">
        <v>329</v>
      </c>
      <c r="C35" s="124" t="s">
        <v>330</v>
      </c>
      <c r="D35" s="124" t="s">
        <v>331</v>
      </c>
      <c r="E35" s="124" t="s">
        <v>307</v>
      </c>
      <c r="F35" s="166" t="s">
        <v>14</v>
      </c>
      <c r="G35" s="125" t="s">
        <v>13</v>
      </c>
      <c r="H35" s="165" t="s">
        <v>86</v>
      </c>
      <c r="I35" s="168" t="s">
        <v>33</v>
      </c>
      <c r="J35" s="172"/>
      <c r="K35" s="172"/>
      <c r="L35" s="165" t="s">
        <v>33</v>
      </c>
      <c r="M35" s="172"/>
      <c r="N35" s="172"/>
      <c r="O35" s="173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</row>
    <row r="36" ht="16.5" customHeight="1">
      <c r="A36" s="176" t="s">
        <v>87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  <c r="P36" s="156"/>
      <c r="Q36" s="174"/>
      <c r="R36" s="156"/>
      <c r="S36" s="156"/>
      <c r="T36" s="156"/>
      <c r="U36" s="156"/>
      <c r="V36" s="156"/>
      <c r="W36" s="156"/>
      <c r="X36" s="156"/>
      <c r="Y36" s="156"/>
      <c r="Z36" s="156"/>
    </row>
    <row r="37" ht="12.75" customHeight="1">
      <c r="A37" s="124" t="s">
        <v>332</v>
      </c>
      <c r="B37" s="124" t="s">
        <v>333</v>
      </c>
      <c r="C37" s="124" t="s">
        <v>334</v>
      </c>
      <c r="D37" s="124" t="s">
        <v>335</v>
      </c>
      <c r="E37" s="124" t="s">
        <v>336</v>
      </c>
      <c r="F37" s="168" t="s">
        <v>14</v>
      </c>
      <c r="G37" s="125" t="s">
        <v>13</v>
      </c>
      <c r="H37" s="165" t="s">
        <v>86</v>
      </c>
      <c r="I37" s="168" t="s">
        <v>33</v>
      </c>
      <c r="J37" s="175"/>
      <c r="K37" s="175"/>
      <c r="L37" s="165" t="s">
        <v>33</v>
      </c>
      <c r="M37" s="175"/>
      <c r="N37" s="175"/>
      <c r="O37" s="175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</row>
    <row r="38" ht="12.75" customHeight="1">
      <c r="A38" s="124" t="s">
        <v>337</v>
      </c>
      <c r="B38" s="124" t="s">
        <v>338</v>
      </c>
      <c r="C38" s="124" t="s">
        <v>339</v>
      </c>
      <c r="D38" s="124" t="s">
        <v>340</v>
      </c>
      <c r="E38" s="124" t="s">
        <v>341</v>
      </c>
      <c r="F38" s="168" t="s">
        <v>14</v>
      </c>
      <c r="G38" s="125" t="s">
        <v>13</v>
      </c>
      <c r="H38" s="165" t="s">
        <v>86</v>
      </c>
      <c r="I38" s="168" t="s">
        <v>33</v>
      </c>
      <c r="J38" s="175"/>
      <c r="K38" s="175"/>
      <c r="L38" s="165" t="s">
        <v>33</v>
      </c>
      <c r="M38" s="175"/>
      <c r="N38" s="175"/>
      <c r="O38" s="175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</row>
    <row r="39" ht="12.75" customHeight="1">
      <c r="A39" s="124" t="s">
        <v>342</v>
      </c>
      <c r="B39" s="124" t="s">
        <v>343</v>
      </c>
      <c r="C39" s="124" t="s">
        <v>344</v>
      </c>
      <c r="D39" s="124" t="s">
        <v>345</v>
      </c>
      <c r="E39" s="124" t="s">
        <v>346</v>
      </c>
      <c r="F39" s="168" t="s">
        <v>14</v>
      </c>
      <c r="G39" s="125" t="s">
        <v>13</v>
      </c>
      <c r="H39" s="165" t="s">
        <v>86</v>
      </c>
      <c r="I39" s="168" t="s">
        <v>33</v>
      </c>
      <c r="J39" s="175"/>
      <c r="K39" s="175"/>
      <c r="L39" s="165" t="s">
        <v>33</v>
      </c>
      <c r="M39" s="175"/>
      <c r="N39" s="175"/>
      <c r="O39" s="175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</row>
    <row r="40" ht="16.5" customHeight="1">
      <c r="A40" s="176" t="s">
        <v>88</v>
      </c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4"/>
      <c r="P40" s="156"/>
      <c r="Q40" s="174"/>
      <c r="R40" s="156"/>
      <c r="S40" s="156"/>
      <c r="T40" s="156"/>
      <c r="U40" s="156"/>
      <c r="V40" s="156"/>
      <c r="W40" s="156"/>
      <c r="X40" s="156"/>
      <c r="Y40" s="156"/>
      <c r="Z40" s="156"/>
    </row>
    <row r="41" ht="12.75" customHeight="1">
      <c r="A41" s="124" t="s">
        <v>347</v>
      </c>
      <c r="B41" s="124" t="s">
        <v>348</v>
      </c>
      <c r="C41" s="124" t="s">
        <v>349</v>
      </c>
      <c r="D41" s="124" t="s">
        <v>350</v>
      </c>
      <c r="E41" s="124" t="s">
        <v>351</v>
      </c>
      <c r="F41" s="168" t="s">
        <v>33</v>
      </c>
      <c r="G41" s="125" t="s">
        <v>13</v>
      </c>
      <c r="H41" s="165" t="s">
        <v>86</v>
      </c>
      <c r="I41" s="165" t="s">
        <v>33</v>
      </c>
      <c r="J41" s="175"/>
      <c r="K41" s="175"/>
      <c r="L41" s="165" t="s">
        <v>33</v>
      </c>
      <c r="M41" s="175"/>
      <c r="N41" s="175"/>
      <c r="O41" s="175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3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3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3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3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3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3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3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3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3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3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3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3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13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13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13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13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3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13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13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13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13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13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13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2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13"/>
      <c r="R1015" s="2"/>
      <c r="S1015" s="2"/>
      <c r="T1015" s="2"/>
      <c r="U1015" s="2"/>
      <c r="V1015" s="2"/>
      <c r="W1015" s="2"/>
      <c r="X1015" s="2"/>
      <c r="Y1015" s="2"/>
      <c r="Z1015" s="2"/>
    </row>
  </sheetData>
  <mergeCells count="9">
    <mergeCell ref="A36:O36"/>
    <mergeCell ref="A40:O40"/>
    <mergeCell ref="B2:E2"/>
    <mergeCell ref="B3:E3"/>
    <mergeCell ref="B4:E4"/>
    <mergeCell ref="A11:O11"/>
    <mergeCell ref="A20:O20"/>
    <mergeCell ref="A24:O24"/>
    <mergeCell ref="A29:O29"/>
  </mergeCells>
  <dataValidations>
    <dataValidation type="list" allowBlank="1" showErrorMessage="1" sqref="G2:G3 J2:J3 M2:M3 G9 J9 M9 F12:F19 I12:I19 L12:L19 F21:F23 I21:I23 L21:L23 F25:F28 I25:J28 L25:M28 F30:F35 I30:J35 L30:M35 F37:F39 I37:J39 L37:M39 F41 I41:J41 L41:M41 G42:G160 J42:J160 M42:M160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36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58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352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6.0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COUNTIF($F10:$F997,B5)</f>
        <v>5</v>
      </c>
      <c r="C6" s="88">
        <f t="shared" si="1"/>
        <v>0</v>
      </c>
      <c r="D6" s="88">
        <f t="shared" si="1"/>
        <v>0</v>
      </c>
      <c r="E6" s="95">
        <f t="shared" si="1"/>
        <v>1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COUNTIF($F10:$F997,B5)</f>
        <v>5</v>
      </c>
      <c r="C7" s="88">
        <f t="shared" si="2"/>
        <v>0</v>
      </c>
      <c r="D7" s="88">
        <f t="shared" si="2"/>
        <v>0</v>
      </c>
      <c r="E7" s="95">
        <f t="shared" si="2"/>
        <v>1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COUNTIF($F10:$F997,B5)</f>
        <v>5</v>
      </c>
      <c r="C8" s="112">
        <f t="shared" si="3"/>
        <v>0</v>
      </c>
      <c r="D8" s="112">
        <f t="shared" si="3"/>
        <v>0</v>
      </c>
      <c r="E8" s="113">
        <f t="shared" si="3"/>
        <v>1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47" t="s">
        <v>94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353</v>
      </c>
      <c r="B12" s="124" t="s">
        <v>354</v>
      </c>
      <c r="C12" s="124" t="s">
        <v>355</v>
      </c>
      <c r="D12" s="124" t="s">
        <v>356</v>
      </c>
      <c r="E12" s="124" t="s">
        <v>357</v>
      </c>
      <c r="F12" s="125" t="s">
        <v>14</v>
      </c>
      <c r="G12" s="125" t="s">
        <v>13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358</v>
      </c>
      <c r="B13" s="124" t="s">
        <v>354</v>
      </c>
      <c r="C13" s="124" t="s">
        <v>359</v>
      </c>
      <c r="D13" s="124" t="s">
        <v>360</v>
      </c>
      <c r="E13" s="124" t="s">
        <v>361</v>
      </c>
      <c r="F13" s="125" t="s">
        <v>14</v>
      </c>
      <c r="G13" s="125" t="s">
        <v>13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2.75" customHeight="1" outlineLevel="1">
      <c r="A14" s="124" t="s">
        <v>362</v>
      </c>
      <c r="B14" s="124" t="s">
        <v>363</v>
      </c>
      <c r="C14" s="124" t="s">
        <v>364</v>
      </c>
      <c r="D14" s="124" t="s">
        <v>365</v>
      </c>
      <c r="E14" s="124" t="s">
        <v>366</v>
      </c>
      <c r="F14" s="125" t="s">
        <v>14</v>
      </c>
      <c r="G14" s="125" t="s">
        <v>13</v>
      </c>
      <c r="H14" s="125" t="s">
        <v>86</v>
      </c>
      <c r="I14" s="125" t="s">
        <v>33</v>
      </c>
      <c r="J14" s="126"/>
      <c r="K14" s="126"/>
      <c r="L14" s="125" t="s">
        <v>33</v>
      </c>
      <c r="M14" s="126"/>
      <c r="N14" s="126"/>
      <c r="O14" s="126"/>
      <c r="P14" s="130"/>
      <c r="Q14" s="128"/>
      <c r="R14" s="130"/>
      <c r="S14" s="130"/>
      <c r="T14" s="130"/>
      <c r="U14" s="130"/>
      <c r="V14" s="130"/>
      <c r="W14" s="130"/>
      <c r="X14" s="130"/>
      <c r="Y14" s="130"/>
      <c r="Z14" s="130"/>
    </row>
    <row r="15" ht="12.75" customHeight="1" outlineLevel="1">
      <c r="A15" s="124" t="s">
        <v>367</v>
      </c>
      <c r="B15" s="124" t="s">
        <v>368</v>
      </c>
      <c r="C15" s="124" t="s">
        <v>369</v>
      </c>
      <c r="D15" s="124" t="s">
        <v>370</v>
      </c>
      <c r="E15" s="124" t="s">
        <v>371</v>
      </c>
      <c r="F15" s="125" t="s">
        <v>14</v>
      </c>
      <c r="G15" s="125" t="s">
        <v>13</v>
      </c>
      <c r="H15" s="125" t="s">
        <v>86</v>
      </c>
      <c r="I15" s="125" t="s">
        <v>33</v>
      </c>
      <c r="J15" s="126"/>
      <c r="K15" s="126"/>
      <c r="L15" s="125" t="s">
        <v>33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15.75" customHeight="1">
      <c r="A16" s="147" t="s">
        <v>102</v>
      </c>
      <c r="B16" s="139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1"/>
      <c r="P16" s="122"/>
      <c r="Q16" s="123"/>
      <c r="R16" s="122"/>
      <c r="S16" s="122"/>
      <c r="T16" s="122"/>
      <c r="U16" s="122"/>
      <c r="V16" s="122"/>
      <c r="W16" s="122"/>
      <c r="X16" s="122"/>
      <c r="Y16" s="122"/>
      <c r="Z16" s="122"/>
    </row>
    <row r="17" ht="12.75" customHeight="1" outlineLevel="1">
      <c r="A17" s="124" t="s">
        <v>372</v>
      </c>
      <c r="B17" s="124" t="s">
        <v>373</v>
      </c>
      <c r="C17" s="124" t="s">
        <v>374</v>
      </c>
      <c r="D17" s="124" t="s">
        <v>375</v>
      </c>
      <c r="E17" s="124" t="s">
        <v>376</v>
      </c>
      <c r="F17" s="125" t="s">
        <v>14</v>
      </c>
      <c r="G17" s="125" t="s">
        <v>13</v>
      </c>
      <c r="H17" s="125" t="s">
        <v>86</v>
      </c>
      <c r="I17" s="125" t="s">
        <v>33</v>
      </c>
      <c r="J17" s="126"/>
      <c r="K17" s="126"/>
      <c r="L17" s="125" t="s">
        <v>33</v>
      </c>
      <c r="M17" s="126"/>
      <c r="N17" s="126"/>
      <c r="O17" s="126"/>
      <c r="P17" s="130"/>
      <c r="Q17" s="128"/>
      <c r="R17" s="130"/>
      <c r="S17" s="130"/>
      <c r="T17" s="130"/>
      <c r="U17" s="130"/>
      <c r="V17" s="130"/>
      <c r="W17" s="130"/>
      <c r="X17" s="130"/>
      <c r="Y17" s="130"/>
      <c r="Z17" s="130"/>
    </row>
    <row r="18" ht="12.75" customHeight="1" outlineLevel="1">
      <c r="A18" s="124" t="s">
        <v>377</v>
      </c>
      <c r="B18" s="124" t="s">
        <v>378</v>
      </c>
      <c r="C18" s="124" t="s">
        <v>379</v>
      </c>
      <c r="D18" s="124" t="s">
        <v>380</v>
      </c>
      <c r="E18" s="124" t="s">
        <v>381</v>
      </c>
      <c r="F18" s="125" t="s">
        <v>33</v>
      </c>
      <c r="G18" s="125" t="s">
        <v>13</v>
      </c>
      <c r="H18" s="125" t="s">
        <v>86</v>
      </c>
      <c r="I18" s="125" t="s">
        <v>33</v>
      </c>
      <c r="J18" s="142"/>
      <c r="K18" s="142"/>
      <c r="L18" s="125" t="s">
        <v>33</v>
      </c>
      <c r="M18" s="142"/>
      <c r="N18" s="142"/>
      <c r="O18" s="142"/>
      <c r="P18" s="130"/>
      <c r="Q18" s="143"/>
      <c r="R18" s="130"/>
      <c r="S18" s="130"/>
      <c r="T18" s="130"/>
      <c r="U18" s="130"/>
      <c r="V18" s="130"/>
      <c r="W18" s="130"/>
      <c r="X18" s="130"/>
      <c r="Y18" s="130"/>
      <c r="Z18" s="130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3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3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3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3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3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3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3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3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3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3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3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3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3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3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3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3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3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3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8 I12:I18 L12:L18 G19:G146 J19:J146 M19:M14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46.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60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382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13.0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COUNTIF($F10:$F999,B5)</f>
        <v>12</v>
      </c>
      <c r="C6" s="88">
        <f t="shared" si="1"/>
        <v>0</v>
      </c>
      <c r="D6" s="88">
        <f t="shared" si="1"/>
        <v>1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COUNTIF($F10:$F999,B5)</f>
        <v>12</v>
      </c>
      <c r="C7" s="88">
        <f t="shared" si="2"/>
        <v>0</v>
      </c>
      <c r="D7" s="88">
        <f t="shared" si="2"/>
        <v>1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COUNTIF($F10:$F999,B5)</f>
        <v>12</v>
      </c>
      <c r="C8" s="112">
        <f t="shared" si="3"/>
        <v>0</v>
      </c>
      <c r="D8" s="112">
        <f t="shared" si="3"/>
        <v>1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47" t="s">
        <v>104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383</v>
      </c>
      <c r="B12" s="124" t="s">
        <v>384</v>
      </c>
      <c r="C12" s="124" t="s">
        <v>385</v>
      </c>
      <c r="D12" s="124" t="s">
        <v>386</v>
      </c>
      <c r="E12" s="124" t="s">
        <v>387</v>
      </c>
      <c r="F12" s="125" t="s">
        <v>14</v>
      </c>
      <c r="G12" s="125" t="s">
        <v>13</v>
      </c>
      <c r="H12" s="125" t="s">
        <v>86</v>
      </c>
      <c r="I12" s="126" t="s">
        <v>27</v>
      </c>
      <c r="J12" s="126"/>
      <c r="K12" s="126"/>
      <c r="L12" s="126" t="s">
        <v>27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388</v>
      </c>
      <c r="B13" s="124" t="s">
        <v>389</v>
      </c>
      <c r="C13" s="124" t="s">
        <v>390</v>
      </c>
      <c r="D13" s="124" t="s">
        <v>391</v>
      </c>
      <c r="E13" s="124" t="s">
        <v>392</v>
      </c>
      <c r="F13" s="125" t="s">
        <v>14</v>
      </c>
      <c r="G13" s="125" t="s">
        <v>13</v>
      </c>
      <c r="H13" s="125" t="s">
        <v>86</v>
      </c>
      <c r="I13" s="126"/>
      <c r="J13" s="126"/>
      <c r="K13" s="126"/>
      <c r="L13" s="126"/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2.75" customHeight="1" outlineLevel="1">
      <c r="A14" s="124" t="s">
        <v>393</v>
      </c>
      <c r="B14" s="124" t="s">
        <v>394</v>
      </c>
      <c r="C14" s="124" t="s">
        <v>395</v>
      </c>
      <c r="D14" s="124" t="s">
        <v>396</v>
      </c>
      <c r="E14" s="124" t="s">
        <v>397</v>
      </c>
      <c r="F14" s="125" t="s">
        <v>14</v>
      </c>
      <c r="G14" s="125" t="s">
        <v>13</v>
      </c>
      <c r="H14" s="125" t="s">
        <v>86</v>
      </c>
      <c r="I14" s="126" t="s">
        <v>27</v>
      </c>
      <c r="J14" s="126"/>
      <c r="K14" s="126"/>
      <c r="L14" s="126" t="s">
        <v>27</v>
      </c>
      <c r="M14" s="126"/>
      <c r="N14" s="126"/>
      <c r="O14" s="126"/>
      <c r="P14" s="130"/>
      <c r="Q14" s="128"/>
      <c r="R14" s="130"/>
      <c r="S14" s="130"/>
      <c r="T14" s="130"/>
      <c r="U14" s="130"/>
      <c r="V14" s="130"/>
      <c r="W14" s="130"/>
      <c r="X14" s="130"/>
      <c r="Y14" s="130"/>
      <c r="Z14" s="130"/>
    </row>
    <row r="15" ht="12.75" customHeight="1" outlineLevel="1">
      <c r="A15" s="124" t="s">
        <v>398</v>
      </c>
      <c r="B15" s="124" t="s">
        <v>399</v>
      </c>
      <c r="C15" s="124" t="s">
        <v>400</v>
      </c>
      <c r="D15" s="124" t="s">
        <v>401</v>
      </c>
      <c r="E15" s="124" t="s">
        <v>387</v>
      </c>
      <c r="F15" s="125" t="s">
        <v>14</v>
      </c>
      <c r="G15" s="125" t="s">
        <v>13</v>
      </c>
      <c r="H15" s="125" t="s">
        <v>86</v>
      </c>
      <c r="I15" s="126" t="s">
        <v>27</v>
      </c>
      <c r="J15" s="126"/>
      <c r="K15" s="126"/>
      <c r="L15" s="126" t="s">
        <v>27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15.75" customHeight="1">
      <c r="A16" s="147" t="s">
        <v>111</v>
      </c>
      <c r="B16" s="139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1"/>
      <c r="P16" s="122"/>
      <c r="Q16" s="123"/>
      <c r="R16" s="122"/>
      <c r="S16" s="122"/>
      <c r="T16" s="122"/>
      <c r="U16" s="122"/>
      <c r="V16" s="122"/>
      <c r="W16" s="122"/>
      <c r="X16" s="122"/>
      <c r="Y16" s="122"/>
      <c r="Z16" s="122"/>
    </row>
    <row r="17" ht="12.75" customHeight="1" outlineLevel="1">
      <c r="A17" s="124" t="s">
        <v>402</v>
      </c>
      <c r="B17" s="124" t="s">
        <v>403</v>
      </c>
      <c r="C17" s="124" t="s">
        <v>404</v>
      </c>
      <c r="D17" s="124" t="s">
        <v>405</v>
      </c>
      <c r="E17" s="124" t="s">
        <v>406</v>
      </c>
      <c r="F17" s="125" t="s">
        <v>14</v>
      </c>
      <c r="G17" s="125" t="s">
        <v>13</v>
      </c>
      <c r="H17" s="125" t="s">
        <v>86</v>
      </c>
      <c r="I17" s="126" t="s">
        <v>27</v>
      </c>
      <c r="J17" s="126"/>
      <c r="K17" s="126"/>
      <c r="L17" s="126" t="s">
        <v>27</v>
      </c>
      <c r="M17" s="126"/>
      <c r="N17" s="126"/>
      <c r="O17" s="126"/>
      <c r="P17" s="130"/>
      <c r="Q17" s="128"/>
      <c r="R17" s="130"/>
      <c r="S17" s="130"/>
      <c r="T17" s="130"/>
      <c r="U17" s="130"/>
      <c r="V17" s="130"/>
      <c r="W17" s="130"/>
      <c r="X17" s="130"/>
      <c r="Y17" s="130"/>
      <c r="Z17" s="130"/>
    </row>
    <row r="18" ht="12.75" customHeight="1" outlineLevel="1">
      <c r="A18" s="124" t="s">
        <v>407</v>
      </c>
      <c r="B18" s="124" t="s">
        <v>408</v>
      </c>
      <c r="C18" s="124" t="s">
        <v>409</v>
      </c>
      <c r="D18" s="124" t="s">
        <v>410</v>
      </c>
      <c r="E18" s="124" t="s">
        <v>411</v>
      </c>
      <c r="F18" s="125" t="s">
        <v>14</v>
      </c>
      <c r="G18" s="125" t="s">
        <v>13</v>
      </c>
      <c r="H18" s="125" t="s">
        <v>86</v>
      </c>
      <c r="I18" s="126"/>
      <c r="J18" s="142"/>
      <c r="K18" s="142"/>
      <c r="L18" s="126"/>
      <c r="M18" s="142"/>
      <c r="N18" s="142"/>
      <c r="O18" s="142"/>
      <c r="P18" s="130"/>
      <c r="Q18" s="143"/>
      <c r="R18" s="130"/>
      <c r="S18" s="130"/>
      <c r="T18" s="130"/>
      <c r="U18" s="130"/>
      <c r="V18" s="130"/>
      <c r="W18" s="130"/>
      <c r="X18" s="130"/>
      <c r="Y18" s="130"/>
      <c r="Z18" s="130"/>
    </row>
    <row r="19" ht="12.75" customHeight="1" outlineLevel="1">
      <c r="A19" s="124" t="s">
        <v>412</v>
      </c>
      <c r="B19" s="124" t="s">
        <v>413</v>
      </c>
      <c r="C19" s="124" t="s">
        <v>414</v>
      </c>
      <c r="D19" s="124" t="s">
        <v>415</v>
      </c>
      <c r="E19" s="124" t="s">
        <v>411</v>
      </c>
      <c r="F19" s="125" t="s">
        <v>14</v>
      </c>
      <c r="G19" s="125" t="s">
        <v>13</v>
      </c>
      <c r="H19" s="125" t="s">
        <v>86</v>
      </c>
      <c r="I19" s="126"/>
      <c r="J19" s="142"/>
      <c r="K19" s="142"/>
      <c r="L19" s="126"/>
      <c r="M19" s="142"/>
      <c r="N19" s="142"/>
      <c r="O19" s="142"/>
      <c r="P19" s="130"/>
      <c r="Q19" s="143"/>
      <c r="R19" s="130"/>
      <c r="S19" s="130"/>
      <c r="T19" s="130"/>
      <c r="U19" s="130"/>
      <c r="V19" s="130"/>
      <c r="W19" s="130"/>
      <c r="X19" s="130"/>
      <c r="Y19" s="130"/>
      <c r="Z19" s="130"/>
    </row>
    <row r="20" ht="12.75" customHeight="1" outlineLevel="1">
      <c r="A20" s="124" t="s">
        <v>416</v>
      </c>
      <c r="B20" s="124" t="s">
        <v>417</v>
      </c>
      <c r="C20" s="124" t="s">
        <v>418</v>
      </c>
      <c r="D20" s="124" t="s">
        <v>419</v>
      </c>
      <c r="E20" s="124" t="s">
        <v>420</v>
      </c>
      <c r="F20" s="125" t="s">
        <v>14</v>
      </c>
      <c r="G20" s="125" t="s">
        <v>13</v>
      </c>
      <c r="H20" s="125" t="s">
        <v>86</v>
      </c>
      <c r="I20" s="126" t="s">
        <v>27</v>
      </c>
      <c r="J20" s="142"/>
      <c r="K20" s="142"/>
      <c r="L20" s="126" t="s">
        <v>27</v>
      </c>
      <c r="M20" s="142"/>
      <c r="N20" s="142"/>
      <c r="O20" s="142"/>
      <c r="P20" s="130"/>
      <c r="Q20" s="143"/>
      <c r="R20" s="130"/>
      <c r="S20" s="130"/>
      <c r="T20" s="130"/>
      <c r="U20" s="130"/>
      <c r="V20" s="130"/>
      <c r="W20" s="130"/>
      <c r="X20" s="130"/>
      <c r="Y20" s="130"/>
      <c r="Z20" s="130"/>
    </row>
    <row r="21" ht="15.75" customHeight="1">
      <c r="A21" s="147" t="s">
        <v>119</v>
      </c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1"/>
      <c r="P21" s="122"/>
      <c r="Q21" s="123"/>
      <c r="R21" s="122"/>
      <c r="S21" s="122"/>
      <c r="T21" s="122"/>
      <c r="U21" s="122"/>
      <c r="V21" s="122"/>
      <c r="W21" s="122"/>
      <c r="X21" s="122"/>
      <c r="Y21" s="122"/>
      <c r="Z21" s="122"/>
    </row>
    <row r="22" ht="12.75" customHeight="1" outlineLevel="1">
      <c r="A22" s="124" t="s">
        <v>421</v>
      </c>
      <c r="B22" s="124" t="s">
        <v>422</v>
      </c>
      <c r="C22" s="124" t="s">
        <v>423</v>
      </c>
      <c r="D22" s="124" t="s">
        <v>424</v>
      </c>
      <c r="E22" s="124" t="s">
        <v>425</v>
      </c>
      <c r="F22" s="125" t="s">
        <v>14</v>
      </c>
      <c r="G22" s="125" t="s">
        <v>13</v>
      </c>
      <c r="H22" s="125" t="s">
        <v>86</v>
      </c>
      <c r="I22" s="126" t="s">
        <v>27</v>
      </c>
      <c r="J22" s="142"/>
      <c r="K22" s="142"/>
      <c r="L22" s="126" t="s">
        <v>27</v>
      </c>
      <c r="M22" s="142"/>
      <c r="N22" s="142"/>
      <c r="O22" s="142"/>
      <c r="P22" s="130"/>
      <c r="Q22" s="143"/>
      <c r="R22" s="130"/>
      <c r="S22" s="130"/>
      <c r="T22" s="130"/>
      <c r="U22" s="130"/>
      <c r="V22" s="130"/>
      <c r="W22" s="130"/>
      <c r="X22" s="130"/>
      <c r="Y22" s="130"/>
      <c r="Z22" s="130"/>
    </row>
    <row r="23" ht="15.75" customHeight="1">
      <c r="A23" s="147" t="s">
        <v>121</v>
      </c>
      <c r="B23" s="139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1"/>
      <c r="P23" s="122"/>
      <c r="Q23" s="123"/>
      <c r="R23" s="122"/>
      <c r="S23" s="122"/>
      <c r="T23" s="122"/>
      <c r="U23" s="122"/>
      <c r="V23" s="122"/>
      <c r="W23" s="122"/>
      <c r="X23" s="122"/>
      <c r="Y23" s="122"/>
      <c r="Z23" s="122"/>
    </row>
    <row r="24" ht="12.75" customHeight="1" outlineLevel="1">
      <c r="A24" s="124" t="s">
        <v>426</v>
      </c>
      <c r="B24" s="124" t="s">
        <v>427</v>
      </c>
      <c r="C24" s="124" t="s">
        <v>428</v>
      </c>
      <c r="D24" s="124" t="s">
        <v>429</v>
      </c>
      <c r="E24" s="124" t="s">
        <v>430</v>
      </c>
      <c r="F24" s="125" t="s">
        <v>14</v>
      </c>
      <c r="G24" s="125" t="s">
        <v>13</v>
      </c>
      <c r="H24" s="125" t="s">
        <v>86</v>
      </c>
      <c r="I24" s="126" t="s">
        <v>27</v>
      </c>
      <c r="J24" s="142"/>
      <c r="K24" s="142"/>
      <c r="L24" s="126" t="s">
        <v>27</v>
      </c>
      <c r="M24" s="142"/>
      <c r="N24" s="142"/>
      <c r="O24" s="142"/>
      <c r="P24" s="130"/>
      <c r="Q24" s="143"/>
      <c r="R24" s="130"/>
      <c r="S24" s="130"/>
      <c r="T24" s="130"/>
      <c r="U24" s="130"/>
      <c r="V24" s="130"/>
      <c r="W24" s="130"/>
      <c r="X24" s="130"/>
      <c r="Y24" s="130"/>
      <c r="Z24" s="130"/>
    </row>
    <row r="25" ht="12.75" customHeight="1" outlineLevel="1">
      <c r="A25" s="124" t="s">
        <v>431</v>
      </c>
      <c r="B25" s="124" t="s">
        <v>432</v>
      </c>
      <c r="C25" s="124" t="s">
        <v>433</v>
      </c>
      <c r="D25" s="124" t="s">
        <v>434</v>
      </c>
      <c r="E25" s="124" t="s">
        <v>435</v>
      </c>
      <c r="F25" s="125" t="s">
        <v>14</v>
      </c>
      <c r="G25" s="125" t="s">
        <v>13</v>
      </c>
      <c r="H25" s="125" t="s">
        <v>86</v>
      </c>
      <c r="I25" s="126" t="s">
        <v>27</v>
      </c>
      <c r="J25" s="142"/>
      <c r="K25" s="142"/>
      <c r="L25" s="126" t="s">
        <v>27</v>
      </c>
      <c r="M25" s="142"/>
      <c r="N25" s="142"/>
      <c r="O25" s="142"/>
      <c r="P25" s="130"/>
      <c r="Q25" s="143"/>
      <c r="R25" s="130"/>
      <c r="S25" s="130"/>
      <c r="T25" s="130"/>
      <c r="U25" s="130"/>
      <c r="V25" s="130"/>
      <c r="W25" s="130"/>
      <c r="X25" s="130"/>
      <c r="Y25" s="130"/>
      <c r="Z25" s="130"/>
    </row>
    <row r="26" ht="12.75" customHeight="1" outlineLevel="1">
      <c r="A26" s="124" t="s">
        <v>436</v>
      </c>
      <c r="B26" s="124" t="s">
        <v>437</v>
      </c>
      <c r="C26" s="124" t="s">
        <v>438</v>
      </c>
      <c r="D26" s="124" t="s">
        <v>439</v>
      </c>
      <c r="E26" s="124" t="s">
        <v>440</v>
      </c>
      <c r="F26" s="125" t="s">
        <v>14</v>
      </c>
      <c r="G26" s="125" t="s">
        <v>13</v>
      </c>
      <c r="H26" s="125" t="s">
        <v>86</v>
      </c>
      <c r="I26" s="126" t="s">
        <v>27</v>
      </c>
      <c r="J26" s="142"/>
      <c r="K26" s="142"/>
      <c r="L26" s="126" t="s">
        <v>27</v>
      </c>
      <c r="M26" s="142"/>
      <c r="N26" s="142"/>
      <c r="O26" s="142"/>
      <c r="P26" s="130"/>
      <c r="Q26" s="143"/>
      <c r="R26" s="130"/>
      <c r="S26" s="130"/>
      <c r="T26" s="130"/>
      <c r="U26" s="130"/>
      <c r="V26" s="130"/>
      <c r="W26" s="130"/>
      <c r="X26" s="130"/>
      <c r="Y26" s="130"/>
      <c r="Z26" s="130"/>
    </row>
    <row r="27" ht="12.75" customHeight="1" outlineLevel="1">
      <c r="A27" s="124" t="s">
        <v>441</v>
      </c>
      <c r="B27" s="124" t="s">
        <v>442</v>
      </c>
      <c r="C27" s="124" t="s">
        <v>443</v>
      </c>
      <c r="D27" s="124" t="s">
        <v>444</v>
      </c>
      <c r="E27" s="124" t="s">
        <v>445</v>
      </c>
      <c r="F27" s="126" t="s">
        <v>27</v>
      </c>
      <c r="G27" s="125" t="s">
        <v>13</v>
      </c>
      <c r="H27" s="125" t="s">
        <v>86</v>
      </c>
      <c r="I27" s="126" t="s">
        <v>27</v>
      </c>
      <c r="J27" s="142"/>
      <c r="K27" s="142"/>
      <c r="L27" s="126" t="s">
        <v>27</v>
      </c>
      <c r="M27" s="142"/>
      <c r="N27" s="142"/>
      <c r="O27" s="142"/>
      <c r="P27" s="130"/>
      <c r="Q27" s="143"/>
      <c r="R27" s="130"/>
      <c r="S27" s="130"/>
      <c r="T27" s="130"/>
      <c r="U27" s="130"/>
      <c r="V27" s="130"/>
      <c r="W27" s="130"/>
      <c r="X27" s="130"/>
      <c r="Y27" s="130"/>
      <c r="Z27" s="130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3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3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3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3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3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3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3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3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3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3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3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3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27 I12:I27 L12:L27 G28:G148 J28:J148 M28:M14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5.63" outlineLevel="1"/>
    <col customWidth="1" min="8" max="8" width="21.2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68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446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11.0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COUNTIF($F10:$F996,B5)</f>
        <v>11</v>
      </c>
      <c r="C6" s="88">
        <f t="shared" si="1"/>
        <v>0</v>
      </c>
      <c r="D6" s="88">
        <f t="shared" si="1"/>
        <v>0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COUNTIF($F10:$F996,B5)</f>
        <v>11</v>
      </c>
      <c r="C7" s="88">
        <f t="shared" si="2"/>
        <v>0</v>
      </c>
      <c r="D7" s="88">
        <f t="shared" si="2"/>
        <v>0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COUNTIF($F10:$F996,B5)</f>
        <v>11</v>
      </c>
      <c r="C8" s="112">
        <f t="shared" si="3"/>
        <v>0</v>
      </c>
      <c r="D8" s="112">
        <f t="shared" si="3"/>
        <v>0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47" t="s">
        <v>104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447</v>
      </c>
      <c r="B12" s="124" t="s">
        <v>448</v>
      </c>
      <c r="C12" s="124" t="s">
        <v>449</v>
      </c>
      <c r="D12" s="124" t="s">
        <v>450</v>
      </c>
      <c r="E12" s="124" t="s">
        <v>451</v>
      </c>
      <c r="F12" s="125" t="s">
        <v>14</v>
      </c>
      <c r="G12" s="125" t="s">
        <v>452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453</v>
      </c>
      <c r="B13" s="124" t="s">
        <v>454</v>
      </c>
      <c r="C13" s="124" t="s">
        <v>455</v>
      </c>
      <c r="D13" s="124" t="s">
        <v>456</v>
      </c>
      <c r="E13" s="124" t="s">
        <v>457</v>
      </c>
      <c r="F13" s="125" t="s">
        <v>14</v>
      </c>
      <c r="G13" s="125" t="s">
        <v>452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5.75" customHeight="1">
      <c r="A14" s="147" t="s">
        <v>126</v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1"/>
      <c r="P14" s="122"/>
      <c r="Q14" s="123"/>
      <c r="R14" s="122"/>
      <c r="S14" s="122"/>
      <c r="T14" s="122"/>
      <c r="U14" s="122"/>
      <c r="V14" s="122"/>
      <c r="W14" s="122"/>
      <c r="X14" s="122"/>
      <c r="Y14" s="122"/>
      <c r="Z14" s="122"/>
    </row>
    <row r="15" ht="12.75" customHeight="1" outlineLevel="1">
      <c r="A15" s="124" t="s">
        <v>458</v>
      </c>
      <c r="B15" s="124" t="s">
        <v>459</v>
      </c>
      <c r="C15" s="124" t="s">
        <v>460</v>
      </c>
      <c r="D15" s="124" t="s">
        <v>461</v>
      </c>
      <c r="E15" s="124" t="s">
        <v>462</v>
      </c>
      <c r="F15" s="125" t="s">
        <v>14</v>
      </c>
      <c r="G15" s="125" t="s">
        <v>452</v>
      </c>
      <c r="H15" s="125" t="s">
        <v>86</v>
      </c>
      <c r="I15" s="125" t="s">
        <v>33</v>
      </c>
      <c r="J15" s="126"/>
      <c r="K15" s="126"/>
      <c r="L15" s="125" t="s">
        <v>33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12.75" customHeight="1" outlineLevel="1">
      <c r="A16" s="124" t="s">
        <v>464</v>
      </c>
      <c r="B16" s="124" t="s">
        <v>465</v>
      </c>
      <c r="C16" s="124" t="s">
        <v>466</v>
      </c>
      <c r="D16" s="124" t="s">
        <v>467</v>
      </c>
      <c r="E16" s="124" t="s">
        <v>468</v>
      </c>
      <c r="F16" s="125" t="s">
        <v>14</v>
      </c>
      <c r="G16" s="125" t="s">
        <v>452</v>
      </c>
      <c r="H16" s="125" t="s">
        <v>86</v>
      </c>
      <c r="I16" s="125" t="s">
        <v>33</v>
      </c>
      <c r="J16" s="142"/>
      <c r="K16" s="142"/>
      <c r="L16" s="125" t="s">
        <v>33</v>
      </c>
      <c r="M16" s="142"/>
      <c r="N16" s="142"/>
      <c r="O16" s="142"/>
      <c r="P16" s="130"/>
      <c r="Q16" s="143"/>
      <c r="R16" s="130"/>
      <c r="S16" s="130"/>
      <c r="T16" s="130"/>
      <c r="U16" s="130"/>
      <c r="V16" s="130"/>
      <c r="W16" s="130"/>
      <c r="X16" s="130"/>
      <c r="Y16" s="130"/>
      <c r="Z16" s="130"/>
    </row>
    <row r="17" ht="12.75" customHeight="1" outlineLevel="1">
      <c r="A17" s="124" t="s">
        <v>469</v>
      </c>
      <c r="B17" s="124" t="s">
        <v>470</v>
      </c>
      <c r="C17" s="124" t="s">
        <v>471</v>
      </c>
      <c r="D17" s="124" t="s">
        <v>472</v>
      </c>
      <c r="E17" s="124" t="s">
        <v>473</v>
      </c>
      <c r="F17" s="125" t="s">
        <v>14</v>
      </c>
      <c r="G17" s="125" t="s">
        <v>452</v>
      </c>
      <c r="H17" s="125" t="s">
        <v>86</v>
      </c>
      <c r="I17" s="125" t="s">
        <v>33</v>
      </c>
      <c r="J17" s="142"/>
      <c r="K17" s="142"/>
      <c r="L17" s="125" t="s">
        <v>33</v>
      </c>
      <c r="M17" s="142"/>
      <c r="N17" s="142"/>
      <c r="O17" s="142"/>
      <c r="P17" s="130"/>
      <c r="Q17" s="143"/>
      <c r="R17" s="130"/>
      <c r="S17" s="130"/>
      <c r="T17" s="130"/>
      <c r="U17" s="130"/>
      <c r="V17" s="130"/>
      <c r="W17" s="130"/>
      <c r="X17" s="130"/>
      <c r="Y17" s="130"/>
      <c r="Z17" s="130"/>
    </row>
    <row r="18" ht="15.75" customHeight="1">
      <c r="A18" s="147" t="s">
        <v>132</v>
      </c>
      <c r="B18" s="139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1"/>
      <c r="P18" s="122"/>
      <c r="Q18" s="123"/>
      <c r="R18" s="122"/>
      <c r="S18" s="122"/>
      <c r="T18" s="122"/>
      <c r="U18" s="122"/>
      <c r="V18" s="122"/>
      <c r="W18" s="122"/>
      <c r="X18" s="122"/>
      <c r="Y18" s="122"/>
      <c r="Z18" s="122"/>
    </row>
    <row r="19" ht="12.75" customHeight="1" outlineLevel="1">
      <c r="A19" s="124" t="s">
        <v>474</v>
      </c>
      <c r="B19" s="124" t="s">
        <v>475</v>
      </c>
      <c r="C19" s="124" t="s">
        <v>476</v>
      </c>
      <c r="D19" s="124" t="s">
        <v>477</v>
      </c>
      <c r="E19" s="124" t="s">
        <v>478</v>
      </c>
      <c r="F19" s="125" t="s">
        <v>14</v>
      </c>
      <c r="G19" s="125" t="s">
        <v>452</v>
      </c>
      <c r="H19" s="125" t="s">
        <v>86</v>
      </c>
      <c r="I19" s="125" t="s">
        <v>33</v>
      </c>
      <c r="J19" s="142"/>
      <c r="K19" s="142"/>
      <c r="L19" s="125" t="s">
        <v>33</v>
      </c>
      <c r="M19" s="142"/>
      <c r="N19" s="142"/>
      <c r="O19" s="142"/>
      <c r="P19" s="130"/>
      <c r="Q19" s="143"/>
      <c r="R19" s="130"/>
      <c r="S19" s="130"/>
      <c r="T19" s="130"/>
      <c r="U19" s="130"/>
      <c r="V19" s="130"/>
      <c r="W19" s="130"/>
      <c r="X19" s="130"/>
      <c r="Y19" s="130"/>
      <c r="Z19" s="130"/>
    </row>
    <row r="20" ht="12.75" customHeight="1" outlineLevel="1">
      <c r="A20" s="124" t="s">
        <v>479</v>
      </c>
      <c r="B20" s="124" t="s">
        <v>480</v>
      </c>
      <c r="C20" s="124" t="s">
        <v>481</v>
      </c>
      <c r="D20" s="124" t="s">
        <v>482</v>
      </c>
      <c r="E20" s="124" t="s">
        <v>483</v>
      </c>
      <c r="F20" s="125" t="s">
        <v>14</v>
      </c>
      <c r="G20" s="125" t="s">
        <v>452</v>
      </c>
      <c r="H20" s="125" t="s">
        <v>86</v>
      </c>
      <c r="I20" s="125" t="s">
        <v>33</v>
      </c>
      <c r="J20" s="142"/>
      <c r="K20" s="142"/>
      <c r="L20" s="125" t="s">
        <v>33</v>
      </c>
      <c r="M20" s="142"/>
      <c r="N20" s="142"/>
      <c r="O20" s="142"/>
      <c r="P20" s="130"/>
      <c r="Q20" s="143"/>
      <c r="R20" s="130"/>
      <c r="S20" s="130"/>
      <c r="T20" s="130"/>
      <c r="U20" s="130"/>
      <c r="V20" s="130"/>
      <c r="W20" s="130"/>
      <c r="X20" s="130"/>
      <c r="Y20" s="130"/>
      <c r="Z20" s="130"/>
    </row>
    <row r="21" ht="12.75" customHeight="1" outlineLevel="1">
      <c r="A21" s="124" t="s">
        <v>484</v>
      </c>
      <c r="B21" s="124" t="s">
        <v>485</v>
      </c>
      <c r="C21" s="124" t="s">
        <v>486</v>
      </c>
      <c r="D21" s="124" t="s">
        <v>487</v>
      </c>
      <c r="E21" s="124" t="s">
        <v>488</v>
      </c>
      <c r="F21" s="125" t="s">
        <v>14</v>
      </c>
      <c r="G21" s="125" t="s">
        <v>452</v>
      </c>
      <c r="H21" s="125" t="s">
        <v>86</v>
      </c>
      <c r="I21" s="125" t="s">
        <v>33</v>
      </c>
      <c r="J21" s="142"/>
      <c r="K21" s="142"/>
      <c r="L21" s="125" t="s">
        <v>33</v>
      </c>
      <c r="M21" s="142"/>
      <c r="N21" s="142"/>
      <c r="O21" s="142"/>
      <c r="P21" s="130"/>
      <c r="Q21" s="143"/>
      <c r="R21" s="130"/>
      <c r="S21" s="130"/>
      <c r="T21" s="130"/>
      <c r="U21" s="130"/>
      <c r="V21" s="130"/>
      <c r="W21" s="130"/>
      <c r="X21" s="130"/>
      <c r="Y21" s="130"/>
      <c r="Z21" s="130"/>
    </row>
    <row r="22" ht="12.75" customHeight="1" outlineLevel="1">
      <c r="A22" s="124" t="s">
        <v>489</v>
      </c>
      <c r="B22" s="124" t="s">
        <v>490</v>
      </c>
      <c r="C22" s="124" t="s">
        <v>491</v>
      </c>
      <c r="D22" s="124" t="s">
        <v>492</v>
      </c>
      <c r="E22" s="124" t="s">
        <v>493</v>
      </c>
      <c r="F22" s="125" t="s">
        <v>14</v>
      </c>
      <c r="G22" s="125" t="s">
        <v>452</v>
      </c>
      <c r="H22" s="125" t="s">
        <v>86</v>
      </c>
      <c r="I22" s="125" t="s">
        <v>33</v>
      </c>
      <c r="J22" s="142"/>
      <c r="K22" s="142"/>
      <c r="L22" s="125" t="s">
        <v>33</v>
      </c>
      <c r="M22" s="142"/>
      <c r="N22" s="142"/>
      <c r="O22" s="142"/>
      <c r="P22" s="130"/>
      <c r="Q22" s="143"/>
      <c r="R22" s="130"/>
      <c r="S22" s="130"/>
      <c r="T22" s="130"/>
      <c r="U22" s="130"/>
      <c r="V22" s="130"/>
      <c r="W22" s="130"/>
      <c r="X22" s="130"/>
      <c r="Y22" s="130"/>
      <c r="Z22" s="130"/>
    </row>
    <row r="23" ht="12.75" customHeight="1" outlineLevel="1">
      <c r="A23" s="124" t="s">
        <v>494</v>
      </c>
      <c r="B23" s="124" t="s">
        <v>495</v>
      </c>
      <c r="C23" s="124" t="s">
        <v>496</v>
      </c>
      <c r="D23" s="124" t="s">
        <v>497</v>
      </c>
      <c r="E23" s="124" t="s">
        <v>498</v>
      </c>
      <c r="F23" s="125" t="s">
        <v>14</v>
      </c>
      <c r="G23" s="125" t="s">
        <v>452</v>
      </c>
      <c r="H23" s="125" t="s">
        <v>86</v>
      </c>
      <c r="I23" s="125" t="s">
        <v>33</v>
      </c>
      <c r="J23" s="142"/>
      <c r="K23" s="142"/>
      <c r="L23" s="125" t="s">
        <v>33</v>
      </c>
      <c r="M23" s="142"/>
      <c r="N23" s="142"/>
      <c r="O23" s="142"/>
      <c r="P23" s="130"/>
      <c r="Q23" s="143"/>
      <c r="R23" s="130"/>
      <c r="S23" s="130"/>
      <c r="T23" s="130"/>
      <c r="U23" s="130"/>
      <c r="V23" s="130"/>
      <c r="W23" s="130"/>
      <c r="X23" s="130"/>
      <c r="Y23" s="130"/>
      <c r="Z23" s="130"/>
    </row>
    <row r="24" ht="12.75" customHeight="1" outlineLevel="1">
      <c r="A24" s="124" t="s">
        <v>504</v>
      </c>
      <c r="B24" s="124" t="s">
        <v>505</v>
      </c>
      <c r="C24" s="124" t="s">
        <v>506</v>
      </c>
      <c r="D24" s="124" t="s">
        <v>507</v>
      </c>
      <c r="E24" s="124" t="s">
        <v>508</v>
      </c>
      <c r="F24" s="125" t="s">
        <v>14</v>
      </c>
      <c r="G24" s="125" t="s">
        <v>452</v>
      </c>
      <c r="H24" s="125" t="s">
        <v>86</v>
      </c>
      <c r="I24" s="125" t="s">
        <v>33</v>
      </c>
      <c r="J24" s="142"/>
      <c r="K24" s="142"/>
      <c r="L24" s="125" t="s">
        <v>33</v>
      </c>
      <c r="M24" s="142"/>
      <c r="N24" s="142"/>
      <c r="O24" s="142"/>
      <c r="P24" s="130"/>
      <c r="Q24" s="143"/>
      <c r="R24" s="130"/>
      <c r="S24" s="130"/>
      <c r="T24" s="130"/>
      <c r="U24" s="130"/>
      <c r="V24" s="130"/>
      <c r="W24" s="130"/>
      <c r="X24" s="130"/>
      <c r="Y24" s="130"/>
      <c r="Z24" s="130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3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3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3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3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3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3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3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3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3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3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3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24 I12:I24 L12:L24 G25:G145 J25:J145 M25:M14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33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76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463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9.0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COUNTIF($F10:$F994,B5)</f>
        <v>6</v>
      </c>
      <c r="C6" s="88">
        <f t="shared" si="1"/>
        <v>3</v>
      </c>
      <c r="D6" s="88">
        <f t="shared" si="1"/>
        <v>0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COUNTIF($F10:$F994,B5)</f>
        <v>6</v>
      </c>
      <c r="C7" s="88">
        <f t="shared" si="2"/>
        <v>3</v>
      </c>
      <c r="D7" s="88">
        <f t="shared" si="2"/>
        <v>0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COUNTIF($F10:$F994,B5)</f>
        <v>6</v>
      </c>
      <c r="C8" s="112">
        <f t="shared" si="3"/>
        <v>3</v>
      </c>
      <c r="D8" s="112">
        <f t="shared" si="3"/>
        <v>0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47" t="s">
        <v>133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499</v>
      </c>
      <c r="B12" s="124" t="s">
        <v>500</v>
      </c>
      <c r="C12" s="124" t="s">
        <v>501</v>
      </c>
      <c r="D12" s="124" t="s">
        <v>502</v>
      </c>
      <c r="E12" s="124" t="s">
        <v>503</v>
      </c>
      <c r="F12" s="125" t="s">
        <v>14</v>
      </c>
      <c r="G12" s="125" t="s">
        <v>452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509</v>
      </c>
      <c r="B13" s="124" t="s">
        <v>510</v>
      </c>
      <c r="C13" s="124" t="s">
        <v>511</v>
      </c>
      <c r="D13" s="124" t="s">
        <v>512</v>
      </c>
      <c r="E13" s="124" t="s">
        <v>513</v>
      </c>
      <c r="F13" s="125" t="s">
        <v>14</v>
      </c>
      <c r="G13" s="125" t="s">
        <v>33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5.75" customHeight="1">
      <c r="A14" s="147" t="s">
        <v>141</v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1"/>
      <c r="P14" s="122"/>
      <c r="Q14" s="123"/>
      <c r="R14" s="122"/>
      <c r="S14" s="122"/>
      <c r="T14" s="122"/>
      <c r="U14" s="122"/>
      <c r="V14" s="122"/>
      <c r="W14" s="122"/>
      <c r="X14" s="122"/>
      <c r="Y14" s="122"/>
      <c r="Z14" s="122"/>
    </row>
    <row r="15" ht="12.75" customHeight="1" outlineLevel="1">
      <c r="A15" s="124" t="s">
        <v>514</v>
      </c>
      <c r="B15" s="124" t="s">
        <v>515</v>
      </c>
      <c r="C15" s="124" t="s">
        <v>516</v>
      </c>
      <c r="D15" s="124" t="s">
        <v>517</v>
      </c>
      <c r="E15" s="124" t="s">
        <v>518</v>
      </c>
      <c r="F15" s="125" t="s">
        <v>14</v>
      </c>
      <c r="G15" s="125" t="s">
        <v>33</v>
      </c>
      <c r="H15" s="125" t="s">
        <v>86</v>
      </c>
      <c r="I15" s="125" t="s">
        <v>33</v>
      </c>
      <c r="J15" s="126"/>
      <c r="K15" s="126"/>
      <c r="L15" s="125" t="s">
        <v>33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12.75" customHeight="1" outlineLevel="1">
      <c r="A16" s="124" t="s">
        <v>519</v>
      </c>
      <c r="B16" s="124" t="s">
        <v>520</v>
      </c>
      <c r="C16" s="124" t="s">
        <v>521</v>
      </c>
      <c r="D16" s="124" t="s">
        <v>522</v>
      </c>
      <c r="E16" s="124" t="s">
        <v>523</v>
      </c>
      <c r="F16" s="125" t="s">
        <v>14</v>
      </c>
      <c r="G16" s="125" t="s">
        <v>33</v>
      </c>
      <c r="H16" s="125" t="s">
        <v>86</v>
      </c>
      <c r="I16" s="125" t="s">
        <v>33</v>
      </c>
      <c r="J16" s="142"/>
      <c r="K16" s="142"/>
      <c r="L16" s="125" t="s">
        <v>33</v>
      </c>
      <c r="M16" s="142"/>
      <c r="N16" s="142"/>
      <c r="O16" s="142"/>
      <c r="P16" s="130"/>
      <c r="Q16" s="143"/>
      <c r="R16" s="130"/>
      <c r="S16" s="130"/>
      <c r="T16" s="130"/>
      <c r="U16" s="130"/>
      <c r="V16" s="130"/>
      <c r="W16" s="130"/>
      <c r="X16" s="130"/>
      <c r="Y16" s="130"/>
      <c r="Z16" s="130"/>
    </row>
    <row r="17" ht="12.75" customHeight="1" outlineLevel="1">
      <c r="A17" s="124" t="s">
        <v>524</v>
      </c>
      <c r="B17" s="124" t="s">
        <v>525</v>
      </c>
      <c r="C17" s="124" t="s">
        <v>526</v>
      </c>
      <c r="D17" s="177" t="s">
        <v>527</v>
      </c>
      <c r="E17" s="124" t="s">
        <v>528</v>
      </c>
      <c r="F17" s="125" t="s">
        <v>20</v>
      </c>
      <c r="G17" s="125" t="s">
        <v>33</v>
      </c>
      <c r="H17" s="125" t="s">
        <v>86</v>
      </c>
      <c r="I17" s="125" t="s">
        <v>33</v>
      </c>
      <c r="J17" s="142"/>
      <c r="K17" s="142"/>
      <c r="L17" s="125" t="s">
        <v>33</v>
      </c>
      <c r="M17" s="142"/>
      <c r="N17" s="142"/>
      <c r="O17" s="142"/>
      <c r="P17" s="130"/>
      <c r="Q17" s="143"/>
      <c r="R17" s="130"/>
      <c r="S17" s="130"/>
      <c r="T17" s="130"/>
      <c r="U17" s="130"/>
      <c r="V17" s="130"/>
      <c r="W17" s="130"/>
      <c r="X17" s="130"/>
      <c r="Y17" s="130"/>
      <c r="Z17" s="130"/>
    </row>
    <row r="18" ht="12.75" customHeight="1" outlineLevel="1">
      <c r="A18" s="124" t="s">
        <v>529</v>
      </c>
      <c r="B18" s="124" t="s">
        <v>530</v>
      </c>
      <c r="C18" s="177" t="s">
        <v>531</v>
      </c>
      <c r="D18" s="124" t="s">
        <v>532</v>
      </c>
      <c r="E18" s="124" t="s">
        <v>307</v>
      </c>
      <c r="F18" s="125" t="s">
        <v>20</v>
      </c>
      <c r="G18" s="125" t="s">
        <v>33</v>
      </c>
      <c r="H18" s="125" t="s">
        <v>86</v>
      </c>
      <c r="I18" s="125" t="s">
        <v>33</v>
      </c>
      <c r="J18" s="142"/>
      <c r="K18" s="142"/>
      <c r="L18" s="125" t="s">
        <v>33</v>
      </c>
      <c r="M18" s="142"/>
      <c r="N18" s="142"/>
      <c r="O18" s="142"/>
      <c r="P18" s="130"/>
      <c r="Q18" s="143"/>
      <c r="R18" s="130"/>
      <c r="S18" s="130"/>
      <c r="T18" s="130"/>
      <c r="U18" s="130"/>
      <c r="V18" s="130"/>
      <c r="W18" s="130"/>
      <c r="X18" s="130"/>
      <c r="Y18" s="130"/>
      <c r="Z18" s="130"/>
    </row>
    <row r="19" ht="15.75" customHeight="1">
      <c r="A19" s="147" t="s">
        <v>147</v>
      </c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1"/>
      <c r="P19" s="122"/>
      <c r="Q19" s="123"/>
      <c r="R19" s="122"/>
      <c r="S19" s="122"/>
      <c r="T19" s="122"/>
      <c r="U19" s="122"/>
      <c r="V19" s="122"/>
      <c r="W19" s="122"/>
      <c r="X19" s="122"/>
      <c r="Y19" s="122"/>
      <c r="Z19" s="122"/>
    </row>
    <row r="20" ht="12.75" customHeight="1" outlineLevel="1">
      <c r="A20" s="124" t="s">
        <v>533</v>
      </c>
      <c r="B20" s="124" t="s">
        <v>534</v>
      </c>
      <c r="C20" s="124" t="s">
        <v>535</v>
      </c>
      <c r="D20" s="124" t="s">
        <v>536</v>
      </c>
      <c r="E20" s="124" t="s">
        <v>537</v>
      </c>
      <c r="F20" s="125" t="s">
        <v>14</v>
      </c>
      <c r="G20" s="125" t="s">
        <v>33</v>
      </c>
      <c r="H20" s="125" t="s">
        <v>86</v>
      </c>
      <c r="I20" s="125" t="s">
        <v>33</v>
      </c>
      <c r="J20" s="142"/>
      <c r="K20" s="142"/>
      <c r="L20" s="125" t="s">
        <v>33</v>
      </c>
      <c r="M20" s="142"/>
      <c r="N20" s="142"/>
      <c r="O20" s="142"/>
      <c r="P20" s="130"/>
      <c r="Q20" s="143"/>
      <c r="R20" s="130"/>
      <c r="S20" s="130"/>
      <c r="T20" s="130"/>
      <c r="U20" s="130"/>
      <c r="V20" s="130"/>
      <c r="W20" s="130"/>
      <c r="X20" s="130"/>
      <c r="Y20" s="130"/>
      <c r="Z20" s="130"/>
    </row>
    <row r="21" ht="12.75" customHeight="1" outlineLevel="1">
      <c r="A21" s="124" t="s">
        <v>538</v>
      </c>
      <c r="B21" s="124" t="s">
        <v>539</v>
      </c>
      <c r="C21" s="124" t="s">
        <v>540</v>
      </c>
      <c r="D21" s="124" t="s">
        <v>541</v>
      </c>
      <c r="E21" s="124" t="s">
        <v>542</v>
      </c>
      <c r="F21" s="125" t="s">
        <v>14</v>
      </c>
      <c r="G21" s="125" t="s">
        <v>33</v>
      </c>
      <c r="H21" s="125" t="s">
        <v>86</v>
      </c>
      <c r="I21" s="125" t="s">
        <v>33</v>
      </c>
      <c r="J21" s="142"/>
      <c r="K21" s="142"/>
      <c r="L21" s="125" t="s">
        <v>33</v>
      </c>
      <c r="M21" s="142"/>
      <c r="N21" s="142"/>
      <c r="O21" s="142"/>
      <c r="P21" s="130"/>
      <c r="Q21" s="143"/>
      <c r="R21" s="130"/>
      <c r="S21" s="130"/>
      <c r="T21" s="130"/>
      <c r="U21" s="130"/>
      <c r="V21" s="130"/>
      <c r="W21" s="130"/>
      <c r="X21" s="130"/>
      <c r="Y21" s="130"/>
      <c r="Z21" s="130"/>
    </row>
    <row r="22" ht="12.75" customHeight="1" outlineLevel="1">
      <c r="A22" s="124" t="s">
        <v>543</v>
      </c>
      <c r="B22" s="124" t="s">
        <v>544</v>
      </c>
      <c r="C22" s="177" t="s">
        <v>545</v>
      </c>
      <c r="D22" s="124" t="s">
        <v>546</v>
      </c>
      <c r="E22" s="124" t="s">
        <v>547</v>
      </c>
      <c r="F22" s="125" t="s">
        <v>20</v>
      </c>
      <c r="G22" s="125" t="s">
        <v>33</v>
      </c>
      <c r="H22" s="125" t="s">
        <v>86</v>
      </c>
      <c r="I22" s="125" t="s">
        <v>33</v>
      </c>
      <c r="J22" s="142"/>
      <c r="K22" s="142"/>
      <c r="L22" s="125" t="s">
        <v>33</v>
      </c>
      <c r="M22" s="142"/>
      <c r="N22" s="142"/>
      <c r="O22" s="142"/>
      <c r="P22" s="130"/>
      <c r="Q22" s="143"/>
      <c r="R22" s="130"/>
      <c r="S22" s="130"/>
      <c r="T22" s="130"/>
      <c r="U22" s="130"/>
      <c r="V22" s="130"/>
      <c r="W22" s="130"/>
      <c r="X22" s="130"/>
      <c r="Y22" s="130"/>
      <c r="Z22" s="130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3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3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3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3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3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3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3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3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3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3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3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F13:G13 F14 F15:G18 F19 F20:G22 I12:I22 L12:L22 G23:G143 J23:J143 M23:M14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7.25" outlineLevel="1"/>
    <col customWidth="1" min="8" max="8" width="33.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548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549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3.0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COUNTIF($F10:$F987,B5)</f>
        <v>2</v>
      </c>
      <c r="C6" s="88">
        <f t="shared" si="1"/>
        <v>1</v>
      </c>
      <c r="D6" s="88">
        <f t="shared" si="1"/>
        <v>0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COUNTIF($F10:$F987,B5)</f>
        <v>2</v>
      </c>
      <c r="C7" s="88">
        <f t="shared" si="2"/>
        <v>1</v>
      </c>
      <c r="D7" s="88">
        <f t="shared" si="2"/>
        <v>0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COUNTIF($F10:$F987,B5)</f>
        <v>2</v>
      </c>
      <c r="C8" s="112">
        <f t="shared" si="3"/>
        <v>1</v>
      </c>
      <c r="D8" s="112">
        <f t="shared" si="3"/>
        <v>0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147" t="s">
        <v>148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550</v>
      </c>
      <c r="B12" s="124" t="s">
        <v>551</v>
      </c>
      <c r="C12" s="124" t="s">
        <v>552</v>
      </c>
      <c r="D12" s="124" t="s">
        <v>553</v>
      </c>
      <c r="E12" s="124" t="s">
        <v>554</v>
      </c>
      <c r="F12" s="125" t="s">
        <v>14</v>
      </c>
      <c r="G12" s="125" t="s">
        <v>452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555</v>
      </c>
      <c r="B13" s="124" t="s">
        <v>556</v>
      </c>
      <c r="C13" s="124" t="s">
        <v>557</v>
      </c>
      <c r="D13" s="124" t="s">
        <v>558</v>
      </c>
      <c r="E13" s="124" t="s">
        <v>559</v>
      </c>
      <c r="F13" s="125" t="s">
        <v>20</v>
      </c>
      <c r="G13" s="125" t="s">
        <v>452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5.75" customHeight="1">
      <c r="A14" s="147" t="s">
        <v>153</v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1"/>
      <c r="P14" s="122"/>
      <c r="Q14" s="123"/>
      <c r="R14" s="122"/>
      <c r="S14" s="122"/>
      <c r="T14" s="122"/>
      <c r="U14" s="122"/>
      <c r="V14" s="122"/>
      <c r="W14" s="122"/>
      <c r="X14" s="122"/>
      <c r="Y14" s="122"/>
      <c r="Z14" s="122"/>
    </row>
    <row r="15" ht="12.75" customHeight="1" outlineLevel="1">
      <c r="A15" s="124" t="s">
        <v>560</v>
      </c>
      <c r="B15" s="124" t="s">
        <v>561</v>
      </c>
      <c r="C15" s="124" t="s">
        <v>562</v>
      </c>
      <c r="D15" s="124" t="s">
        <v>563</v>
      </c>
      <c r="E15" s="124" t="s">
        <v>564</v>
      </c>
      <c r="F15" s="125" t="s">
        <v>14</v>
      </c>
      <c r="G15" s="125" t="s">
        <v>452</v>
      </c>
      <c r="H15" s="125" t="s">
        <v>86</v>
      </c>
      <c r="I15" s="125" t="s">
        <v>33</v>
      </c>
      <c r="J15" s="126"/>
      <c r="K15" s="126"/>
      <c r="L15" s="125" t="s">
        <v>33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3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3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3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3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3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3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3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3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3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3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3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5 I12:I15 L12:L15 G16:G136 J16:J136 M16:M13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4.5" outlineLevel="1"/>
    <col customWidth="1" min="8" max="8" width="20.1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89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565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5.0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COUNTIF($F10:$F983,B5)</f>
        <v>4</v>
      </c>
      <c r="C6" s="88">
        <f t="shared" si="1"/>
        <v>1</v>
      </c>
      <c r="D6" s="88">
        <f t="shared" si="1"/>
        <v>0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COUNTIF($F10:$F983,B5)</f>
        <v>4</v>
      </c>
      <c r="C7" s="88">
        <f t="shared" si="2"/>
        <v>1</v>
      </c>
      <c r="D7" s="88">
        <f t="shared" si="2"/>
        <v>0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COUNTIF($F10:$F983,B5)</f>
        <v>4</v>
      </c>
      <c r="C8" s="112">
        <f t="shared" si="3"/>
        <v>1</v>
      </c>
      <c r="D8" s="112">
        <f t="shared" si="3"/>
        <v>0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47" t="s">
        <v>178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566</v>
      </c>
      <c r="B12" s="124" t="s">
        <v>567</v>
      </c>
      <c r="C12" s="177" t="s">
        <v>568</v>
      </c>
      <c r="D12" s="124" t="s">
        <v>569</v>
      </c>
      <c r="E12" s="124" t="s">
        <v>570</v>
      </c>
      <c r="F12" s="125" t="s">
        <v>20</v>
      </c>
      <c r="G12" s="125" t="s">
        <v>452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571</v>
      </c>
      <c r="B13" s="124" t="s">
        <v>572</v>
      </c>
      <c r="C13" s="124" t="s">
        <v>573</v>
      </c>
      <c r="D13" s="124" t="s">
        <v>574</v>
      </c>
      <c r="E13" s="124" t="s">
        <v>575</v>
      </c>
      <c r="F13" s="125" t="s">
        <v>14</v>
      </c>
      <c r="G13" s="125" t="s">
        <v>452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2.75" customHeight="1" outlineLevel="1">
      <c r="A14" s="124" t="s">
        <v>576</v>
      </c>
      <c r="B14" s="124" t="s">
        <v>577</v>
      </c>
      <c r="C14" s="124" t="s">
        <v>578</v>
      </c>
      <c r="D14" s="124" t="s">
        <v>579</v>
      </c>
      <c r="E14" s="124" t="s">
        <v>580</v>
      </c>
      <c r="F14" s="125" t="s">
        <v>14</v>
      </c>
      <c r="G14" s="125" t="s">
        <v>452</v>
      </c>
      <c r="H14" s="125" t="s">
        <v>86</v>
      </c>
      <c r="I14" s="125" t="s">
        <v>33</v>
      </c>
      <c r="J14" s="126"/>
      <c r="K14" s="126"/>
      <c r="L14" s="125" t="s">
        <v>33</v>
      </c>
      <c r="M14" s="126"/>
      <c r="N14" s="126"/>
      <c r="O14" s="126"/>
      <c r="P14" s="130"/>
      <c r="Q14" s="128"/>
      <c r="R14" s="130"/>
      <c r="S14" s="130"/>
      <c r="T14" s="130"/>
      <c r="U14" s="130"/>
      <c r="V14" s="130"/>
      <c r="W14" s="130"/>
      <c r="X14" s="130"/>
      <c r="Y14" s="130"/>
      <c r="Z14" s="130"/>
    </row>
    <row r="15" ht="15.75" customHeight="1">
      <c r="A15" s="147" t="s">
        <v>182</v>
      </c>
      <c r="B15" s="119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1"/>
      <c r="P15" s="122"/>
      <c r="Q15" s="123"/>
      <c r="R15" s="122"/>
      <c r="S15" s="122"/>
      <c r="T15" s="122"/>
      <c r="U15" s="122"/>
      <c r="V15" s="122"/>
      <c r="W15" s="122"/>
      <c r="X15" s="122"/>
      <c r="Y15" s="122"/>
      <c r="Z15" s="122"/>
    </row>
    <row r="16" ht="12.75" customHeight="1" outlineLevel="1">
      <c r="A16" s="124" t="s">
        <v>581</v>
      </c>
      <c r="B16" s="124" t="s">
        <v>582</v>
      </c>
      <c r="C16" s="124" t="s">
        <v>583</v>
      </c>
      <c r="D16" s="124" t="s">
        <v>584</v>
      </c>
      <c r="E16" s="124" t="s">
        <v>585</v>
      </c>
      <c r="F16" s="125" t="s">
        <v>14</v>
      </c>
      <c r="G16" s="125" t="s">
        <v>452</v>
      </c>
      <c r="H16" s="125" t="s">
        <v>86</v>
      </c>
      <c r="I16" s="125" t="s">
        <v>33</v>
      </c>
      <c r="J16" s="126"/>
      <c r="K16" s="126"/>
      <c r="L16" s="125" t="s">
        <v>33</v>
      </c>
      <c r="M16" s="126"/>
      <c r="N16" s="126"/>
      <c r="O16" s="126"/>
      <c r="P16" s="130"/>
      <c r="Q16" s="128"/>
      <c r="R16" s="130"/>
      <c r="S16" s="130"/>
      <c r="T16" s="130"/>
      <c r="U16" s="130"/>
      <c r="V16" s="130"/>
      <c r="W16" s="130"/>
      <c r="X16" s="130"/>
      <c r="Y16" s="130"/>
      <c r="Z16" s="130"/>
    </row>
    <row r="17" ht="12.75" customHeight="1">
      <c r="A17" s="124" t="s">
        <v>586</v>
      </c>
      <c r="B17" s="124" t="s">
        <v>587</v>
      </c>
      <c r="C17" s="124" t="s">
        <v>588</v>
      </c>
      <c r="D17" s="124" t="s">
        <v>589</v>
      </c>
      <c r="E17" s="124" t="s">
        <v>590</v>
      </c>
      <c r="F17" s="125" t="s">
        <v>14</v>
      </c>
      <c r="G17" s="125" t="s">
        <v>452</v>
      </c>
      <c r="H17" s="125" t="s">
        <v>86</v>
      </c>
      <c r="I17" s="125" t="s">
        <v>33</v>
      </c>
      <c r="J17" s="158"/>
      <c r="K17" s="158"/>
      <c r="L17" s="125" t="s">
        <v>33</v>
      </c>
      <c r="M17" s="158"/>
      <c r="N17" s="158"/>
      <c r="O17" s="158"/>
      <c r="P17" s="156"/>
      <c r="Q17" s="157"/>
      <c r="R17" s="156"/>
      <c r="S17" s="156"/>
      <c r="T17" s="156"/>
      <c r="U17" s="156"/>
      <c r="V17" s="156"/>
      <c r="W17" s="156"/>
      <c r="X17" s="156"/>
      <c r="Y17" s="156"/>
      <c r="Z17" s="156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3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3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3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3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3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3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3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3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3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4 I12:I14 L12:L14 I16 L16 F16:F17 I17:J17 L17:M17 G18:G132 J18:J132 M18:M13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24.38" outlineLevel="1"/>
    <col customWidth="1" min="8" max="8" width="24.7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85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591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8.0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COUNTIF($F10:$F987,B5)</f>
        <v>7</v>
      </c>
      <c r="C6" s="88">
        <f t="shared" si="1"/>
        <v>1</v>
      </c>
      <c r="D6" s="88">
        <f t="shared" si="1"/>
        <v>0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COUNTIF($F10:$F987,B5)</f>
        <v>7</v>
      </c>
      <c r="C7" s="88">
        <f t="shared" si="2"/>
        <v>1</v>
      </c>
      <c r="D7" s="88">
        <f t="shared" si="2"/>
        <v>0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COUNTIF($F10:$F987,B5)</f>
        <v>7</v>
      </c>
      <c r="C8" s="112">
        <f t="shared" si="3"/>
        <v>1</v>
      </c>
      <c r="D8" s="112">
        <f t="shared" si="3"/>
        <v>0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47" t="s">
        <v>159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592</v>
      </c>
      <c r="B12" s="124" t="s">
        <v>593</v>
      </c>
      <c r="C12" s="124" t="s">
        <v>594</v>
      </c>
      <c r="D12" s="124" t="s">
        <v>595</v>
      </c>
      <c r="E12" s="124" t="s">
        <v>596</v>
      </c>
      <c r="F12" s="125" t="s">
        <v>14</v>
      </c>
      <c r="G12" s="125" t="s">
        <v>452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597</v>
      </c>
      <c r="B13" s="124" t="s">
        <v>598</v>
      </c>
      <c r="C13" s="124" t="s">
        <v>599</v>
      </c>
      <c r="D13" s="124" t="s">
        <v>600</v>
      </c>
      <c r="E13" s="124" t="s">
        <v>601</v>
      </c>
      <c r="F13" s="125" t="s">
        <v>14</v>
      </c>
      <c r="G13" s="125" t="s">
        <v>452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5.75" customHeight="1">
      <c r="A14" s="147" t="s">
        <v>167</v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1"/>
      <c r="P14" s="122"/>
      <c r="Q14" s="123"/>
      <c r="R14" s="122"/>
      <c r="S14" s="122"/>
      <c r="T14" s="122"/>
      <c r="U14" s="122"/>
      <c r="V14" s="122"/>
      <c r="W14" s="122"/>
      <c r="X14" s="122"/>
      <c r="Y14" s="122"/>
      <c r="Z14" s="122"/>
    </row>
    <row r="15" ht="12.75" customHeight="1" outlineLevel="1">
      <c r="A15" s="124" t="s">
        <v>602</v>
      </c>
      <c r="B15" s="124" t="s">
        <v>603</v>
      </c>
      <c r="C15" s="124" t="s">
        <v>604</v>
      </c>
      <c r="D15" s="124" t="s">
        <v>605</v>
      </c>
      <c r="E15" s="124" t="s">
        <v>606</v>
      </c>
      <c r="F15" s="125" t="s">
        <v>14</v>
      </c>
      <c r="G15" s="125" t="s">
        <v>452</v>
      </c>
      <c r="H15" s="125" t="s">
        <v>86</v>
      </c>
      <c r="I15" s="125" t="s">
        <v>33</v>
      </c>
      <c r="J15" s="126"/>
      <c r="K15" s="126"/>
      <c r="L15" s="125" t="s">
        <v>33</v>
      </c>
      <c r="M15" s="126"/>
      <c r="N15" s="126"/>
      <c r="O15" s="126"/>
      <c r="P15" s="130"/>
      <c r="Q15" s="128"/>
      <c r="R15" s="130"/>
      <c r="S15" s="130"/>
      <c r="T15" s="130"/>
      <c r="U15" s="130"/>
      <c r="V15" s="130"/>
      <c r="W15" s="130"/>
      <c r="X15" s="130"/>
      <c r="Y15" s="130"/>
      <c r="Z15" s="130"/>
    </row>
    <row r="16" ht="12.75" customHeight="1" outlineLevel="1">
      <c r="A16" s="124" t="s">
        <v>607</v>
      </c>
      <c r="B16" s="124" t="s">
        <v>608</v>
      </c>
      <c r="C16" s="124" t="s">
        <v>609</v>
      </c>
      <c r="D16" s="124" t="s">
        <v>610</v>
      </c>
      <c r="E16" s="124" t="s">
        <v>606</v>
      </c>
      <c r="F16" s="125" t="s">
        <v>14</v>
      </c>
      <c r="G16" s="125" t="s">
        <v>452</v>
      </c>
      <c r="H16" s="125" t="s">
        <v>86</v>
      </c>
      <c r="I16" s="125" t="s">
        <v>33</v>
      </c>
      <c r="J16" s="126"/>
      <c r="K16" s="126"/>
      <c r="L16" s="125" t="s">
        <v>33</v>
      </c>
      <c r="M16" s="126"/>
      <c r="N16" s="126"/>
      <c r="O16" s="126"/>
      <c r="P16" s="130"/>
      <c r="Q16" s="128"/>
      <c r="R16" s="130"/>
      <c r="S16" s="130"/>
      <c r="T16" s="130"/>
      <c r="U16" s="130"/>
      <c r="V16" s="130"/>
      <c r="W16" s="130"/>
      <c r="X16" s="130"/>
      <c r="Y16" s="130"/>
      <c r="Z16" s="130"/>
    </row>
    <row r="17" ht="12.75" customHeight="1">
      <c r="A17" s="124" t="s">
        <v>611</v>
      </c>
      <c r="B17" s="124" t="s">
        <v>612</v>
      </c>
      <c r="C17" s="124" t="s">
        <v>613</v>
      </c>
      <c r="D17" s="124" t="s">
        <v>614</v>
      </c>
      <c r="E17" s="124" t="s">
        <v>615</v>
      </c>
      <c r="F17" s="125" t="s">
        <v>14</v>
      </c>
      <c r="G17" s="125" t="s">
        <v>452</v>
      </c>
      <c r="H17" s="125" t="s">
        <v>86</v>
      </c>
      <c r="I17" s="125" t="s">
        <v>33</v>
      </c>
      <c r="J17" s="158"/>
      <c r="K17" s="158"/>
      <c r="L17" s="125" t="s">
        <v>33</v>
      </c>
      <c r="M17" s="158"/>
      <c r="N17" s="158"/>
      <c r="O17" s="158"/>
      <c r="P17" s="156"/>
      <c r="Q17" s="157"/>
      <c r="R17" s="156"/>
      <c r="S17" s="156"/>
      <c r="T17" s="156"/>
      <c r="U17" s="156"/>
      <c r="V17" s="156"/>
      <c r="W17" s="156"/>
      <c r="X17" s="156"/>
      <c r="Y17" s="156"/>
      <c r="Z17" s="156"/>
    </row>
    <row r="18" ht="12.75" customHeight="1">
      <c r="A18" s="124" t="s">
        <v>616</v>
      </c>
      <c r="B18" s="124" t="s">
        <v>617</v>
      </c>
      <c r="C18" s="124" t="s">
        <v>618</v>
      </c>
      <c r="D18" s="124" t="s">
        <v>619</v>
      </c>
      <c r="E18" s="124" t="s">
        <v>620</v>
      </c>
      <c r="F18" s="125" t="s">
        <v>20</v>
      </c>
      <c r="G18" s="125" t="s">
        <v>452</v>
      </c>
      <c r="H18" s="125" t="s">
        <v>86</v>
      </c>
      <c r="I18" s="125" t="s">
        <v>33</v>
      </c>
      <c r="J18" s="158"/>
      <c r="K18" s="158"/>
      <c r="L18" s="125" t="s">
        <v>33</v>
      </c>
      <c r="M18" s="158"/>
      <c r="N18" s="158"/>
      <c r="O18" s="158"/>
      <c r="P18" s="156"/>
      <c r="Q18" s="157"/>
      <c r="R18" s="156"/>
      <c r="S18" s="156"/>
      <c r="T18" s="156"/>
      <c r="U18" s="156"/>
      <c r="V18" s="156"/>
      <c r="W18" s="156"/>
      <c r="X18" s="156"/>
      <c r="Y18" s="156"/>
      <c r="Z18" s="156"/>
    </row>
    <row r="19" ht="15.75" customHeight="1">
      <c r="A19" s="147" t="s">
        <v>173</v>
      </c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1"/>
      <c r="P19" s="122"/>
      <c r="Q19" s="123"/>
      <c r="R19" s="122"/>
      <c r="S19" s="122"/>
      <c r="T19" s="122"/>
      <c r="U19" s="122"/>
      <c r="V19" s="122"/>
      <c r="W19" s="122"/>
      <c r="X19" s="122"/>
      <c r="Y19" s="122"/>
      <c r="Z19" s="122"/>
    </row>
    <row r="20" ht="12.75" customHeight="1">
      <c r="A20" s="124" t="s">
        <v>621</v>
      </c>
      <c r="B20" s="124" t="s">
        <v>622</v>
      </c>
      <c r="C20" s="177" t="s">
        <v>623</v>
      </c>
      <c r="D20" s="124" t="s">
        <v>624</v>
      </c>
      <c r="E20" s="124" t="s">
        <v>625</v>
      </c>
      <c r="F20" s="125" t="s">
        <v>14</v>
      </c>
      <c r="G20" s="125" t="s">
        <v>452</v>
      </c>
      <c r="H20" s="125" t="s">
        <v>86</v>
      </c>
      <c r="I20" s="125" t="s">
        <v>33</v>
      </c>
      <c r="J20" s="158"/>
      <c r="K20" s="158"/>
      <c r="L20" s="125" t="s">
        <v>33</v>
      </c>
      <c r="M20" s="158"/>
      <c r="N20" s="158"/>
      <c r="O20" s="158"/>
      <c r="P20" s="156"/>
      <c r="Q20" s="157"/>
      <c r="R20" s="156"/>
      <c r="S20" s="156"/>
      <c r="T20" s="156"/>
      <c r="U20" s="156"/>
      <c r="V20" s="156"/>
      <c r="W20" s="156"/>
      <c r="X20" s="156"/>
      <c r="Y20" s="156"/>
      <c r="Z20" s="156"/>
    </row>
    <row r="21" ht="12.75" customHeight="1">
      <c r="A21" s="124" t="s">
        <v>626</v>
      </c>
      <c r="B21" s="124" t="s">
        <v>627</v>
      </c>
      <c r="C21" s="124" t="s">
        <v>628</v>
      </c>
      <c r="D21" s="124" t="s">
        <v>629</v>
      </c>
      <c r="E21" s="124" t="s">
        <v>630</v>
      </c>
      <c r="F21" s="125" t="s">
        <v>14</v>
      </c>
      <c r="G21" s="125" t="s">
        <v>452</v>
      </c>
      <c r="H21" s="125" t="s">
        <v>86</v>
      </c>
      <c r="I21" s="125" t="s">
        <v>33</v>
      </c>
      <c r="J21" s="158"/>
      <c r="K21" s="158"/>
      <c r="L21" s="125" t="s">
        <v>33</v>
      </c>
      <c r="M21" s="158"/>
      <c r="N21" s="158"/>
      <c r="O21" s="158"/>
      <c r="P21" s="156"/>
      <c r="Q21" s="157"/>
      <c r="R21" s="156"/>
      <c r="S21" s="156"/>
      <c r="T21" s="156"/>
      <c r="U21" s="156"/>
      <c r="V21" s="156"/>
      <c r="W21" s="156"/>
      <c r="X21" s="156"/>
      <c r="Y21" s="156"/>
      <c r="Z21" s="156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3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3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3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3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3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3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3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3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3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I12:I16 L12:L16 I17:J18 L17:M18 I19 L19 F12:F21 I20:J21 L20:M21 G22:G136 J22:J136 M22:M13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25.63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3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7" t="s">
        <v>3</v>
      </c>
      <c r="B2" s="21" t="s">
        <v>97</v>
      </c>
      <c r="C2" s="22"/>
      <c r="D2" s="22"/>
      <c r="E2" s="24"/>
      <c r="F2" s="26"/>
      <c r="G2" s="34"/>
      <c r="H2" s="36"/>
      <c r="I2" s="26"/>
      <c r="J2" s="34"/>
      <c r="K2" s="36"/>
      <c r="L2" s="26"/>
      <c r="M2" s="34"/>
      <c r="N2" s="36"/>
      <c r="O2" s="36"/>
      <c r="P2" s="36"/>
      <c r="Q2" s="41"/>
      <c r="R2" s="42" t="s">
        <v>14</v>
      </c>
      <c r="S2" s="42"/>
      <c r="T2" s="42"/>
      <c r="U2" s="42"/>
      <c r="V2" s="42"/>
      <c r="W2" s="42"/>
      <c r="X2" s="42"/>
      <c r="Y2" s="42"/>
      <c r="Z2" s="42"/>
    </row>
    <row r="3" ht="12.75" customHeight="1">
      <c r="A3" s="45" t="s">
        <v>17</v>
      </c>
      <c r="B3" s="161" t="s">
        <v>631</v>
      </c>
      <c r="C3" s="12"/>
      <c r="D3" s="12"/>
      <c r="E3" s="58"/>
      <c r="F3" s="26"/>
      <c r="G3" s="34"/>
      <c r="H3" s="36"/>
      <c r="I3" s="26"/>
      <c r="J3" s="34"/>
      <c r="K3" s="36"/>
      <c r="L3" s="26"/>
      <c r="M3" s="34"/>
      <c r="N3" s="36"/>
      <c r="O3" s="36"/>
      <c r="P3" s="36"/>
      <c r="Q3" s="41"/>
      <c r="R3" s="42" t="s">
        <v>20</v>
      </c>
      <c r="S3" s="42"/>
      <c r="T3" s="42"/>
      <c r="U3" s="42"/>
      <c r="V3" s="42"/>
      <c r="W3" s="42"/>
      <c r="X3" s="42"/>
      <c r="Y3" s="42"/>
      <c r="Z3" s="42"/>
    </row>
    <row r="4" ht="18.0" customHeight="1">
      <c r="A4" s="45" t="s">
        <v>23</v>
      </c>
      <c r="B4" s="161">
        <v>10.0</v>
      </c>
      <c r="C4" s="12"/>
      <c r="D4" s="12"/>
      <c r="E4" s="58"/>
      <c r="F4" s="26"/>
      <c r="G4" s="34"/>
      <c r="H4" s="36"/>
      <c r="I4" s="26"/>
      <c r="J4" s="34"/>
      <c r="K4" s="36"/>
      <c r="L4" s="26"/>
      <c r="M4" s="34"/>
      <c r="N4" s="36"/>
      <c r="O4" s="36"/>
      <c r="P4" s="36"/>
      <c r="Q4" s="41"/>
      <c r="R4" s="42" t="s">
        <v>27</v>
      </c>
      <c r="S4" s="42"/>
      <c r="T4" s="42"/>
      <c r="U4" s="42"/>
      <c r="V4" s="42"/>
      <c r="W4" s="42"/>
      <c r="X4" s="42"/>
      <c r="Y4" s="42"/>
      <c r="Z4" s="42"/>
    </row>
    <row r="5" ht="19.5" customHeight="1">
      <c r="A5" s="65" t="s">
        <v>32</v>
      </c>
      <c r="B5" s="66" t="s">
        <v>14</v>
      </c>
      <c r="C5" s="66" t="s">
        <v>20</v>
      </c>
      <c r="D5" s="66" t="s">
        <v>27</v>
      </c>
      <c r="E5" s="69" t="s">
        <v>33</v>
      </c>
      <c r="F5" s="72"/>
      <c r="G5" s="72"/>
      <c r="H5" s="77"/>
      <c r="I5" s="72"/>
      <c r="J5" s="72"/>
      <c r="K5" s="77"/>
      <c r="L5" s="72"/>
      <c r="M5" s="72"/>
      <c r="N5" s="77"/>
      <c r="O5" s="77"/>
      <c r="P5" s="77"/>
      <c r="Q5" s="80"/>
      <c r="R5" s="42" t="s">
        <v>33</v>
      </c>
      <c r="S5" s="42"/>
      <c r="T5" s="42"/>
      <c r="U5" s="42"/>
      <c r="V5" s="42"/>
      <c r="W5" s="42"/>
      <c r="X5" s="42"/>
      <c r="Y5" s="42"/>
      <c r="Z5" s="42"/>
    </row>
    <row r="6" ht="15.0" customHeight="1">
      <c r="A6" s="65" t="s">
        <v>41</v>
      </c>
      <c r="B6" s="88">
        <f t="shared" ref="B6:E6" si="1">COUNTIF($F10:$F983,B5)</f>
        <v>9</v>
      </c>
      <c r="C6" s="88">
        <f t="shared" si="1"/>
        <v>1</v>
      </c>
      <c r="D6" s="88">
        <f t="shared" si="1"/>
        <v>0</v>
      </c>
      <c r="E6" s="95">
        <f t="shared" si="1"/>
        <v>0</v>
      </c>
      <c r="F6" s="97"/>
      <c r="G6" s="97"/>
      <c r="H6" s="77"/>
      <c r="I6" s="97"/>
      <c r="J6" s="97"/>
      <c r="K6" s="77"/>
      <c r="L6" s="97"/>
      <c r="M6" s="97"/>
      <c r="N6" s="77"/>
      <c r="O6" s="77"/>
      <c r="P6" s="77"/>
      <c r="Q6" s="80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65" t="s">
        <v>52</v>
      </c>
      <c r="B7" s="88">
        <f t="shared" ref="B7:E7" si="2">COUNTIF($F10:$F983,B5)</f>
        <v>9</v>
      </c>
      <c r="C7" s="88">
        <f t="shared" si="2"/>
        <v>1</v>
      </c>
      <c r="D7" s="88">
        <f t="shared" si="2"/>
        <v>0</v>
      </c>
      <c r="E7" s="95">
        <f t="shared" si="2"/>
        <v>0</v>
      </c>
      <c r="F7" s="97"/>
      <c r="G7" s="97"/>
      <c r="H7" s="77"/>
      <c r="I7" s="97"/>
      <c r="J7" s="97"/>
      <c r="K7" s="77"/>
      <c r="L7" s="97"/>
      <c r="M7" s="97"/>
      <c r="N7" s="77"/>
      <c r="O7" s="77"/>
      <c r="P7" s="77"/>
      <c r="Q7" s="80"/>
      <c r="R7" s="42"/>
      <c r="S7" s="42"/>
      <c r="T7" s="42"/>
      <c r="U7" s="42"/>
      <c r="V7" s="42"/>
      <c r="W7" s="42"/>
      <c r="X7" s="42"/>
      <c r="Y7" s="42"/>
      <c r="Z7" s="42"/>
    </row>
    <row r="8" ht="15.0" customHeight="1">
      <c r="A8" s="111" t="s">
        <v>56</v>
      </c>
      <c r="B8" s="112">
        <f t="shared" ref="B8:E8" si="3">COUNTIF($F10:$F983,B5)</f>
        <v>9</v>
      </c>
      <c r="C8" s="112">
        <f t="shared" si="3"/>
        <v>1</v>
      </c>
      <c r="D8" s="112">
        <f t="shared" si="3"/>
        <v>0</v>
      </c>
      <c r="E8" s="113">
        <f t="shared" si="3"/>
        <v>0</v>
      </c>
      <c r="F8" s="97"/>
      <c r="G8" s="97"/>
      <c r="H8" s="77"/>
      <c r="I8" s="97"/>
      <c r="J8" s="97"/>
      <c r="K8" s="77"/>
      <c r="L8" s="97"/>
      <c r="M8" s="97"/>
      <c r="N8" s="77"/>
      <c r="O8" s="77"/>
      <c r="P8" s="77"/>
      <c r="Q8" s="80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77"/>
      <c r="B9" s="77"/>
      <c r="C9" s="77"/>
      <c r="D9" s="77"/>
      <c r="E9" s="77"/>
      <c r="F9" s="115"/>
      <c r="G9" s="77"/>
      <c r="H9" s="77"/>
      <c r="I9" s="115"/>
      <c r="J9" s="77"/>
      <c r="K9" s="77"/>
      <c r="L9" s="115"/>
      <c r="M9" s="77"/>
      <c r="N9" s="77"/>
      <c r="O9" s="77"/>
      <c r="P9" s="77"/>
      <c r="Q9" s="80"/>
      <c r="R9" s="42"/>
      <c r="S9" s="42"/>
      <c r="T9" s="42"/>
      <c r="U9" s="42"/>
      <c r="V9" s="42"/>
      <c r="W9" s="42"/>
      <c r="X9" s="42"/>
      <c r="Y9" s="42"/>
      <c r="Z9" s="42"/>
    </row>
    <row r="10" ht="25.5" customHeight="1">
      <c r="A10" s="116" t="s">
        <v>62</v>
      </c>
      <c r="B10" s="116" t="s">
        <v>64</v>
      </c>
      <c r="C10" s="116" t="s">
        <v>65</v>
      </c>
      <c r="D10" s="116" t="s">
        <v>66</v>
      </c>
      <c r="E10" s="116" t="s">
        <v>70</v>
      </c>
      <c r="F10" s="116" t="s">
        <v>41</v>
      </c>
      <c r="G10" s="116" t="s">
        <v>71</v>
      </c>
      <c r="H10" s="116" t="s">
        <v>72</v>
      </c>
      <c r="I10" s="116" t="s">
        <v>52</v>
      </c>
      <c r="J10" s="116" t="s">
        <v>71</v>
      </c>
      <c r="K10" s="116" t="s">
        <v>72</v>
      </c>
      <c r="L10" s="116" t="s">
        <v>56</v>
      </c>
      <c r="M10" s="116" t="s">
        <v>71</v>
      </c>
      <c r="N10" s="116" t="s">
        <v>72</v>
      </c>
      <c r="O10" s="116" t="s">
        <v>73</v>
      </c>
      <c r="P10" s="42"/>
      <c r="Q10" s="118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147" t="s">
        <v>184</v>
      </c>
      <c r="B11" s="119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22"/>
      <c r="Q11" s="123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0.75" customHeight="1" outlineLevel="1">
      <c r="A12" s="124" t="s">
        <v>632</v>
      </c>
      <c r="B12" s="124" t="s">
        <v>633</v>
      </c>
      <c r="C12" s="124" t="s">
        <v>634</v>
      </c>
      <c r="D12" s="124" t="s">
        <v>635</v>
      </c>
      <c r="E12" s="124" t="s">
        <v>636</v>
      </c>
      <c r="F12" s="125" t="s">
        <v>14</v>
      </c>
      <c r="G12" s="125" t="s">
        <v>452</v>
      </c>
      <c r="H12" s="125" t="s">
        <v>86</v>
      </c>
      <c r="I12" s="125" t="s">
        <v>33</v>
      </c>
      <c r="J12" s="126"/>
      <c r="K12" s="126"/>
      <c r="L12" s="125" t="s">
        <v>33</v>
      </c>
      <c r="M12" s="126"/>
      <c r="N12" s="126"/>
      <c r="O12" s="126"/>
      <c r="P12" s="127"/>
      <c r="Q12" s="128"/>
      <c r="R12" s="127"/>
      <c r="S12" s="127"/>
      <c r="T12" s="127"/>
      <c r="U12" s="127"/>
      <c r="V12" s="127"/>
      <c r="W12" s="127"/>
      <c r="X12" s="127"/>
      <c r="Y12" s="127"/>
      <c r="Z12" s="127"/>
    </row>
    <row r="13" ht="12.75" customHeight="1" outlineLevel="1">
      <c r="A13" s="124" t="s">
        <v>571</v>
      </c>
      <c r="B13" s="124" t="s">
        <v>637</v>
      </c>
      <c r="C13" s="124" t="s">
        <v>638</v>
      </c>
      <c r="D13" s="124" t="s">
        <v>639</v>
      </c>
      <c r="E13" s="124" t="s">
        <v>636</v>
      </c>
      <c r="F13" s="125" t="s">
        <v>14</v>
      </c>
      <c r="G13" s="125" t="s">
        <v>452</v>
      </c>
      <c r="H13" s="125" t="s">
        <v>86</v>
      </c>
      <c r="I13" s="125" t="s">
        <v>33</v>
      </c>
      <c r="J13" s="126"/>
      <c r="K13" s="126"/>
      <c r="L13" s="125" t="s">
        <v>33</v>
      </c>
      <c r="M13" s="126"/>
      <c r="N13" s="126"/>
      <c r="O13" s="126"/>
      <c r="P13" s="130"/>
      <c r="Q13" s="128"/>
      <c r="R13" s="130"/>
      <c r="S13" s="130"/>
      <c r="T13" s="130"/>
      <c r="U13" s="130"/>
      <c r="V13" s="130"/>
      <c r="W13" s="130"/>
      <c r="X13" s="130"/>
      <c r="Y13" s="130"/>
      <c r="Z13" s="130"/>
    </row>
    <row r="14" ht="12.75" customHeight="1" outlineLevel="1">
      <c r="A14" s="124" t="s">
        <v>640</v>
      </c>
      <c r="B14" s="124" t="s">
        <v>641</v>
      </c>
      <c r="C14" s="124" t="s">
        <v>642</v>
      </c>
      <c r="D14" s="124" t="s">
        <v>643</v>
      </c>
      <c r="E14" s="124" t="s">
        <v>636</v>
      </c>
      <c r="F14" s="125" t="s">
        <v>14</v>
      </c>
      <c r="G14" s="125" t="s">
        <v>452</v>
      </c>
      <c r="H14" s="125" t="s">
        <v>86</v>
      </c>
      <c r="I14" s="125" t="s">
        <v>33</v>
      </c>
      <c r="J14" s="126"/>
      <c r="K14" s="126"/>
      <c r="L14" s="125" t="s">
        <v>33</v>
      </c>
      <c r="M14" s="126"/>
      <c r="N14" s="126"/>
      <c r="O14" s="126"/>
      <c r="P14" s="130"/>
      <c r="Q14" s="128"/>
      <c r="R14" s="130"/>
      <c r="S14" s="130"/>
      <c r="T14" s="130"/>
      <c r="U14" s="130"/>
      <c r="V14" s="130"/>
      <c r="W14" s="130"/>
      <c r="X14" s="130"/>
      <c r="Y14" s="130"/>
      <c r="Z14" s="130"/>
    </row>
    <row r="15" ht="15.75" customHeight="1">
      <c r="A15" s="147" t="s">
        <v>187</v>
      </c>
      <c r="B15" s="119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1"/>
      <c r="P15" s="122"/>
      <c r="Q15" s="123"/>
      <c r="R15" s="122"/>
      <c r="S15" s="122"/>
      <c r="T15" s="122"/>
      <c r="U15" s="122"/>
      <c r="V15" s="122"/>
      <c r="W15" s="122"/>
      <c r="X15" s="122"/>
      <c r="Y15" s="122"/>
      <c r="Z15" s="122"/>
    </row>
    <row r="16" ht="12.75" customHeight="1" outlineLevel="1">
      <c r="A16" s="124" t="s">
        <v>644</v>
      </c>
      <c r="B16" s="124" t="s">
        <v>645</v>
      </c>
      <c r="C16" s="124" t="s">
        <v>646</v>
      </c>
      <c r="D16" s="124" t="s">
        <v>647</v>
      </c>
      <c r="E16" s="124" t="s">
        <v>648</v>
      </c>
      <c r="F16" s="125" t="s">
        <v>14</v>
      </c>
      <c r="G16" s="125" t="s">
        <v>452</v>
      </c>
      <c r="H16" s="125" t="s">
        <v>86</v>
      </c>
      <c r="I16" s="125" t="s">
        <v>33</v>
      </c>
      <c r="J16" s="126"/>
      <c r="K16" s="126"/>
      <c r="L16" s="125" t="s">
        <v>33</v>
      </c>
      <c r="M16" s="126"/>
      <c r="N16" s="126"/>
      <c r="O16" s="126"/>
      <c r="P16" s="130"/>
      <c r="Q16" s="128"/>
      <c r="R16" s="130"/>
      <c r="S16" s="130"/>
      <c r="T16" s="130"/>
      <c r="U16" s="130"/>
      <c r="V16" s="130"/>
      <c r="W16" s="130"/>
      <c r="X16" s="130"/>
      <c r="Y16" s="130"/>
      <c r="Z16" s="130"/>
    </row>
    <row r="17" ht="12.75" customHeight="1">
      <c r="A17" s="124" t="s">
        <v>649</v>
      </c>
      <c r="B17" s="124" t="s">
        <v>650</v>
      </c>
      <c r="C17" s="124" t="s">
        <v>651</v>
      </c>
      <c r="D17" s="124" t="s">
        <v>652</v>
      </c>
      <c r="E17" s="124" t="s">
        <v>653</v>
      </c>
      <c r="F17" s="125" t="s">
        <v>14</v>
      </c>
      <c r="G17" s="125" t="s">
        <v>452</v>
      </c>
      <c r="H17" s="125" t="s">
        <v>86</v>
      </c>
      <c r="I17" s="125" t="s">
        <v>33</v>
      </c>
      <c r="J17" s="158"/>
      <c r="K17" s="158"/>
      <c r="L17" s="125" t="s">
        <v>33</v>
      </c>
      <c r="M17" s="158"/>
      <c r="N17" s="158"/>
      <c r="O17" s="158"/>
      <c r="P17" s="156"/>
      <c r="Q17" s="157"/>
      <c r="R17" s="156"/>
      <c r="S17" s="156"/>
      <c r="T17" s="156"/>
      <c r="U17" s="156"/>
      <c r="V17" s="156"/>
      <c r="W17" s="156"/>
      <c r="X17" s="156"/>
      <c r="Y17" s="156"/>
      <c r="Z17" s="156"/>
    </row>
    <row r="18" ht="15.75" customHeight="1">
      <c r="A18" s="147" t="s">
        <v>193</v>
      </c>
      <c r="B18" s="119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1"/>
      <c r="P18" s="122"/>
      <c r="Q18" s="123"/>
      <c r="R18" s="122"/>
      <c r="S18" s="122"/>
      <c r="T18" s="122"/>
      <c r="U18" s="122"/>
      <c r="V18" s="122"/>
      <c r="W18" s="122"/>
      <c r="X18" s="122"/>
      <c r="Y18" s="122"/>
      <c r="Z18" s="122"/>
    </row>
    <row r="19" ht="12.75" customHeight="1" outlineLevel="1">
      <c r="A19" s="124" t="s">
        <v>654</v>
      </c>
      <c r="B19" s="124" t="s">
        <v>655</v>
      </c>
      <c r="C19" s="124" t="s">
        <v>656</v>
      </c>
      <c r="D19" s="124" t="s">
        <v>657</v>
      </c>
      <c r="E19" s="124" t="s">
        <v>658</v>
      </c>
      <c r="F19" s="125" t="s">
        <v>14</v>
      </c>
      <c r="G19" s="125" t="s">
        <v>452</v>
      </c>
      <c r="H19" s="125" t="s">
        <v>86</v>
      </c>
      <c r="I19" s="125" t="s">
        <v>33</v>
      </c>
      <c r="J19" s="126"/>
      <c r="K19" s="126"/>
      <c r="L19" s="125" t="s">
        <v>33</v>
      </c>
      <c r="M19" s="126"/>
      <c r="N19" s="126"/>
      <c r="O19" s="126"/>
      <c r="P19" s="130"/>
      <c r="Q19" s="128"/>
      <c r="R19" s="130"/>
      <c r="S19" s="130"/>
      <c r="T19" s="130"/>
      <c r="U19" s="130"/>
      <c r="V19" s="130"/>
      <c r="W19" s="130"/>
      <c r="X19" s="130"/>
      <c r="Y19" s="130"/>
      <c r="Z19" s="130"/>
    </row>
    <row r="20" ht="12.75" customHeight="1" outlineLevel="1">
      <c r="A20" s="124" t="s">
        <v>659</v>
      </c>
      <c r="B20" s="124" t="s">
        <v>660</v>
      </c>
      <c r="C20" s="124" t="s">
        <v>661</v>
      </c>
      <c r="D20" s="124" t="s">
        <v>662</v>
      </c>
      <c r="E20" s="124" t="s">
        <v>663</v>
      </c>
      <c r="F20" s="125" t="s">
        <v>14</v>
      </c>
      <c r="G20" s="125" t="s">
        <v>452</v>
      </c>
      <c r="H20" s="125" t="s">
        <v>86</v>
      </c>
      <c r="I20" s="125" t="s">
        <v>33</v>
      </c>
      <c r="J20" s="126"/>
      <c r="K20" s="126"/>
      <c r="L20" s="125" t="s">
        <v>33</v>
      </c>
      <c r="M20" s="126"/>
      <c r="N20" s="126"/>
      <c r="O20" s="126"/>
      <c r="P20" s="130"/>
      <c r="Q20" s="128"/>
      <c r="R20" s="130"/>
      <c r="S20" s="130"/>
      <c r="T20" s="130"/>
      <c r="U20" s="130"/>
      <c r="V20" s="130"/>
      <c r="W20" s="130"/>
      <c r="X20" s="130"/>
      <c r="Y20" s="130"/>
      <c r="Z20" s="130"/>
    </row>
    <row r="21" ht="12.75" customHeight="1" outlineLevel="1">
      <c r="A21" s="124" t="s">
        <v>664</v>
      </c>
      <c r="B21" s="124" t="s">
        <v>665</v>
      </c>
      <c r="C21" s="124" t="s">
        <v>666</v>
      </c>
      <c r="D21" s="124" t="s">
        <v>667</v>
      </c>
      <c r="E21" s="124" t="s">
        <v>668</v>
      </c>
      <c r="F21" s="125" t="s">
        <v>20</v>
      </c>
      <c r="G21" s="125" t="s">
        <v>452</v>
      </c>
      <c r="H21" s="125" t="s">
        <v>86</v>
      </c>
      <c r="I21" s="125" t="s">
        <v>33</v>
      </c>
      <c r="J21" s="126"/>
      <c r="K21" s="126"/>
      <c r="L21" s="125" t="s">
        <v>33</v>
      </c>
      <c r="M21" s="126"/>
      <c r="N21" s="126"/>
      <c r="O21" s="126"/>
      <c r="P21" s="130"/>
      <c r="Q21" s="128"/>
      <c r="R21" s="130"/>
      <c r="S21" s="130"/>
      <c r="T21" s="130"/>
      <c r="U21" s="130"/>
      <c r="V21" s="130"/>
      <c r="W21" s="130"/>
      <c r="X21" s="130"/>
      <c r="Y21" s="130"/>
      <c r="Z21" s="130"/>
    </row>
    <row r="22" ht="15.75" customHeight="1">
      <c r="A22" s="178" t="s">
        <v>197</v>
      </c>
      <c r="B22" s="179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1"/>
      <c r="P22" s="42"/>
      <c r="Q22" s="18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 outlineLevel="1">
      <c r="A23" s="124" t="s">
        <v>669</v>
      </c>
      <c r="B23" s="124" t="s">
        <v>670</v>
      </c>
      <c r="C23" s="124" t="s">
        <v>671</v>
      </c>
      <c r="D23" s="124" t="s">
        <v>672</v>
      </c>
      <c r="E23" s="124" t="s">
        <v>673</v>
      </c>
      <c r="F23" s="125" t="s">
        <v>14</v>
      </c>
      <c r="G23" s="125" t="s">
        <v>452</v>
      </c>
      <c r="H23" s="125" t="s">
        <v>86</v>
      </c>
      <c r="I23" s="125" t="s">
        <v>33</v>
      </c>
      <c r="J23" s="126"/>
      <c r="K23" s="126"/>
      <c r="L23" s="125" t="s">
        <v>33</v>
      </c>
      <c r="M23" s="126"/>
      <c r="N23" s="126"/>
      <c r="O23" s="126"/>
      <c r="P23" s="130"/>
      <c r="Q23" s="128"/>
      <c r="R23" s="130"/>
      <c r="S23" s="130"/>
      <c r="T23" s="130"/>
      <c r="U23" s="130"/>
      <c r="V23" s="130"/>
      <c r="W23" s="130"/>
      <c r="X23" s="130"/>
      <c r="Y23" s="130"/>
      <c r="Z23" s="130"/>
    </row>
    <row r="24" ht="12.75" customHeight="1" outlineLevel="1">
      <c r="A24" s="124" t="s">
        <v>674</v>
      </c>
      <c r="B24" s="124" t="s">
        <v>675</v>
      </c>
      <c r="C24" s="124" t="s">
        <v>676</v>
      </c>
      <c r="D24" s="124" t="s">
        <v>677</v>
      </c>
      <c r="E24" s="124" t="s">
        <v>678</v>
      </c>
      <c r="F24" s="125" t="s">
        <v>14</v>
      </c>
      <c r="G24" s="125" t="s">
        <v>452</v>
      </c>
      <c r="H24" s="125" t="s">
        <v>86</v>
      </c>
      <c r="I24" s="125" t="s">
        <v>33</v>
      </c>
      <c r="J24" s="126"/>
      <c r="K24" s="126"/>
      <c r="L24" s="125" t="s">
        <v>33</v>
      </c>
      <c r="M24" s="126"/>
      <c r="N24" s="126"/>
      <c r="O24" s="126"/>
      <c r="P24" s="130"/>
      <c r="Q24" s="128"/>
      <c r="R24" s="130"/>
      <c r="S24" s="130"/>
      <c r="T24" s="130"/>
      <c r="U24" s="130"/>
      <c r="V24" s="130"/>
      <c r="W24" s="130"/>
      <c r="X24" s="130"/>
      <c r="Y24" s="130"/>
      <c r="Z24" s="130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3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3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3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3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3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3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3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3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3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3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3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3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3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3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3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3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3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3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3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3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3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3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3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3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3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3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3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3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3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3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3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3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3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3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3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3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3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3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3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3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3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3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3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3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3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3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3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3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3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3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3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3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3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3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3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3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3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3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3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3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3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3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3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3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3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3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3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3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3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3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3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3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3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3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3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3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3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3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3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3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3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3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3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3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3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3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3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3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3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3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3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3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3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3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3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3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3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3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3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3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3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3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3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3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3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3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3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3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3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3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3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3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3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3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3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3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3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3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3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3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3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3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3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3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3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3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3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3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3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3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3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3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3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3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3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3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3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3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3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3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3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3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3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3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3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3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3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3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3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3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3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3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3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3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3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3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3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3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3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3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3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3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3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3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3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3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3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3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3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3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3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3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3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3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3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3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3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3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3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3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3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3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3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3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3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3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3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3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3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3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3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3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3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3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3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3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3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3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3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3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3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3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3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3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3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3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3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3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3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3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3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3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3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3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3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3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3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3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3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3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3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3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3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3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3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3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3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3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3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3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3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3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3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3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3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3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3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3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3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3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3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3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3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3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3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3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3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3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3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3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3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3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3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3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3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3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3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3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3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3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3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3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3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3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3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3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3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3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3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3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3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3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3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3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3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3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3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3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3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3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3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3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3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3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3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3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3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3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3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3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3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3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3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3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3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3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3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3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3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3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3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3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3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3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3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3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3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3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3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3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3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3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3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3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3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3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3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3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3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3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3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3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3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3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3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3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3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3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3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3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3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3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3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3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3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3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3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3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3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3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3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3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3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3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3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3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3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3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3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3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3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3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3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3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3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3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3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3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3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3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3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3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3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3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3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3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3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3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3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3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3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3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3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3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3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3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3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3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3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3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3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3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3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3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3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3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3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3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3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3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3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3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3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3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3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3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3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3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3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3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3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3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3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3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3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3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3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3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3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3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3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3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3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3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3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3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3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3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3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3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3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3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3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3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3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3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3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3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3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3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3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3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3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3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3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3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3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3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3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3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3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3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3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3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3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3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3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3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3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3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3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3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3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3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3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3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3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3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3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3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3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3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3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3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3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3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3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3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3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3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3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3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3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3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3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3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3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3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3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3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3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3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3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3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3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3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3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3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3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3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3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3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3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3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3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3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3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3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3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3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3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3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3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3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3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3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3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3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3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3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3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3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3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3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3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3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3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3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3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3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3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3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3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3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3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3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3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3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3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3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3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3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3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3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3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3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3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3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3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3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3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3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3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3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3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3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3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3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3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3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3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3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3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3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3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3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3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3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3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3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3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3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3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3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3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3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3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3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3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3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3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3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3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3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3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3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3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3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3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3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3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3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3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3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3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3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3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3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3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3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3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3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3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3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3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3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3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3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3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3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3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3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3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3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3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3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3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3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3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3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3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3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3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3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3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3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3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3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3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3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3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3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3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3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3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3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3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3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3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3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3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3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3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3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3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3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3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3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3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3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3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3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3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3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3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3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3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3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3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3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3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3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3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3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3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3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3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3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3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3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3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3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3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3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3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3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3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3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3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3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3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3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3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3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3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3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3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3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3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3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3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3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3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3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3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3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3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3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3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3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3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3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3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3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3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3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3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3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3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3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3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3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3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3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3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3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3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3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3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3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3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3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3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3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3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3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3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3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3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3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3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3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3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3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3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3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3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3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3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3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3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3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3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3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3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3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3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3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3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3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3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3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3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3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3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3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3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3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3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3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3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3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3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3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3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3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3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3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3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3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3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3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3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3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3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3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3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3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3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3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3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3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3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3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3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3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3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3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3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3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3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3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3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3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3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3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3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3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3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3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3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3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3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3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3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3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3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3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3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3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3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3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3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3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3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3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3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3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3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3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3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3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3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3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3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3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3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3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3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3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3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3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3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3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3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3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3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3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3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3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3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3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3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3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3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3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3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3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3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3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3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3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3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3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3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3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3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3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3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3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3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3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3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3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3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3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3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3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3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3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3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3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3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3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3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3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3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3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3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3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3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3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3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3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3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3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3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3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3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3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3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3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3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3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3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3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3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3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3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3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3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3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3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3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3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3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3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3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3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3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3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3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3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3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3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3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3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3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3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3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3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3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3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3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3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3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3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3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3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3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3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3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3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3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3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3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3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3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3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3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3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3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3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3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3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3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3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3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3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3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3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4 I12:I14 L12:L14 I16 L16 F16:F17 I17:J17 L17:M17 F19:F21 I19:I21 L19:L21 F23:F24 I23:I24 L23:L24 G25:G132 J25:J132 M25:M13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