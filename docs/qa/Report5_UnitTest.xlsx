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4360" activeTab="7"/>
  </bookViews>
  <sheets>
    <sheet name="Guideline" sheetId="1" r:id="rId1"/>
    <sheet name="Cover" sheetId="2" r:id="rId2"/>
    <sheet name="Functions" sheetId="3" r:id="rId3"/>
    <sheet name="Statistics" sheetId="4" r:id="rId4"/>
    <sheet name="FE-AuthInterceptor" sheetId="5" r:id="rId5"/>
    <sheet name="FE-ExtractErrorMessage" sheetId="6" r:id="rId6"/>
    <sheet name="FE-AuthState" sheetId="7" r:id="rId7"/>
    <sheet name="FE-RoleRedirectExtractRole" sheetId="8" r:id="rId8"/>
    <sheet name="FE-CitationDisplay" sheetId="9" r:id="rId9"/>
    <sheet name="FE-InferTemplate-Detect" sheetId="10" r:id="rId10"/>
    <sheet name="FE-InferTemplate-Snippet" sheetId="11" r:id="rId11"/>
    <sheet name="FE-InferGeneratedTemplate" sheetId="12" r:id="rId12"/>
    <sheet name="FE-GamificationFormatters" sheetId="13" r:id="rId13"/>
    <sheet name="FE-TimeAgo" sheetId="14" r:id="rId14"/>
    <sheet name="FE-ComputeStreakDays" sheetId="15" r:id="rId15"/>
    <sheet name="FE-LabelsCompanyScore" sheetId="16" r:id="rId16"/>
    <sheet name="FE-AdminUserDisplay" sheetId="17" r:id="rId17"/>
    <sheet name="FE-GreetingLoginWelcome" sheetId="18" r:id="rId18"/>
    <sheet name="FE-FormatRelativeTime" sheetId="19" r:id="rId19"/>
    <sheet name="FE-NavUserDisplay" sheetId="20" r:id="rId20"/>
    <sheet name="FE-UrlAvatarMessages" sheetId="21" r:id="rId21"/>
    <sheet name="FE-SubscriptionRealtime" sheetId="22" r:id="rId22"/>
    <sheet name="FE-CandidatePlanCache" sheetId="23" r:id="rId23"/>
    <sheet name="BE-CvCoachPromptBuilder" sheetId="24" r:id="rId24"/>
    <sheet name="BE-SkillPlanResolveStatus" sheetId="25" r:id="rId25"/>
    <sheet name="BE-SkillMatchHelper" sheetId="26" r:id="rId26"/>
    <sheet name="BE-AchievementRules" sheetId="27" r:id="rId27"/>
    <sheet name="BE-LevelCalculator-Level" sheetId="28" r:id="rId28"/>
    <sheet name="BE-LevelCalculator-Xp" sheetId="29" r:id="rId29"/>
    <sheet name="BE-StreakCalculator" sheetId="30" r:id="rId30"/>
    <sheet name="BE-UserLocalDateProvider" sheetId="31" r:id="rId31"/>
    <sheet name="BE-XpRewardPolicy-Score" sheetId="32" r:id="rId32"/>
    <sheet name="BE-XpRewardPolicy-Bonus" sheetId="33" r:id="rId33"/>
    <sheet name="BE-PublishQuestionSelection" sheetId="34" r:id="rId34"/>
    <sheet name="BE-RubricNormalizer" sheetId="35" r:id="rId35"/>
    <sheet name="BE-CitationSourceScope" sheetId="36" r:id="rId36"/>
    <sheet name="BE-JdFitReviewMapper" sheetId="37" r:id="rId37"/>
    <sheet name="BE-JdFitContentHash" sheetId="38" r:id="rId38"/>
    <sheet name="BE-PracticeFeedbackMapper" sheetId="39" r:id="rId39"/>
    <sheet name="BE-SkillFitCalculator" sheetId="40" r:id="rId40"/>
    <sheet name="BE-RecommendationP1Rules" sheetId="41" r:id="rId41"/>
    <sheet name="BE-RecommendationIntakeScore" sheetId="42" r:id="rId42"/>
    <sheet name="BE-KnowledgeDocumentType" sheetId="43" r:id="rId43"/>
    <sheet name="BE-ProfileDtoValidator" sheetId="44" r:id="rId44"/>
    <sheet name="BE-JobDescriptionValidator" sheetId="45" r:id="rId45"/>
    <sheet name="BE-PlanMergeService" sheetId="46" r:id="rId46"/>
    <sheet name="BE-FocusAreaWeightHelper" sheetId="47" r:id="rId47"/>
    <sheet name="BE-FocusWeightOutline" sheetId="48" r:id="rId48"/>
    <sheet name="BE-HrSkillsHelper" sheetId="49" r:id="rId49"/>
    <sheet name="BE-JdClassifyGate" sheetId="50" r:id="rId50"/>
    <sheet name="BE-JdSeniority" sheetId="51" r:id="rId51"/>
    <sheet name="BE-RagPlanHrNoteBuilder" sheetId="52" r:id="rId52"/>
    <sheet name="BE-PlanFocusJdCompleter" sheetId="53" r:id="rId53"/>
    <sheet name="BE-PlanSettingsPatcher" sheetId="54" r:id="rId54"/>
    <sheet name="BE-PlanSettingsSnapshot" sheetId="55" r:id="rId55"/>
    <sheet name="BE-QuestionRegenHelper" sheetId="56" r:id="rId56"/>
    <sheet name="BE-QuestionTaxonomyMapper" sheetId="57" r:id="rId57"/>
    <sheet name="BE-RagQuestionMapper" sheetId="58" r:id="rId58"/>
    <sheet name="BE-HrGenerateWindow" sheetId="59" r:id="rId59"/>
    <sheet name="BE-GateHrGenerateRegen" sheetId="60" r:id="rId60"/>
    <sheet name="BE-GateCandidateCoach" sheetId="61" r:id="rId6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D10" authorId="0">
      <text/>
    </comment>
  </commentList>
</comments>
</file>

<file path=xl/sharedStrings.xml><?xml version="1.0" encoding="utf-8"?>
<sst xmlns="http://schemas.openxmlformats.org/spreadsheetml/2006/main" count="5584" uniqueCount="1206">
  <si>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</si>
  <si>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</si>
  <si>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</si>
  <si>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r>
      <rPr>
        <sz val="10"/>
        <color theme="1"/>
        <rFont val="Tahoma"/>
        <charset val="134"/>
      </rPr>
      <t xml:space="preserve"> - </t>
    </r>
    <r>
      <rPr>
        <b/>
        <sz val="10"/>
        <color theme="1"/>
        <rFont val="Tahoma"/>
        <charset val="134"/>
      </rPr>
      <t>Cover</t>
    </r>
    <r>
      <rPr>
        <sz val="10"/>
        <color theme="1"/>
        <rFont val="Tahoma"/>
        <charset val="134"/>
      </rPr>
      <t>: General information of the project and Unit Test cases</t>
    </r>
  </si>
  <si>
    <r>
      <rPr>
        <sz val="10"/>
        <color theme="1"/>
        <rFont val="Tahoma"/>
        <charset val="134"/>
      </rPr>
      <t xml:space="preserve"> - </t>
    </r>
    <r>
      <rPr>
        <b/>
        <sz val="10"/>
        <color theme="1"/>
        <rFont val="Tahoma"/>
        <charset val="134"/>
      </rPr>
      <t>FunctionList</t>
    </r>
    <r>
      <rPr>
        <sz val="10"/>
        <color theme="1"/>
        <rFont val="Tahoma"/>
        <charset val="134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</si>
  <si>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r>
      <rPr>
        <sz val="10"/>
        <color theme="1"/>
        <rFont val="Tahoma"/>
        <charset val="134"/>
      </rPr>
      <t xml:space="preserve">     + Click on Function link to open the related Test cases of the function.  
     </t>
    </r>
    <r>
      <rPr>
        <i/>
        <sz val="10"/>
        <color theme="1"/>
        <rFont val="Tahoma"/>
        <charset val="134"/>
      </rPr>
      <t>Note:</t>
    </r>
    <r>
      <rPr>
        <sz val="10"/>
        <color theme="1"/>
        <rFont val="Tahoma"/>
        <charset val="134"/>
      </rPr>
      <t xml:space="preserve"> You should create new Function sheet before creating the link</t>
    </r>
  </si>
  <si>
    <r>
      <rPr>
        <sz val="10"/>
        <color theme="1"/>
        <rFont val="Tahoma"/>
        <charset val="134"/>
      </rPr>
      <t xml:space="preserve"> - </t>
    </r>
    <r>
      <rPr>
        <b/>
        <sz val="10"/>
        <color theme="1"/>
        <rFont val="Tahoma"/>
        <charset val="134"/>
      </rPr>
      <t>Test Report</t>
    </r>
    <r>
      <rPr>
        <sz val="10"/>
        <color theme="1"/>
        <rFont val="Tahoma"/>
        <charset val="134"/>
      </rPr>
      <t>: provive the overview results of Functions Unit test: Test coverage, Test successful coverage 
    (Summary, for normal/abnormal/boundary cases)</t>
    </r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</si>
  <si>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</si>
  <si>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</si>
  <si>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</si>
  <si>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</si>
  <si>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</si>
  <si>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</si>
  <si>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</si>
  <si>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</si>
  <si>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</si>
  <si>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</si>
  <si>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</si>
  <si>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</si>
  <si>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</si>
  <si>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</si>
  <si>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</si>
  <si>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</si>
  <si>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</si>
  <si>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</si>
  <si>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</si>
  <si>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</si>
  <si>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</si>
  <si>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</si>
  <si>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</si>
  <si>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</si>
  <si>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</si>
  <si>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</si>
  <si>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</si>
  <si>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</si>
  <si>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</si>
  <si>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r>
      <rPr>
        <sz val="10"/>
        <color theme="1"/>
        <rFont val="Tahoma"/>
        <charset val="134"/>
      </rPr>
      <t xml:space="preserve">        - Test case result: the actual output results comparing with the Confirmation.
                 </t>
    </r>
    <r>
      <rPr>
        <b/>
        <sz val="10"/>
        <color theme="1"/>
        <rFont val="Tahoma"/>
        <charset val="134"/>
      </rPr>
      <t>P</t>
    </r>
    <r>
      <rPr>
        <sz val="10"/>
        <color theme="1"/>
        <rFont val="Tahoma"/>
        <charset val="134"/>
      </rPr>
      <t xml:space="preserve"> for Passed and </t>
    </r>
    <r>
      <rPr>
        <b/>
        <sz val="10"/>
        <color theme="1"/>
        <rFont val="Tahoma"/>
        <charset val="134"/>
      </rPr>
      <t>F</t>
    </r>
    <r>
      <rPr>
        <sz val="10"/>
        <color theme="1"/>
        <rFont val="Tahoma"/>
        <charset val="134"/>
      </rPr>
      <t xml:space="preserve"> for Failed cases.
          It can 'OK' or 'NG' (it depends on habit of the teams or customers)</t>
    </r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</si>
  <si>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</si>
  <si>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</si>
  <si>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</si>
  <si>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</si>
  <si>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</si>
  <si>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</si>
  <si>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</si>
  <si>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</si>
  <si>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DOCUMENT</t>
  </si>
  <si>
    <t>Project Name</t>
  </si>
  <si>
    <t>IQGS – AI-Powered Interview Question Generation System Using RAG and LLM – A Dual-Sided Platform for HR and Job Seekers</t>
  </si>
  <si>
    <t>Creator</t>
  </si>
  <si>
    <t>NamNM</t>
  </si>
  <si>
    <t>Project Code</t>
  </si>
  <si>
    <t>SU26SE102</t>
  </si>
  <si>
    <t>Issue Date</t>
  </si>
  <si>
    <t>15/09/2026</t>
  </si>
  <si>
    <t>Document Code</t>
  </si>
  <si>
    <t>Version</t>
  </si>
  <si>
    <t>0.3.0</t>
  </si>
  <si>
    <t>Record of change</t>
  </si>
  <si>
    <t>Effective Date</t>
  </si>
  <si>
    <t>Change Item</t>
  </si>
  <si>
    <t>*A,D,M</t>
  </si>
  <si>
    <t>Change description</t>
  </si>
  <si>
    <t>Reference</t>
  </si>
  <si>
    <t>02/06/2026</t>
  </si>
  <si>
    <t>0.0.1</t>
  </si>
  <si>
    <t/>
  </si>
  <si>
    <t>A</t>
  </si>
  <si>
    <t>Add project information and record of change table</t>
  </si>
  <si>
    <t>16/08/2026</t>
  </si>
  <si>
    <t>0.2.0</t>
  </si>
  <si>
    <t>Cover title</t>
  </si>
  <si>
    <t>M</t>
  </si>
  <si>
    <t>Retitled from "UNIT TEST DOCUMENT" to "UNIT &amp; API TEST DOCUMENT", the workbook documents both FE Vitest scenarios and 18 real BE (RAG_IQGS) API test scenarios, not FE unit tests alone.</t>
  </si>
  <si>
    <t>10/09/2026</t>
  </si>
  <si>
    <t>0.2.1</t>
  </si>
  <si>
    <t>Scenario notes</t>
  </si>
  <si>
    <t>Annotated 3 scenarios whose automated Vitest coverage was removed 2026-09-10 (ApplyPlanSettingsTimeout/UTCID02, SampleJdModalCopyUse/UTCID02, StudioChatRefineMultiTurn — see each sheet's own Note row) after cross-referencing actual UTCID conditions, not just ID-number similarity — this workbook's FE_RAG_0XX scenario IDs do not correspond 1:1 to the Vitest RAG0XX IDs in tests/unit/. Two other removed automated tests were checked and deliberately NOT annotated: RAG029-2 (studio-flow.test.tsx) was an ad-hoc code-review regression test with no corresponding scenario sheet in this workbook to begin with; RAG030-1 (studio-flow.test.tsx, settings-toggle persistence) does not match StudioGenerationSettingsToggles, whose UTCIDs verify generated-question content reflects the toggles, a different mechanism than the removed test's settings-PUT-call assertion. Historical Passed/Failed data on all sheets is left untouched.</t>
  </si>
  <si>
    <t>TestExecutionGuide.docx; Report5_Test_Report.xlsx</t>
  </si>
  <si>
    <t>12/09/2026</t>
  </si>
  <si>
    <t>0.2.2</t>
  </si>
  <si>
    <t>Timeout5xxFriendlyMessage; FE_ACT_001</t>
  </si>
  <si>
    <t>Updated FE_RAGAUTH_011 after the 10/09/2026 merge: timeouts and 5xx now surface friendly localized copy (NETWORK/SERVER_ERROR_MESSAGES in error.interceptor.ts), so the scenario was renamed Timeout5xxFriendlyMessage and UTCID01-03 expectations rewritten; 429 still has no dedicated handling. Flagged FE_ACT_001 as covering the /admin/content page deleted in 0ff281f.</t>
  </si>
  <si>
    <t>error.interceptor.ts; Report5_Test_Report.xlsx</t>
  </si>
  <si>
    <t>13/09/2026</t>
  </si>
  <si>
    <t>0.2.3</t>
  </si>
  <si>
    <t>Unit test reduction</t>
  </si>
  <si>
    <t>M, D</t>
  </si>
  <si>
    <t>Synced with the reduced Vitest suite (529 -&gt; 470 test cases): removed 7 scenarios for code the app no longer uses (NormalizePathname, GetLoginWelcomeRoleFromRedirect, SaveAndGetLocalSession, PatchAndUpdateLocalSession, ToGenerationSessionAndMalformed, ValidateAvatarFile, ContentTableRowAndDeadDeleteBut); trimmed UTCIDs to one per branch in 10 scenarios; renamed SortAndInjectJdCitation to InjectJdCitationForDisplay and BadgeClassAndCategoryLabelHelpers to FormatCategoryLabel; corrected the GetRoleRedirect default route to /candidate.</t>
  </si>
  <si>
    <t>tests/unit; Report5_Test_Report.xlsx</t>
  </si>
  <si>
    <t>Unit test workbook</t>
  </si>
  <si>
    <t>A, M, D</t>
  </si>
  <si>
    <t>Rebuilt from executed tests only: 19 frontend functions (161 test cases, Vitest run 15/09/2026) and 38 backend application-layer functions (232 test cases, xUnit run 15/09/2026); every UTCID is a real test with its result and executed date. Restored the template header rows (Function Code/Name, Created By, Executed By, Lines of code, Lack of test cases, COUNTIF counters). The previous scenario sheets were replaced: UI scenarios are now functional test cases in Report5_Test_Report.xlsx, scenarios without a current automated test were removed, and the 18 RAG Service API scenarios moved to Report5_Test_Report.xlsx (Pending).</t>
  </si>
  <si>
    <t>Report5_Test_Report.xlsx; tests/unit; ApplicationLayer.UnitTests</t>
  </si>
  <si>
    <t>Function List</t>
  </si>
  <si>
    <t xml:space="preserve">Normal number of Test cases/KLOC </t>
  </si>
  <si>
    <t>Test Environment Setup Description</t>
  </si>
  <si>
    <t>1. Server: not required - all tests run locally (Windows 11 developer machine).
2. Frontend unit tests: Node.js 24, Vitest 4.1 with jsdom 29 - command: npx vitest run (logic-only test files).
3. Backend unit tests: .NET SDK 10.0.303, test project ApplicationLayer.UnitTests (net8.0, xUnit 2.9.2) - command: dotnet test ApplicationLayer.UnitTests.
4. Database: not required - repositories and usage metering are replaced by in-memory fakes.
5. Web browser: not required.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</si>
  <si>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</si>
  <si>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</si>
  <si>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</si>
  <si>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</si>
  <si>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</si>
  <si>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</si>
  <si>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</si>
  <si>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</si>
  <si>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REQ-FE-AUTH Session &amp; Access Handling</t>
  </si>
  <si>
    <t>auth.interceptor.ts</t>
  </si>
  <si>
    <t>attachAuthInterceptor</t>
  </si>
  <si>
    <t>FE-AUTH-01</t>
  </si>
  <si>
    <t>FE-AuthInterceptor</t>
  </si>
  <si>
    <t>Axios interceptor: on 401 refreshes the access token once, retries the request, shares one refresh between concurrent 401s, and clears auth + redirects to /login when the session cannot be refreshed.</t>
  </si>
  <si>
    <t>Axios client created with attachAuthInterceptor(); Access token "expired.jwt.token" and a refresh token are stored; current page /hr/generate-question/manual</t>
  </si>
  <si>
    <t>error.interceptor.ts</t>
  </si>
  <si>
    <t>extractErrorMessage</t>
  </si>
  <si>
    <t>FE-AUTH-02</t>
  </si>
  <si>
    <t>FE-ExtractErrorMessage</t>
  </si>
  <si>
    <t>Turn an API error into the message shown to the user: canned text for known error codes, the server message when present, friendly text for bare 5xx and a generic fallback.</t>
  </si>
  <si>
    <t>Pure function, no mocks</t>
  </si>
  <si>
    <t>permissions.ts</t>
  </si>
  <si>
    <t>setAuth / isAuthenticated / clearAuth / setUserRole / getUserRole</t>
  </si>
  <si>
    <t>FE-AUTH-03</t>
  </si>
  <si>
    <t>FE-AuthState</t>
  </si>
  <si>
    <t>Keep the login state and role in localStorage and clear role, tokens and cached profile together on logout.</t>
  </si>
  <si>
    <t>localStorage is empty before each test</t>
  </si>
  <si>
    <t>getRoleRedirect / extractRole</t>
  </si>
  <si>
    <t>FE-AUTH-04</t>
  </si>
  <si>
    <t>FE-RoleRedirectExtractRole</t>
  </si>
  <si>
    <t>Pick the landing page for a role and read the role from a login response (direct field, nested data, or JWT payload).</t>
  </si>
  <si>
    <t>Pure functions, no mocks</t>
  </si>
  <si>
    <t>REQ-FE-STU Studio Question Display</t>
  </si>
  <si>
    <t>citation-display.ts</t>
  </si>
  <si>
    <t>isJdCitation / citationsForDisplay / formatCitationExcerpt / citationDisplayName</t>
  </si>
  <si>
    <t>FE-STU-01</t>
  </si>
  <si>
    <t>FE-CitationDisplay</t>
  </si>
  <si>
    <t>Prepare question citations for display: detect the JD source, add a JD row when missing, shorten excerpts and show readable source names.</t>
  </si>
  <si>
    <t>question-template-infer.ts</t>
  </si>
  <si>
    <t>inferStudioTemplate (template detection)</t>
  </si>
  <si>
    <t>FE-STU-02</t>
  </si>
  <si>
    <t>FE-InferTemplate-Detect</t>
  </si>
  <si>
    <t>Detect the code template of a Studio question from its explicit template, content keywords, scoring rubric, type or snippet.</t>
  </si>
  <si>
    <t>Base question: Technical, Medium, no expected answer or rubric unless stated</t>
  </si>
  <si>
    <t>inferStudioTemplate (snippet &amp; meta)</t>
  </si>
  <si>
    <t>FE-STU-03</t>
  </si>
  <si>
    <t>FE-InferTemplate-Snippet</t>
  </si>
  <si>
    <t>Extract the code snippet (codeSnippet or fenced block, never expectedAnswer) and read language, image hint, diagram hint and attached image meta.</t>
  </si>
  <si>
    <t>Base question: Technical, Medium; neutral content unless stated</t>
  </si>
  <si>
    <t>inferGeneratedQuestionTemplate</t>
  </si>
  <si>
    <t>FE-STU-04</t>
  </si>
  <si>
    <t>FE-InferGeneratedTemplate</t>
  </si>
  <si>
    <t>Map a saved (History/Review) question to the Studio template view model using its type, difficulty and rationale/rubric meta.</t>
  </si>
  <si>
    <t>REQ-FE-GAM Gamification Display</t>
  </si>
  <si>
    <t>gamification-formatters.ts</t>
  </si>
  <si>
    <t>formatXp / getLevelLabel / getLevelColorClass / getLevelBarColor / streakIntensity / xpRewardTypeLabel</t>
  </si>
  <si>
    <t>FE-GAM-01</t>
  </si>
  <si>
    <t>FE-GamificationFormatters</t>
  </si>
  <si>
    <t>Format XP numbers and map levels, streaks and XP reward types to labels and colours.</t>
  </si>
  <si>
    <t>timeAgo</t>
  </si>
  <si>
    <t>FE-GAM-02</t>
  </si>
  <si>
    <t>FE-TimeAgo</t>
  </si>
  <si>
    <t>Show how long ago an XP event happened, in English and Vietnamese.</t>
  </si>
  <si>
    <t>System time fixed at 15/06/2026 12:00 UTC</t>
  </si>
  <si>
    <t>REQ-FE-CAN Candidate Practice Display</t>
  </si>
  <si>
    <t>practice-streak.ts</t>
  </si>
  <si>
    <t>computeStreakDays</t>
  </si>
  <si>
    <t>FE-CAN-01</t>
  </si>
  <si>
    <t>FE-ComputeStreakDays</t>
  </si>
  <si>
    <t>Count the consecutive practice days (ending today or yesterday) shown on the candidate dashboard.</t>
  </si>
  <si>
    <t>Session timestamps built relative to the real current date</t>
  </si>
  <si>
    <t>skill-labels.ts / company-visual.ts / pill.tsx</t>
  </si>
  <si>
    <t>translateDimensionKey / translateQuestionCategory / getCompanyInitials / getCompanyColor / formatCategoryLabel / getScoreBadgeClass / getScoreLevel</t>
  </si>
  <si>
    <t>FE-CAN-02</t>
  </si>
  <si>
    <t>FE-LabelsCompanyScore</t>
  </si>
  <si>
    <t>Translate skill/category labels, build company initials and colours, and pick the score label and badge colour.</t>
  </si>
  <si>
    <t>REQ-FE-ADM Admin User Display</t>
  </si>
  <si>
    <t>admin-user-display.ts</t>
  </si>
  <si>
    <t>toBackendRoleFilter / normalizeAdminRoleKey / getAdminUserStatus / isAdminRole</t>
  </si>
  <si>
    <t>FE-ADM-01</t>
  </si>
  <si>
    <t>FE-AdminUserDisplay</t>
  </si>
  <si>
    <t>Map roles between the admin UI and the backend filter, and derive the account status shown in User Management.</t>
  </si>
  <si>
    <t>REQ-FE-SHR Shared UI Utilities</t>
  </si>
  <si>
    <t>greeting.ts / login-welcome.ts</t>
  </si>
  <si>
    <t>getTimeOfDayGreeting / buildWelcomeMessage / mark-has-clearLoginWelcomePending</t>
  </si>
  <si>
    <t>FE-SHR-01</t>
  </si>
  <si>
    <t>FE-GreetingLoginWelcome</t>
  </si>
  <si>
    <t>Choose the greeting for the time of day, fill the welcome message, and remember per role that the login welcome is pending.</t>
  </si>
  <si>
    <t>Labels Morning / Afternoon / Evening / Night</t>
  </si>
  <si>
    <t>relative-time.ts</t>
  </si>
  <si>
    <t>formatRelativeTime</t>
  </si>
  <si>
    <t>FE-SHR-02</t>
  </si>
  <si>
    <t>FE-FormatRelativeTime</t>
  </si>
  <si>
    <t>Show relative time for list items in English and Vietnamese; empty text for a missing or invalid date.</t>
  </si>
  <si>
    <t>nav.ts / user-display.ts</t>
  </si>
  <si>
    <t>isAdminNavActive / isHrNavActive / getInitials / resolveAvatarUrl</t>
  </si>
  <si>
    <t>FE-SHR-03</t>
  </si>
  <si>
    <t>FE-NavUserDisplay</t>
  </si>
  <si>
    <t>Highlight the active sidebar item for the current path, and build user initials and avatar URL.</t>
  </si>
  <si>
    <t>url-validation.ts / avatar-upload-messages.ts</t>
  </si>
  <si>
    <t>isValidUrl / mapAvatarUploadError</t>
  </si>
  <si>
    <t>FE-SHR-04</t>
  </si>
  <si>
    <t>FE-UrlAvatarMessages</t>
  </si>
  <si>
    <t>Validate optional profile URLs (http/https only) and map avatar upload error codes to messages.</t>
  </si>
  <si>
    <t>REQ-FE-SUB Subscription State</t>
  </si>
  <si>
    <t>subscription-payment-hub.ts / use-subscription-realtime.ts</t>
  </si>
  <si>
    <t>createSubscriptionPaymentHubConnection / useSubscriptionRealtime</t>
  </si>
  <si>
    <t>FE-SUB-01</t>
  </si>
  <si>
    <t>FE-SubscriptionRealtime</t>
  </si>
  <si>
    <t>Listen for subscription changes over SignalR and fall back to a 30-second poll when the hub connection cannot be created.</t>
  </si>
  <si>
    <t>jsdom without NEXT_PUBLIC_API_BASE_URL (SignalR cannot connect); Fake timers</t>
  </si>
  <si>
    <t>candidate-subscription-context.tsx</t>
  </si>
  <si>
    <t>CandidateSubscriptionProvider</t>
  </si>
  <si>
    <t>FE-SUB-02</t>
  </si>
  <si>
    <t>FE-CandidatePlanCache</t>
  </si>
  <si>
    <t>Provide the candidate's plan, using a localStorage plan cache scoped to the user id before the API responds.</t>
  </si>
  <si>
    <t>User is authenticated (interviewai_auth = true)</t>
  </si>
  <si>
    <t>REQ-BE-CAN Candidate AI Coach &amp; Skills</t>
  </si>
  <si>
    <t>CvCoachPromptBuilder</t>
  </si>
  <si>
    <t>BuildSyntheticJd / DiagnosticHrNote / BuildCvContext</t>
  </si>
  <si>
    <t>BE-CAN-01</t>
  </si>
  <si>
    <t>BE-CvCoachPromptBuilder</t>
  </si>
  <si>
    <t>Build the synthetic JD, the diagnostic HR note and the CV context sent to the RAG service for the candidate AI Coach.</t>
  </si>
  <si>
    <t>Static helper, no dependencies</t>
  </si>
  <si>
    <t>CandidateSkillPlanService</t>
  </si>
  <si>
    <t>ResolveStatus</t>
  </si>
  <si>
    <t>BE-CAN-02</t>
  </si>
  <si>
    <t>BE-SkillPlanResolveStatus</t>
  </si>
  <si>
    <t>Resolve the status of a skill-plan item from its latest score and the target score.</t>
  </si>
  <si>
    <t>Target score 70</t>
  </si>
  <si>
    <t>SkillMatchHelper</t>
  </si>
  <si>
    <t>Compute / UnionCvSkills</t>
  </si>
  <si>
    <t>BE-CAN-03</t>
  </si>
  <si>
    <t>BE-SkillMatchHelper</t>
  </si>
  <si>
    <t>Compare a question set's skills with the candidate's skills and merge CV skills from the tech stack and the CV evaluation JSON.</t>
  </si>
  <si>
    <t>Static helper, case-insensitive skill comparison</t>
  </si>
  <si>
    <t>REQ-BE-GAM Gamification Engine</t>
  </si>
  <si>
    <t>AchievementRules (8 rule classes)</t>
  </si>
  <si>
    <t>IsUnlocked / Code</t>
  </si>
  <si>
    <t>BE-GAM-01</t>
  </si>
  <si>
    <t>BE-AchievementRules</t>
  </si>
  <si>
    <t>Decide when each of the 8 achievements is unlocked from the user's practice counters.</t>
  </si>
  <si>
    <t>AchievementEvaluationContext with the counter under test; all other counters 0</t>
  </si>
  <si>
    <t>LevelCalculator</t>
  </si>
  <si>
    <t>CalculateLevel</t>
  </si>
  <si>
    <t>BE-GAM-02</t>
  </si>
  <si>
    <t>BE-LevelCalculator-Level</t>
  </si>
  <si>
    <t>Calculate the user's level from total XP using the level thresholds.</t>
  </si>
  <si>
    <t>LevelCalculator with default GamificationOptions</t>
  </si>
  <si>
    <t>GetXpRequiredForNextLevel / GetTotalXpForLevel / GetCurrentLevelXp / GetProgressPercentage</t>
  </si>
  <si>
    <t>BE-GAM-03</t>
  </si>
  <si>
    <t>BE-LevelCalculator-Xp</t>
  </si>
  <si>
    <t>Calculate XP needed for the next level, total XP of a level, XP inside the current level and progress percentage.</t>
  </si>
  <si>
    <t>StreakCalculator</t>
  </si>
  <si>
    <t>Compute</t>
  </si>
  <si>
    <t>BE-GAM-04</t>
  </si>
  <si>
    <t>BE-StreakCalculator</t>
  </si>
  <si>
    <t>Update the current and longest practice streak when the user is active on a local date.</t>
  </si>
  <si>
    <t>Today = 09/08/2026 (local date already resolved)</t>
  </si>
  <si>
    <t>UserLocalDateProvider</t>
  </si>
  <si>
    <t>GetLocalDateAsync</t>
  </si>
  <si>
    <t>BE-GAM-05</t>
  </si>
  <si>
    <t>BE-UserLocalDateProvider</t>
  </si>
  <si>
    <t>Convert a UTC instant to the candidate's local date using the profile time zone, falling back to the UTC date.</t>
  </si>
  <si>
    <t>UTC instant 09/08/2026 17:30 (= 10/08/2026 00:30 in UTC+7); Candidate profile repository is an in-memory fake</t>
  </si>
  <si>
    <t>XpRewardPolicy</t>
  </si>
  <si>
    <t>GetScoreBonus</t>
  </si>
  <si>
    <t>BE-GAM-06</t>
  </si>
  <si>
    <t>BE-XpRewardPolicy-Score</t>
  </si>
  <si>
    <t>Give bonus XP for an answer score by score tier; reject scores outside 0-100.</t>
  </si>
  <si>
    <t>XpRewardPolicy with default GamificationOptions</t>
  </si>
  <si>
    <t>IsImprovementEligible / TryGetStreakMilestoneXp / fixed XP amounts</t>
  </si>
  <si>
    <t>BE-GAM-07</t>
  </si>
  <si>
    <t>BE-XpRewardPolicy-Bonus</t>
  </si>
  <si>
    <t>Decide the improvement bonus (+10 points), streak milestone XP and the fixed XP amounts.</t>
  </si>
  <si>
    <t>REQ-BE-QS Question Set Publishing &amp; Rubric</t>
  </si>
  <si>
    <t>PublishQuestionSelectionHelper</t>
  </si>
  <si>
    <t>ApplySelection / MapInterviewSelectionToSetQuestionIds</t>
  </si>
  <si>
    <t>BE-QS-01</t>
  </si>
  <si>
    <t>BE-PublishQuestionSelection</t>
  </si>
  <si>
    <t>Apply the HR's publish selection (soft-deactivate unselected questions) and map interview questions to set question ids.</t>
  </si>
  <si>
    <t>Static helper; question state held in a dictionary</t>
  </si>
  <si>
    <t>RubricNormalizer</t>
  </si>
  <si>
    <t>NormalizeFromLegacyStrings / NormalizeFromJson / IsPublishReady / FlattenForEvaluate</t>
  </si>
  <si>
    <t>BE-QS-02</t>
  </si>
  <si>
    <t>BE-RubricNormalizer</t>
  </si>
  <si>
    <t>Normalize scoring rubrics (legacy strings or rubric v1 JSON) to weighted criteria with anchors, check publish readiness and flatten for AI evaluation.</t>
  </si>
  <si>
    <t>StudioRagPlanMapper / StudioRagQuestionMapper</t>
  </si>
  <si>
    <t>ExtractCitationSourcesWithScope / BuildPlanSourceDetails / ExtractCitations</t>
  </si>
  <si>
    <t>BE-QS-03</t>
  </si>
  <si>
    <t>BE-CitationSourceScope</t>
  </si>
  <si>
    <t>Label plan sources and citations with their scope (JD, HR or SYSTEM knowledge base).</t>
  </si>
  <si>
    <t>Static mappers, citation JSON built in the test</t>
  </si>
  <si>
    <t>REQ-BE-HR HR Recommendations &amp; JD Fit</t>
  </si>
  <si>
    <t>JdFitReviewMapper</t>
  </si>
  <si>
    <t>NormalizeVerdict / StripNumeric / Map</t>
  </si>
  <si>
    <t>BE-HR-01</t>
  </si>
  <si>
    <t>BE-JdFitReviewMapper</t>
  </si>
  <si>
    <t>Map the RAG JD-fit review of a question set: normalize the verdict label, remove numeric scores from text and drop unknown flags/actions.</t>
  </si>
  <si>
    <t>Static mapper, no dependencies</t>
  </si>
  <si>
    <t>JdFitContentHash</t>
  </si>
  <si>
    <t>BE-HR-02</t>
  </si>
  <si>
    <t>BE-JdFitContentHash</t>
  </si>
  <si>
    <t>Hash the JD and question texts so a cached JD-fit review is refreshed when either changes.</t>
  </si>
  <si>
    <t>One active question "What is REST?"</t>
  </si>
  <si>
    <t>PracticeSessionFeedbackMapper</t>
  </si>
  <si>
    <t>Map</t>
  </si>
  <si>
    <t>BE-HR-03</t>
  </si>
  <si>
    <t>BE-PracticeFeedbackMapper</t>
  </si>
  <si>
    <t>Build the practice feedback view: full access for HR, a teaser for Free candidates with unscored questions locked.</t>
  </si>
  <si>
    <t>Completed session with 2 questions and 2 answers; question 1 has AI score 81</t>
  </si>
  <si>
    <t>SkillFitCalculator</t>
  </si>
  <si>
    <t>BE-HR-04</t>
  </si>
  <si>
    <t>BE-SkillFitCalculator</t>
  </si>
  <si>
    <t>Calculate the JD/CV skill fit (Jaccard) with matched, missing and extra skills.</t>
  </si>
  <si>
    <t>Static calculator, case-insensitive skills</t>
  </si>
  <si>
    <t>RecommendationP1Rules</t>
  </si>
  <si>
    <t>EnsureCanRestore / EnsureSameQuestionSet / NormalizeCompareIds / NextViewedAt / EnsureInviteSchedule</t>
  </si>
  <si>
    <t>BE-HR-05</t>
  </si>
  <si>
    <t>BE-RecommendationP1Rules</t>
  </si>
  <si>
    <t>Business rules for candidate recommendations: restore, compare, mark viewed and invite scheduling.</t>
  </si>
  <si>
    <t>Static rules, no dependencies</t>
  </si>
  <si>
    <t>RecommendationService</t>
  </si>
  <si>
    <t>ResolveIntakeMinScore</t>
  </si>
  <si>
    <t>BE-HR-06</t>
  </si>
  <si>
    <t>BE-RecommendationIntakeScore</t>
  </si>
  <si>
    <t>Resolve the minimum practice score for candidate recommendation intake, falling back to 70 outside the allowed range.</t>
  </si>
  <si>
    <t>Static method, default minimum 70</t>
  </si>
  <si>
    <t>REQ-BE-KB Knowledge Documents</t>
  </si>
  <si>
    <t>KnowledgeDocumentType</t>
  </si>
  <si>
    <t>NormalizeForStorage / FromSection</t>
  </si>
  <si>
    <t>BE-KB-01</t>
  </si>
  <si>
    <t>BE-KnowledgeDocumentType</t>
  </si>
  <si>
    <t>Validate and normalize the knowledge document type on upload (required for HR, defaulted for Admin) and map a section name to a type.</t>
  </si>
  <si>
    <t>Static constants class</t>
  </si>
  <si>
    <t>REQ-BE-PRF Candidate Profile</t>
  </si>
  <si>
    <t>UpdateCandidateProfileDtoValidator</t>
  </si>
  <si>
    <t>Validate (TimeZoneId rule)</t>
  </si>
  <si>
    <t>BE-PRF-01</t>
  </si>
  <si>
    <t>BE-ProfileDtoValidator</t>
  </si>
  <si>
    <t>Validate the candidate profile update: TimeZoneId is optional but must be a real IANA time zone when given.</t>
  </si>
  <si>
    <t>DTO with FullName "Nguyễn Văn A"</t>
  </si>
  <si>
    <t>REQ-BE-STU Interview Plan Studio</t>
  </si>
  <si>
    <t>JobDescriptionValidator</t>
  </si>
  <si>
    <t>Validate / ValidateItDomain / ScoreItDomain</t>
  </si>
  <si>
    <t>BE-STU-01</t>
  </si>
  <si>
    <t>BE-JobDescriptionValidator</t>
  </si>
  <si>
    <t>Validate the structure of a job description and reject JDs that are not for an IT position.</t>
  </si>
  <si>
    <t>JD texts padded to at least 100 words</t>
  </si>
  <si>
    <t>PlanMergeService</t>
  </si>
  <si>
    <t>Merge</t>
  </si>
  <si>
    <t>BE-STU-02</t>
  </si>
  <si>
    <t>BE-PlanMergeService</t>
  </si>
  <si>
    <t>Merge a refine patch from the RAG service into the baseline interview plan, keeping fields the patch does not touch.</t>
  </si>
  <si>
    <t>Baseline Backend Developer plan: 10 questions, coverage C# / SQL / REST, summary about .NET and SQL</t>
  </si>
  <si>
    <t>StudioFocusAreaWeightHelper</t>
  </si>
  <si>
    <t>NormalizeToPercent / IsValidSum</t>
  </si>
  <si>
    <t>BE-STU-03</t>
  </si>
  <si>
    <t>BE-FocusAreaWeightHelper</t>
  </si>
  <si>
    <t>Convert focus-area weights (legacy 0-1 fractions or percents) to percent and check they sum to 100.</t>
  </si>
  <si>
    <t>Static helper</t>
  </si>
  <si>
    <t>StudioProportionalAllocator / StudioOutlineFocusRedistributor</t>
  </si>
  <si>
    <t>LargestRemainder / ApplyFocusWeightsToOutline</t>
  </si>
  <si>
    <t>BE-STU-04</t>
  </si>
  <si>
    <t>BE-FocusWeightOutline</t>
  </si>
  <si>
    <t>Turn focus-area percentages into question slots of the plan outline (largest remainder method).</t>
  </si>
  <si>
    <t>Static helpers; outline JSON built in the test</t>
  </si>
  <si>
    <t>StudioHrSkillsHelper</t>
  </si>
  <si>
    <t>Normalize</t>
  </si>
  <si>
    <t>BE-STU-05</t>
  </si>
  <si>
    <t>BE-HrSkillsHelper</t>
  </si>
  <si>
    <t>Clean the skills the HR confirms for a JD: trim, remove duplicates and blanks, cap length and count.</t>
  </si>
  <si>
    <t>Static helper; MaxSkills = 20</t>
  </si>
  <si>
    <t>StudioJdClassifyGate</t>
  </si>
  <si>
    <t>TryReject / FromRagFailure / NormalizeDocumentType</t>
  </si>
  <si>
    <t>BE-STU-06</t>
  </si>
  <si>
    <t>BE-JdClassifyGate</t>
  </si>
  <si>
    <t>Reject a JD before saving when the RAG classifier says it is not a job posting or not an IT role, and map RAG failures to HTTP errors.</t>
  </si>
  <si>
    <t>Static gate; classification result given as parameters</t>
  </si>
  <si>
    <t>StudioJdSeniority</t>
  </si>
  <si>
    <t>NormalizeDisplay / ToRagExperienceLevel</t>
  </si>
  <si>
    <t>BE-STU-07</t>
  </si>
  <si>
    <t>BE-JdSeniority</t>
  </si>
  <si>
    <t>Normalize the seniority the HR confirms for a JD and convert it to the RAG experience level.</t>
  </si>
  <si>
    <t>StudioRagPlanHrNoteBuilder</t>
  </si>
  <si>
    <t>BuildInitial</t>
  </si>
  <si>
    <t>BE-STU-08</t>
  </si>
  <si>
    <t>BE-RagPlanHrNoteBuilder</t>
  </si>
  <si>
    <t>Build the HR note sent with the first plan request, including the position, role and seniority confirmed by the HR.</t>
  </si>
  <si>
    <t>Static builder</t>
  </si>
  <si>
    <t>StudioPlanFocusJdCompleter</t>
  </si>
  <si>
    <t>MatchJdSkill / EnsureAllJdSkills</t>
  </si>
  <si>
    <t>BE-STU-09</t>
  </si>
  <si>
    <t>BE-PlanFocusJdCompleter</t>
  </si>
  <si>
    <t>Make sure the plan's focus areas contain every JD skill, matching RAG focus names to the JD catalog and rebalancing weights and coverage.</t>
  </si>
  <si>
    <t>Static helper; mapped plan built in the test</t>
  </si>
  <si>
    <t>StudioPlanSettingsPatcher</t>
  </si>
  <si>
    <t>Apply / AssignOutlineAnswerMethods</t>
  </si>
  <si>
    <t>BE-STU-10</t>
  </si>
  <si>
    <t>BE-PlanSettingsPatcher</t>
  </si>
  <si>
    <t>Apply the HR's Studio settings (question count, distribution, focus, content mode, outline) to the interview plan JSON.</t>
  </si>
  <si>
    <t>Source plan "Backend interview" (Mid) with an empty outline unless stated</t>
  </si>
  <si>
    <t>StudioPlanSettingsSnapshotHelper</t>
  </si>
  <si>
    <t>BuildFrom / EmbedInSourcePlanJson / TryExtract / IsStale</t>
  </si>
  <si>
    <t>BE-STU-11</t>
  </si>
  <si>
    <t>BE-PlanSettingsSnapshot</t>
  </si>
  <si>
    <t>Snapshot the Studio settings used for a plan (with a fingerprint) and detect when the settings have changed since.</t>
  </si>
  <si>
    <t>StudioSettings built in the test</t>
  </si>
  <si>
    <t>StudioQuestionRegenHelper</t>
  </si>
  <si>
    <t>ResolveSlot / BuildSingleSlotApprovedPlan / ApplyRagResultToQuestion / NormalizeInstruction / BuildAvoidQuestionsNote / BuildRegenHrNote</t>
  </si>
  <si>
    <t>BE-STU-12</t>
  </si>
  <si>
    <t>BE-QuestionRegenHelper</t>
  </si>
  <si>
    <t>Regenerate a single Studio question: find its outline slot, build a one-slot plan, apply the RAG result and build the HR note.</t>
  </si>
  <si>
    <t>Static helper; question and plan JSON built in the test</t>
  </si>
  <si>
    <t>StudioQuestionTaxonomyMapper</t>
  </si>
  <si>
    <t>NormalizeCategory / LegacyTypeToCanonical / FromLegacyQuestionTypes / RescaleQuestionCounts / ToLegacyQuestionTypes</t>
  </si>
  <si>
    <t>BE-STU-13</t>
  </si>
  <si>
    <t>BE-QuestionTaxonomyMapper</t>
  </si>
  <si>
    <t>Map legacy question types to the canonical categories and styles, and rescale distribution counts to the question total.</t>
  </si>
  <si>
    <t>Static mapper</t>
  </si>
  <si>
    <t>StudioRagQuestionMapper</t>
  </si>
  <si>
    <t>ParseMeta / ExtractCitations / ExtractCitationsFromTagsJson / MapToStudioQuestionDto</t>
  </si>
  <si>
    <t>BE-STU-14</t>
  </si>
  <si>
    <t>BE-RagQuestionMapper</t>
  </si>
  <si>
    <t>Read citation origin/provenance and question meta (rationale, skill, focus area) from a question's TagsJson.</t>
  </si>
  <si>
    <t>Static mapper; TagsJson built in the test</t>
  </si>
  <si>
    <t>REQ-BE-SUB Subscription Gates</t>
  </si>
  <si>
    <t>HrGenerateWindow</t>
  </si>
  <si>
    <t>ResolveMax / IsCooldownActive / NextMark</t>
  </si>
  <si>
    <t>BE-SUB-01</t>
  </si>
  <si>
    <t>BE-HrGenerateWindow</t>
  </si>
  <si>
    <t>Track the HR question-set generation window: maximum per window, 24-hour cooldown and window reset after the cooldown.</t>
  </si>
  <si>
    <t>Now = 18/08/2026 04:00 UTC; cooldown 24 hours</t>
  </si>
  <si>
    <t>SubscriptionGateService</t>
  </si>
  <si>
    <t>CheckGenerateSetAsync / CheckQuestionRegenAsync</t>
  </si>
  <si>
    <t>BE-SUB-02</t>
  </si>
  <si>
    <t>BE-GateHrGenerateRegen</t>
  </si>
  <si>
    <t>Block HR question-set generation and question regeneration according to the plan limits, cooldown and usage.</t>
  </si>
  <si>
    <t>Usage metering is an in-memory fake returning the stated usage</t>
  </si>
  <si>
    <t>CheckCoachGenerationAsync / CheckGeneratePersonalSetAsync</t>
  </si>
  <si>
    <t>BE-SUB-03</t>
  </si>
  <si>
    <t>BE-GateCandidateCoach</t>
  </si>
  <si>
    <t>Allow the candidate AI Coach and personal question sets only on the Premium plan, trusting the plan code over a stale limits snapshot.</t>
  </si>
  <si>
    <t>Usage metering is an in-memory fake; limits snapshot = Candidate Free</t>
  </si>
  <si>
    <t>UNIT TEST REPORT</t>
  </si>
  <si>
    <t>Reviewer/Approver</t>
  </si>
  <si>
    <t>Notes</t>
  </si>
  <si>
    <t>This release covers 2 modules: Frontend logic (19 functions, 161 test cases, Vitest) and Backend application layer (38 functions, 232 test cases, xUnit). All test cases were executed on 15/09/2026 by Hoàng Đăng Khoa. UI component behaviour is reported as functional test cases in Report5_Test_Report.xlsx.</t>
  </si>
  <si>
    <t>Function code</t>
  </si>
  <si>
    <t>Passed</t>
  </si>
  <si>
    <t>Failed</t>
  </si>
  <si>
    <t>Untested</t>
  </si>
  <si>
    <t>N</t>
  </si>
  <si>
    <t>B</t>
  </si>
  <si>
    <t>Total Test Cases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</si>
  <si>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</si>
  <si>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</si>
  <si>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</si>
  <si>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</si>
  <si>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</si>
  <si>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</si>
  <si>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</si>
  <si>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</si>
  <si>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Created By</t>
  </si>
  <si>
    <t>Hoàng Đăng Khoa</t>
  </si>
  <si>
    <t>Executed By</t>
  </si>
  <si>
    <t>Lines  of code</t>
  </si>
  <si>
    <t>Lack of test cases</t>
  </si>
  <si>
    <t>Test requirement</t>
  </si>
  <si>
    <t>N/A/B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</si>
  <si>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</si>
  <si>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</si>
  <si>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</si>
  <si>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</si>
  <si>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</si>
  <si>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</si>
  <si>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</si>
  <si>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</si>
  <si>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</si>
  <si>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</si>
  <si>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</si>
  <si>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Condition</t>
  </si>
  <si>
    <t>Precondition</t>
  </si>
  <si>
    <t>Axios client created with attachAuthInterceptor()</t>
  </si>
  <si>
    <t>O</t>
  </si>
  <si>
    <t>Access token "expired.jwt.token" and a refresh token are stored; current page /hr/generate-question/manual</t>
  </si>
  <si>
    <t>Input</t>
  </si>
  <si>
    <t>GET /api/users/me returns 401 once, then 200; refresh returns new tokens</t>
  </si>
  <si>
    <t>GET returns 401; refresh endpoint returns 401</t>
  </si>
  <si>
    <t>No refresh token stored; GET returns 401</t>
  </si>
  <si>
    <t>POST /api/auth/refresh-token itself returns 401</t>
  </si>
  <si>
    <t>POST /api/auth/login (public endpoint) returns 401</t>
  </si>
  <si>
    <t>GET returns 403</t>
  </si>
  <si>
    <t>GET returns 401 on the original call and on the retry; refresh succeeds</t>
  </si>
  <si>
    <t>Any request (GET /api/whatever returns 200)</t>
  </si>
  <si>
    <t>GET returns 401 once, then 200; refresh returns rotated tokens</t>
  </si>
  <si>
    <t>Two concurrent requests both return 401 once; refresh takes 50 ms</t>
  </si>
  <si>
    <t>Confirm</t>
  </si>
  <si>
    <t>Return</t>
  </si>
  <si>
    <t>Request resolves 200 after one retry; setAuthTokens(new tokens); no clearAuth, no redirect</t>
  </si>
  <si>
    <t>Request rejects with 401; clearAuth() called once; redirect to /login</t>
  </si>
  <si>
    <t>Refresh endpoint never called; clearAuth() called once</t>
  </si>
  <si>
    <t>Request rejects; refresh called only once (no loop); clearAuth() called once</t>
  </si>
  <si>
    <t>Request rejects with 401; no refresh attempt; clearAuth() not called</t>
  </si>
  <si>
    <t>Request rejects with 403; no refresh attempt; clearAuth() not called</t>
  </si>
  <si>
    <t>Refresh called once, request retried once, then rejects; clearAuth() called once</t>
  </si>
  <si>
    <t>Authorization header "Bearer expired.jwt.token" comes from getAccessToken(), not from a cookie</t>
  </si>
  <si>
    <t>clearAuth() called once (also clears the cached profile)</t>
  </si>
  <si>
    <t>setAuthTokens("rotated-access-token", "rotated-refresh-token")</t>
  </si>
  <si>
    <t>Both requests resolve 200; refresh endpoint called exactly once; no clearAuth</t>
  </si>
  <si>
    <t>Result</t>
  </si>
  <si>
    <t>Type(N : Normal, A : Abnormal, B : Boundary)</t>
  </si>
  <si>
    <t>Passed/Failed</t>
  </si>
  <si>
    <t>P</t>
  </si>
  <si>
    <t>Executed Date</t>
  </si>
  <si>
    <t>Defect ID</t>
  </si>
  <si>
    <t>error.response = { status: 500, data: {} }</t>
  </si>
  <si>
    <t>response 400 with data.message "Job description is required."</t>
  </si>
  <si>
    <t>response 403 with data.errorCode QUOTA_EXCEEDED</t>
  </si>
  <si>
    <t>error = undefined</t>
  </si>
  <si>
    <t>"The server is temporarily unavailable, so the job description could not be analyzed. Please try again later."</t>
  </si>
  <si>
    <t>"Job description is required."</t>
  </si>
  <si>
    <t>"You've used up your quota for this period. Upgrade to Premium or buy an extra Ask-AI pack."</t>
  </si>
  <si>
    <t>"Something went wrong. Please try again."</t>
  </si>
  <si>
    <t>setAuth() then clearAuth()</t>
  </si>
  <si>
    <t>Only setAuthTokens("real.jwt.token") called</t>
  </si>
  <si>
    <t>setUserRole("HR_MANAGER")</t>
  </si>
  <si>
    <t>Flag, role ADMIN, tokens and cached profile set; clearAuth() called</t>
  </si>
  <si>
    <t>isAuthenticated(): false, then true after setAuth, then false after clearAuth</t>
  </si>
  <si>
    <t>isAuthenticated() = true</t>
  </si>
  <si>
    <t>getUserRole(): null before, "HR_MANAGER" after</t>
  </si>
  <si>
    <t>getUserRole(), getAccessToken() and getCachedUserProfile() all return null</t>
  </si>
  <si>
    <t>getRoleRedirect("SUPER_ADMIN")</t>
  </si>
  <si>
    <t>getRoleRedirect("HR_MANAGER")</t>
  </si>
  <si>
    <t>getRoleRedirect(null)</t>
  </si>
  <si>
    <t>extractRole({ role: "HR_MANAGER" })</t>
  </si>
  <si>
    <t>extractRole({ data: { role: "ADMIN" } })</t>
  </si>
  <si>
    <t>JWT with role JOB_SEEKER under accessToken</t>
  </si>
  <si>
    <t>JWT with role JOB_SEEKER under access_token</t>
  </si>
  <si>
    <t>JWT with role JOB_SEEKER under token</t>
  </si>
  <si>
    <t>JWT with claim Role = HR_MANAGER</t>
  </si>
  <si>
    <t>{ accessToken: "not-a-jwt" }</t>
  </si>
  <si>
    <t>null, "a string" or {}</t>
  </si>
  <si>
    <t>"/admin/dashboard"</t>
  </si>
  <si>
    <t>"/hr/dashboard"</t>
  </si>
  <si>
    <t>"/candidate"</t>
  </si>
  <si>
    <t>"HR_MANAGER"</t>
  </si>
  <si>
    <t>"ADMIN"</t>
  </si>
  <si>
    <t>"JOB_SEEKER"</t>
  </si>
  <si>
    <t>null (no exception)</t>
  </si>
  <si>
    <t>null</t>
  </si>
  <si>
    <t>isJdCitation("Job Description")</t>
  </si>
  <si>
    <t>isJdCitation("handbook.pdf")</t>
  </si>
  <si>
    <t>isJdCitation(null)</t>
  </si>
  <si>
    <t>citations = [handbook.pdf]</t>
  </si>
  <si>
    <t>citations = [job-description with excerpt]</t>
  </si>
  <si>
    <t>"  short text  ", null, "   ", 200 characters with max 140</t>
  </si>
  <si>
    <t>"job-description" / "handbook.pdf"</t>
  </si>
  <si>
    <t>true</t>
  </si>
  <si>
    <t>false</t>
  </si>
  <si>
    <t>2 rows; first = { sourceFile: job-description, excerpt: null, origin: HR }</t>
  </si>
  <si>
    <t>1 row with the original excerpt</t>
  </si>
  <si>
    <t>"short text"; null; null; 140 characters + "…"</t>
  </si>
  <si>
    <t>"Job Description" / "handbook.pdf"</t>
  </si>
  <si>
    <t>UTCID12</t>
  </si>
  <si>
    <t>UTCID13</t>
  </si>
  <si>
    <t>codeTemplateType "bug_detection", content "Find the bug"</t>
  </si>
  <si>
    <t>codeTemplateType "  refactoring  "</t>
  </si>
  <si>
    <t>codeTemplateType NOT_A_REAL_TEMPLATE, content mentions system design</t>
  </si>
  <si>
    <t>content "Design a system architecture (system design) for a URL shortener."</t>
  </si>
  <si>
    <t>content "Complete the TODO in this function (code completion)."</t>
  </si>
  <si>
    <t>content "Find the bug in this loop."</t>
  </si>
  <si>
    <t>content "Refactor this class to remove duplication."</t>
  </si>
  <si>
    <t>content "Write a unit test case for this function."</t>
  </si>
  <si>
    <t>content "Analyze the time complexity O(n^2) of this algorithm."</t>
  </si>
  <si>
    <t>Neutral content, scoringRubric "Look for bug handling"</t>
  </si>
  <si>
    <t>type SystemDesign, neutral content</t>
  </si>
  <si>
    <t>Neutral content with a codeSnippet</t>
  </si>
  <si>
    <t>"Explain the difference between REST and GraphQL." only</t>
  </si>
  <si>
    <t>templateId BUG_DETECTION</t>
  </si>
  <si>
    <t>templateId REFACTORING</t>
  </si>
  <si>
    <t>templateId SYSTEM_DESIGN</t>
  </si>
  <si>
    <t>templateId CODE_COMPLETION</t>
  </si>
  <si>
    <t>templateId TEST_CASE_DESIGN</t>
  </si>
  <si>
    <t>templateId PERFORMANCE_ANALYSIS</t>
  </si>
  <si>
    <t>templateId null; imageHint not empty</t>
  </si>
  <si>
    <t>codeSnippet "const x = 1;"</t>
  </si>
  <si>
    <t>expectedAnswer contains a "Code snippet:" marker</t>
  </si>
  <si>
    <t>content with a ```js fenced block</t>
  </si>
  <si>
    <t>expectedAnswer is raw class code</t>
  </si>
  <si>
    <t>expectedAnswer is plain prose</t>
  </si>
  <si>
    <t>codeSnippet with literal \n escape sequences</t>
  </si>
  <si>
    <t>scoringRubric "lang=TypeScript;template=CODE_COMPLETION"</t>
  </si>
  <si>
    <t>scoringRubric "lang=auto"</t>
  </si>
  <si>
    <t>imageHint "Custom hint" with template BUG_DETECTION</t>
  </si>
  <si>
    <t>"Find the bug in this loop." without imageHint</t>
  </si>
  <si>
    <t>System design content with / without diagramHint meta</t>
  </si>
  <si>
    <t>attachedImageUrl "  https://x/img.png  " / "   "</t>
  </si>
  <si>
    <t>snippet "const x = 1;"</t>
  </si>
  <si>
    <t>snippet undefined</t>
  </si>
  <si>
    <t>snippet contains real line breaks</t>
  </si>
  <si>
    <t>snippetLanguage "typescript"</t>
  </si>
  <si>
    <t>snippetLanguage undefined</t>
  </si>
  <si>
    <t>imageHint "Custom hint"</t>
  </si>
  <si>
    <t>Default image hint of the template (contains "lỗi")</t>
  </si>
  <si>
    <t>diagramDescription from meta / default (contains "sơ đồ kiến trúc")</t>
  </si>
  <si>
    <t>"https://x/img.png" / undefined</t>
  </si>
  <si>
    <t>questionType "System Design"</t>
  </si>
  <si>
    <t>rationale "template=BUG_DETECTION;lang=Python" and a snippet meta</t>
  </si>
  <si>
    <t>difficulty "very easy", "HARD", "unrecognized"</t>
  </si>
  <si>
    <t>BUG_DETECTION, language python, snippet with a real line break</t>
  </si>
  <si>
    <t>No exception; templateId null for a plain question</t>
  </si>
  <si>
    <t>UTCID14</t>
  </si>
  <si>
    <t>formatXp(1200) / formatXp(0)</t>
  </si>
  <si>
    <t>getLevelLabel(2)</t>
  </si>
  <si>
    <t>getLevelLabel(5)</t>
  </si>
  <si>
    <t>getLevelLabel(9)</t>
  </si>
  <si>
    <t>getLevelLabel(14)</t>
  </si>
  <si>
    <t>getLevelLabel(19)</t>
  </si>
  <si>
    <t>getLevelLabel(29)</t>
  </si>
  <si>
    <t>getLevelLabel(30)</t>
  </si>
  <si>
    <t>Level 1 and level 30</t>
  </si>
  <si>
    <t>streakIntensity(0)</t>
  </si>
  <si>
    <t>streakIntensity(2)</t>
  </si>
  <si>
    <t>streakIntensity(6)</t>
  </si>
  <si>
    <t>streakIntensity(7)</t>
  </si>
  <si>
    <t>StreakMilestone in en / vi; unknown type "SomethingNew"</t>
  </si>
  <si>
    <t>"1,200" / "0"</t>
  </si>
  <si>
    <t>"Newcomer"</t>
  </si>
  <si>
    <t>"Practitioner"</t>
  </si>
  <si>
    <t>"Achiever"</t>
  </si>
  <si>
    <t>"Trailblazer"</t>
  </si>
  <si>
    <t>"Specialist"</t>
  </si>
  <si>
    <t>"Mentor"</t>
  </si>
  <si>
    <t>"Legend"</t>
  </si>
  <si>
    <t>Gray class + #6b7280 at level 1; yellow class + #eab308 at level 30</t>
  </si>
  <si>
    <t>Intensity 0</t>
  </si>
  <si>
    <t>Intensity 1</t>
  </si>
  <si>
    <t>Intensity 2</t>
  </si>
  <si>
    <t>Intensity 3</t>
  </si>
  <si>
    <t>"Streak milestone" / "Mốc luyện tập liên tiếp" / "SomethingNew"</t>
  </si>
  <si>
    <t>Age 0 ms, locale en</t>
  </si>
  <si>
    <t>Age 0 ms, locale vi</t>
  </si>
  <si>
    <t>Age 10 minutes, locale en</t>
  </si>
  <si>
    <t>Age 10 minutes, locale vi</t>
  </si>
  <si>
    <t>Age 5 hours, locale en</t>
  </si>
  <si>
    <t>Age 5 hours, locale vi</t>
  </si>
  <si>
    <t>Age 10 days, locale en</t>
  </si>
  <si>
    <t>Age 10 days, locale vi</t>
  </si>
  <si>
    <t>Age 60 days, locale en</t>
  </si>
  <si>
    <t>Age 60 days, locale vi</t>
  </si>
  <si>
    <t>"just now"</t>
  </si>
  <si>
    <t>"vừa xong"</t>
  </si>
  <si>
    <t>"10m ago"</t>
  </si>
  <si>
    <t>"10 phút trước"</t>
  </si>
  <si>
    <t>"5h ago"</t>
  </si>
  <si>
    <t>"5 giờ trước"</t>
  </si>
  <si>
    <t>"10d ago"</t>
  </si>
  <si>
    <t>"10 ngày trước"</t>
  </si>
  <si>
    <t>"2mo ago"</t>
  </si>
  <si>
    <t>"2 tháng trước"</t>
  </si>
  <si>
    <t>No sessions</t>
  </si>
  <si>
    <t>One session today</t>
  </si>
  <si>
    <t>Sessions today, yesterday and 2 days ago</t>
  </si>
  <si>
    <t>Sessions today and 2 days ago</t>
  </si>
  <si>
    <t>Sessions yesterday and 2 days ago</t>
  </si>
  <si>
    <t>Only a session 3 days ago</t>
  </si>
  <si>
    <t>[undefined, "not-a-date", today]</t>
  </si>
  <si>
    <t>Two sessions today</t>
  </si>
  <si>
    <t>0</t>
  </si>
  <si>
    <t>1</t>
  </si>
  <si>
    <t>3</t>
  </si>
  <si>
    <t>1 (streak broken)</t>
  </si>
  <si>
    <t>2</t>
  </si>
  <si>
    <t>0 (streak broken)</t>
  </si>
  <si>
    <t>1 (bad entries ignored)</t>
  </si>
  <si>
    <t>1 (same day counted once)</t>
  </si>
  <si>
    <t>"technical_accuracy" / "Technical-Accuracy" in vi</t>
  </si>
  <si>
    <t>"some_new_dimension" in vi / "clarity" in en</t>
  </si>
  <si>
    <t>"problem-solving" vi / "unknown-cat" vi / "technical" en</t>
  </si>
  <si>
    <t>"", "   ", "Acme", "Acme Corp International"</t>
  </si>
  <si>
    <t>Same seed "Acme Corp" twice</t>
  </si>
  <si>
    <t>Seeds "Acme" and "Zephyr Industries"</t>
  </si>
  <si>
    <t>"problem-solving", "system_design", "technical"</t>
  </si>
  <si>
    <t>Scores 85, 80, 70, 65, 40</t>
  </si>
  <si>
    <t>Scores 90, 70, 55, 30</t>
  </si>
  <si>
    <t>"Độ chính xác kỹ thuật"</t>
  </si>
  <si>
    <t>"Some New Dimension" / "Clarity"</t>
  </si>
  <si>
    <t>"Giải quyết vấn đề" / "Unknown Cat" / "Technical"</t>
  </si>
  <si>
    <t>"?", "?", "AC", "AC"</t>
  </si>
  <si>
    <t>Same colour class bg-*-500 both times</t>
  </si>
  <si>
    <t>Different colour classes</t>
  </si>
  <si>
    <t>"Problem Solving", "System Design", "Technical"</t>
  </si>
  <si>
    <t>emerald, emerald, violet, violet, amber</t>
  </si>
  <si>
    <t>Excellent/emerald, Good/violet, Fair/amber, Needs work/red</t>
  </si>
  <si>
    <t>toBackendRoleFilter("ADMIN")</t>
  </si>
  <si>
    <t>toBackendRoleFilter("HR_MANAGER")</t>
  </si>
  <si>
    <t>toBackendRoleFilter("JOB_SEEKER")</t>
  </si>
  <si>
    <t>toBackendRoleFilter("UNKNOWN")</t>
  </si>
  <si>
    <t>normalizeAdminRoleKey("SysAdmin")</t>
  </si>
  <si>
    <t>normalizeAdminRoleKey("HR_MANAGER")</t>
  </si>
  <si>
    <t>normalizeAdminRoleKey("Candidate")</t>
  </si>
  <si>
    <t>normalizeAdminRoleKey("something-else")</t>
  </si>
  <si>
    <t>normalizeAdminRoleKey(undefined)</t>
  </si>
  <si>
    <t>isActive true, emailVerified false</t>
  </si>
  <si>
    <t>isActive true, emailVerified true</t>
  </si>
  <si>
    <t>isActive false, emailVerified false</t>
  </si>
  <si>
    <t>"ADMIN", "SuperAdmin", "HR_MANAGER", null, undefined</t>
  </si>
  <si>
    <t>"Admin"</t>
  </si>
  <si>
    <t>"HR"</t>
  </si>
  <si>
    <t>"Candidate"</t>
  </si>
  <si>
    <t>undefined</t>
  </si>
  <si>
    <t>"UNKNOWN"</t>
  </si>
  <si>
    <t>"Pending"</t>
  </si>
  <si>
    <t>"Active"</t>
  </si>
  <si>
    <t>"Suspended" (inactive wins)</t>
  </si>
  <si>
    <t>true, true, false, false, false</t>
  </si>
  <si>
    <t>Local time 05:00</t>
  </si>
  <si>
    <t>Local time 12:00</t>
  </si>
  <si>
    <t>Local time 18:00</t>
  </si>
  <si>
    <t>Local time 22:00</t>
  </si>
  <si>
    <t>Local time 04:00</t>
  </si>
  <si>
    <t>Template "{{greeting}}, {{name}}!"</t>
  </si>
  <si>
    <t>Template "Hello there"</t>
  </si>
  <si>
    <t>markLoginWelcomePending("hr"), then clearLoginWelcomePending()</t>
  </si>
  <si>
    <t>"Morning"</t>
  </si>
  <si>
    <t>"Afternoon"</t>
  </si>
  <si>
    <t>"Evening"</t>
  </si>
  <si>
    <t>"Night"</t>
  </si>
  <si>
    <t>"Night" (wraps past midnight)</t>
  </si>
  <si>
    <t>"Good morning, An!"</t>
  </si>
  <si>
    <t>"Hello there"</t>
  </si>
  <si>
    <t>Pending for hr only (not admin); cleared afterwards</t>
  </si>
  <si>
    <t>undefined / "not-a-date"</t>
  </si>
  <si>
    <t>Age 0 ms, lang en</t>
  </si>
  <si>
    <t>Age 0 ms, lang vi</t>
  </si>
  <si>
    <t>Age 5 minutes, lang en</t>
  </si>
  <si>
    <t>Age 5 minutes, lang vi</t>
  </si>
  <si>
    <t>Age 3 hours, lang en</t>
  </si>
  <si>
    <t>Age 3 hours, lang vi</t>
  </si>
  <si>
    <t>Age 2 days, lang en</t>
  </si>
  <si>
    <t>Age 2 days, lang vi</t>
  </si>
  <si>
    <t>""</t>
  </si>
  <si>
    <t>"Just now"</t>
  </si>
  <si>
    <t>"Vừa xong"</t>
  </si>
  <si>
    <t>"5 min ago"</t>
  </si>
  <si>
    <t>"5 phút trước"</t>
  </si>
  <si>
    <t>"3h ago"</t>
  </si>
  <si>
    <t>"3 giờ trước"</t>
  </si>
  <si>
    <t>"2d ago"</t>
  </si>
  <si>
    <t>"2 ngày trước"</t>
  </si>
  <si>
    <t>Dashboard item on /admin, /admin/dashboard, /admin/users; Users item on /admin/users/</t>
  </si>
  <si>
    <t>Item /hr/dashboard on path /hr</t>
  </si>
  <si>
    <t>Item /hr/settings on /hr/settings/billing</t>
  </si>
  <si>
    <t>Item /hr/history on /hr/history/qs-1</t>
  </si>
  <si>
    <t>Item /hr/generate-question on /hr/generate-question/manual</t>
  </si>
  <si>
    <t>"", "   ", "Madonna", "Nguyen Van A", "  Nguyen   Van A  "</t>
  </si>
  <si>
    <t>user null / undefined</t>
  </si>
  <si>
    <t>Avatar set on user / only candidate profile / only HR profile / blank</t>
  </si>
  <si>
    <t>true, true, false, true</t>
  </si>
  <si>
    <t>false (exact match only)</t>
  </si>
  <si>
    <t>true (prefix match)</t>
  </si>
  <si>
    <t>"??", "??", "MA", "NA", "NA"</t>
  </si>
  <si>
    <t>"top.png" / "c.png" / "h.png" / null</t>
  </si>
  <si>
    <t>"" / "   "</t>
  </si>
  <si>
    <t>"https://example.com"</t>
  </si>
  <si>
    <t>"javascript:alert(1)"</t>
  </si>
  <si>
    <t>"not a url"</t>
  </si>
  <si>
    <t>Error code "invalid_type"</t>
  </si>
  <si>
    <t>Error code "too_large"</t>
  </si>
  <si>
    <t>Error code "unknown_code"</t>
  </si>
  <si>
    <t>"Invalid type."</t>
  </si>
  <si>
    <t>"Too large."</t>
  </si>
  <si>
    <t>"Upload failed." (fallback)</t>
  </si>
  <si>
    <t>jsdom without NEXT_PUBLIC_API_BASE_URL (SignalR cannot connect)</t>
  </si>
  <si>
    <t>Fake timers</t>
  </si>
  <si>
    <t>Create the payment hub connection</t>
  </si>
  <si>
    <t>Mount a component using useSubscriptionRealtime</t>
  </si>
  <si>
    <t>Hook mounted, advance time by 30 s twice</t>
  </si>
  <si>
    <t>enabled = false, advance time by 120 s</t>
  </si>
  <si>
    <t>Advance 30 s, unmount, advance 60 s</t>
  </si>
  <si>
    <t>Re-render with a new callback, advance 30 s</t>
  </si>
  <si>
    <t>No exception (returns null when construction fails)</t>
  </si>
  <si>
    <t>Mount does not crash</t>
  </si>
  <si>
    <t>onSubscriptionChanged called once, then twice</t>
  </si>
  <si>
    <t>onSubscriptionChanged never called</t>
  </si>
  <si>
    <t>Called once only; poll cleared on unmount</t>
  </si>
  <si>
    <t>Latest callback called; first callback not called</t>
  </si>
  <si>
    <t>Cache PREMIUM for user-A; user-B logs in; subscription API still pending</t>
  </si>
  <si>
    <t>Cache PREMIUM for user-A; user-A logs in; API still pending</t>
  </si>
  <si>
    <t>No cache; user-C logs in; API returns PREMIUM</t>
  </si>
  <si>
    <t>No cache; user-D logs in; API returns FREE</t>
  </si>
  <si>
    <t>Plan shown for user-B is FREE, never PREMIUM</t>
  </si>
  <si>
    <t>PREMIUM applied immediately</t>
  </si>
  <si>
    <t>PREMIUM shown; cache stores PREMIUM for user-C</t>
  </si>
  <si>
    <t>FREE shown</t>
  </si>
  <si>
    <t>Nguyễn Minh Nam</t>
  </si>
  <si>
    <t>BuildSyntheticJd("Backend", "Junior", "Built APIs", [C#, System Design])</t>
  </si>
  <si>
    <t>DiagnosticHrNote([C#])</t>
  </si>
  <si>
    <t>BuildCvContext("Built APIs", [C#])</t>
  </si>
  <si>
    <t>JD lists only C# and System Design and says "Do not invent job requirements outside this skill list"</t>
  </si>
  <si>
    <t>Note asks for 10 questions starting easy and mentions C#</t>
  </si>
  <si>
    <t>Context contains the summary and C#</t>
  </si>
  <si>
    <t>Score null / 69.9 / 70</t>
  </si>
  <si>
    <t>Pending / InProgress / Done</t>
  </si>
  <si>
    <t>Nguyễn Trung Hiền</t>
  </si>
  <si>
    <t>Set skills [C#, SQL, React]; candidate [c#, python]</t>
  </si>
  <si>
    <t>Set skills empty; candidate [C#]</t>
  </si>
  <si>
    <t>Tech stack [C#, SQL] + evaluation JSON skills [System Design, C#]</t>
  </si>
  <si>
    <t>Percent 33; 1 matched; 2 missing</t>
  </si>
  <si>
    <t>Percent null</t>
  </si>
  <si>
    <t>Union contains C#, SQL and System Design</t>
  </si>
  <si>
    <t>FirstStep: completed sessions 0 / 1</t>
  </si>
  <si>
    <t>OnFire: current streak 6 / 7</t>
  </si>
  <si>
    <t>ExcellentAnswer: last score 89 / 90 / null</t>
  </si>
  <si>
    <t>Dedicated: questions completed 99 / 100</t>
  </si>
  <si>
    <t>TechnicalMind: technical questions 49 / 50</t>
  </si>
  <si>
    <t>SystemThinker: system design questions 29 / 30</t>
  </si>
  <si>
    <t>Consistency: daily goal days 9 / 10</t>
  </si>
  <si>
    <t>InterviewVeteran: completed sessions 99 / 100</t>
  </si>
  <si>
    <t>All 8 rule instances</t>
  </si>
  <si>
    <t>Code FirstStep; locked at 0, unlocked at 1</t>
  </si>
  <si>
    <t>Locked at 6, unlocked at 7</t>
  </si>
  <si>
    <t>Locked at 89 and null, unlocked at 90</t>
  </si>
  <si>
    <t>Locked at 99, unlocked at 100</t>
  </si>
  <si>
    <t>Locked at 49, unlocked at 50</t>
  </si>
  <si>
    <t>Locked at 29, unlocked at 30</t>
  </si>
  <si>
    <t>Locked at 9, unlocked at 10</t>
  </si>
  <si>
    <t>Rule codes are unique</t>
  </si>
  <si>
    <t>UTCID15</t>
  </si>
  <si>
    <t>Total XP 0</t>
  </si>
  <si>
    <t>Total XP 99</t>
  </si>
  <si>
    <t>Total XP 100</t>
  </si>
  <si>
    <t>Total XP 249</t>
  </si>
  <si>
    <t>Total XP 250</t>
  </si>
  <si>
    <t>Total XP 449</t>
  </si>
  <si>
    <t>Total XP 450</t>
  </si>
  <si>
    <t>Total XP 699</t>
  </si>
  <si>
    <t>Total XP 700</t>
  </si>
  <si>
    <t>Total XP 999</t>
  </si>
  <si>
    <t>Total XP 1000</t>
  </si>
  <si>
    <t>Total XP 1349</t>
  </si>
  <si>
    <t>Total XP 1350</t>
  </si>
  <si>
    <t>Total XP 50,000,000</t>
  </si>
  <si>
    <t>Level 1</t>
  </si>
  <si>
    <t>Level 2</t>
  </si>
  <si>
    <t>Level 3</t>
  </si>
  <si>
    <t>Level 4</t>
  </si>
  <si>
    <t>Level 5</t>
  </si>
  <si>
    <t>Level 6</t>
  </si>
  <si>
    <t>Level 7</t>
  </si>
  <si>
    <t>No exception; total XP of that level &lt;= 50,000,000 &lt; total XP of the next level</t>
  </si>
  <si>
    <t>XP required after level 1</t>
  </si>
  <si>
    <t>XP required after level 2</t>
  </si>
  <si>
    <t>XP required after level 3</t>
  </si>
  <si>
    <t>XP required after level 4</t>
  </si>
  <si>
    <t>XP required after level 5</t>
  </si>
  <si>
    <t>XP required after level 6</t>
  </si>
  <si>
    <t>Total XP for level 1</t>
  </si>
  <si>
    <t>Total XP for level 2</t>
  </si>
  <si>
    <t>Total XP for level 3</t>
  </si>
  <si>
    <t>Total XP for level 4</t>
  </si>
  <si>
    <t>Total XP for level 5</t>
  </si>
  <si>
    <t>Total XP for level 6</t>
  </si>
  <si>
    <t>Total XP for level 7</t>
  </si>
  <si>
    <t>Total XP 175 (level 2 starts at 100, next level needs 150)</t>
  </si>
  <si>
    <t>Required XP = 100</t>
  </si>
  <si>
    <t>Required XP = 150</t>
  </si>
  <si>
    <t>Required XP = 200</t>
  </si>
  <si>
    <t>Required XP = 250</t>
  </si>
  <si>
    <t>Required XP = 300</t>
  </si>
  <si>
    <t>Required XP = 350</t>
  </si>
  <si>
    <t>Total XP = 0</t>
  </si>
  <si>
    <t>Total XP = 100</t>
  </si>
  <si>
    <t>Total XP = 250</t>
  </si>
  <si>
    <t>Total XP = 450</t>
  </si>
  <si>
    <t>Total XP = 700</t>
  </si>
  <si>
    <t>Total XP = 1000</t>
  </si>
  <si>
    <t>Total XP = 1350</t>
  </si>
  <si>
    <t>Current level XP 75; progress 50%</t>
  </si>
  <si>
    <t>Progress between 0% and 100%</t>
  </si>
  <si>
    <t>No previous active date; current 0, longest 0</t>
  </si>
  <si>
    <t>Previous active date = today; current 4, longest 6</t>
  </si>
  <si>
    <t>Previous active date = yesterday; current 4, longest 4</t>
  </si>
  <si>
    <t>Previous active date = 3 days ago; current 10, longest 15</t>
  </si>
  <si>
    <t>Previous active date = yesterday; current 6, longest 6</t>
  </si>
  <si>
    <t>Previous active date = yesterday (activity just after local midnight); current 1, longest 1</t>
  </si>
  <si>
    <t>Current 1, longest 1, new active day</t>
  </si>
  <si>
    <t>Current 4, longest 6, not a new active day</t>
  </si>
  <si>
    <t>Current 5, longest 5, new active day</t>
  </si>
  <si>
    <t>Current 1, longest 15, new active day</t>
  </si>
  <si>
    <t>Current 7, longest 7</t>
  </si>
  <si>
    <t>Current 2, new active day</t>
  </si>
  <si>
    <t>UTC instant 09/08/2026 17:30 (= 10/08/2026 00:30 in UTC+7)</t>
  </si>
  <si>
    <t>Candidate profile repository is an in-memory fake</t>
  </si>
  <si>
    <t>No candidate profile</t>
  </si>
  <si>
    <t>Profile TimeZoneId = null</t>
  </si>
  <si>
    <t>TimeZoneId = Asia/Ho_Chi_Minh</t>
  </si>
  <si>
    <t>TimeZoneId = Not/A_Real_Zone</t>
  </si>
  <si>
    <t>09/08/2026 (UTC date)</t>
  </si>
  <si>
    <t>10/08/2026 (local date)</t>
  </si>
  <si>
    <t>09/08/2026 (UTC date), no exception</t>
  </si>
  <si>
    <t>Score 0</t>
  </si>
  <si>
    <t>Score 59</t>
  </si>
  <si>
    <t>Score 60</t>
  </si>
  <si>
    <t>Score 74</t>
  </si>
  <si>
    <t>Score 75</t>
  </si>
  <si>
    <t>Score 89</t>
  </si>
  <si>
    <t>Score 90</t>
  </si>
  <si>
    <t>Score 100</t>
  </si>
  <si>
    <t>Score -0.01</t>
  </si>
  <si>
    <t>Score 100.01</t>
  </si>
  <si>
    <t>Bonus 0 XP</t>
  </si>
  <si>
    <t>Bonus 2 XP</t>
  </si>
  <si>
    <t>Bonus 4 XP</t>
  </si>
  <si>
    <t>Bonus 6 XP</t>
  </si>
  <si>
    <t>Exception</t>
  </si>
  <si>
    <t>ArgumentOutOfRangeException</t>
  </si>
  <si>
    <t>Previous score 61, current 70 (+9)</t>
  </si>
  <si>
    <t>Previous score 61, current 71 (+10)</t>
  </si>
  <si>
    <t>Previous score 61, current 72 (+11)</t>
  </si>
  <si>
    <t>Streak 3 days</t>
  </si>
  <si>
    <t>Streak 7 days</t>
  </si>
  <si>
    <t>Streak 14 days</t>
  </si>
  <si>
    <t>Streak 30 days</t>
  </si>
  <si>
    <t>Streak 1 days</t>
  </si>
  <si>
    <t>Streak 5 days</t>
  </si>
  <si>
    <t>Streak 31 days</t>
  </si>
  <si>
    <t>Default options</t>
  </si>
  <si>
    <t>Not eligible</t>
  </si>
  <si>
    <t>Eligible</t>
  </si>
  <si>
    <t>Milestone found: 20 XP</t>
  </si>
  <si>
    <t>Milestone found: 50 XP</t>
  </si>
  <si>
    <t>Milestone found: 100 XP</t>
  </si>
  <si>
    <t>Milestone found: 200 XP</t>
  </si>
  <si>
    <t>No milestone</t>
  </si>
  <si>
    <t>Question 10 XP, question set 20 XP, improvement bonus 5 XP</t>
  </si>
  <si>
    <t>3 active questions a, b, c; selected [a, c]</t>
  </si>
  <si>
    <t>a active, b inactive; selected []</t>
  </si>
  <si>
    <t>Selected id is not in the set</t>
  </si>
  <si>
    <t>Interview questions matched to set questions by content, then order</t>
  </si>
  <si>
    <t>Returns 2 active; b deactivated</t>
  </si>
  <si>
    <t>Returns 1; no state change</t>
  </si>
  <si>
    <t>Mapped ids [sq1, sq3]</t>
  </si>
  <si>
    <t>ArgumentException</t>
  </si>
  <si>
    <t>Legacy criteria [A, B, C]</t>
  </si>
  <si>
    <t>Normalized rubric [Accuracy, Depth]</t>
  </si>
  <si>
    <t>Normalized rubric [DI lifecycle]</t>
  </si>
  <si>
    <t>Rubric v1 JSON with 2 criteria (60/40) and anchors</t>
  </si>
  <si>
    <t>3 criteria, weights total 100, each with at least 2 anchors</t>
  </si>
  <si>
    <t>Publish ready = true</t>
  </si>
  <si>
    <t>1 flattened line containing "Mốc:" anchors</t>
  </si>
  <si>
    <t>2 criteria, total 100, publish ready</t>
  </si>
  <si>
    <t>Citations job-description (hr), policy.pdf (system), hr-guide.pdf (hr)</t>
  </si>
  <si>
    <t>sourcesUsed [job-description, knowledge-documents:2, rag-retrieve, policy.pdf] + a system citation</t>
  </si>
  <si>
    <t>Raw dictionary citation internal.pdf with knowledgeBase system</t>
  </si>
  <si>
    <t>Scopes JD, SYSTEM, HR</t>
  </si>
  <si>
    <t>Scopes JD, HR, none, SYSTEM</t>
  </si>
  <si>
    <t>1 citation: knowledge base system, source internal.pdf</t>
  </si>
  <si>
    <t>Verdict label "excellent"</t>
  </si>
  <si>
    <t>Verdict label "Tuyệt vời"</t>
  </si>
  <si>
    <t>Verdict label "tốt"</t>
  </si>
  <si>
    <t>Verdict label "Tương đối"</t>
  </si>
  <si>
    <t>Verdict label "Chưa phù hợp"</t>
  </si>
  <si>
    <t>Verdict label "nope"</t>
  </si>
  <si>
    <t>Text "Bộ tốt 85/100 và cover 72%."</t>
  </si>
  <si>
    <t>RAG result with flags onJd + unknown and actions add + explode</t>
  </si>
  <si>
    <t>Verdict "excellent"</t>
  </si>
  <si>
    <t>Verdict "good"</t>
  </si>
  <si>
    <t>Verdict "fair"</t>
  </si>
  <si>
    <t>Verdict "unfit"</t>
  </si>
  <si>
    <t>Verdict null</t>
  </si>
  <si>
    <t>Text without 85, 72 or %</t>
  </si>
  <si>
    <t>Verdict good; only flag onJd and action add kept; JD source kept</t>
  </si>
  <si>
    <t>Hash with JD A, with JD B, and with the question text changed</t>
  </si>
  <si>
    <t>64-character hash; different when the JD or the question text changes</t>
  </si>
  <si>
    <t>lockTeaser = false (HR view)</t>
  </si>
  <si>
    <t>lockTeaser = true (Free candidate)</t>
  </si>
  <si>
    <t>Access Full; no item locked; score 81 and answer text shown</t>
  </si>
  <si>
    <t>Access FreeTeaser; scored item shown as teaser with 81; other item locked without score; no AI insight</t>
  </si>
  <si>
    <t>JD [C#, SQL]; CV [c#, sql]</t>
  </si>
  <si>
    <t>JD [react, node]; CV [react, python]</t>
  </si>
  <si>
    <t>Fit 100%; 2 matched; nothing missing or extra</t>
  </si>
  <si>
    <t>Fit 33.3%; 1 matched; node missing; python extra</t>
  </si>
  <si>
    <t>EnsureCanRestore(Invited)</t>
  </si>
  <si>
    <t>EnsureCanRestore(Dismissed)</t>
  </si>
  <si>
    <t>EnsureSameQuestionSet with 2 different set ids</t>
  </si>
  <si>
    <t>NormalizeCompareIds with 1 id / with 4 ids</t>
  </si>
  <si>
    <t>NextViewedAt(existing 01/01/2026 / null, now)</t>
  </si>
  <si>
    <t>EnsureInviteSchedule ONLINE without a meeting link</t>
  </si>
  <si>
    <t>No exception</t>
  </si>
  <si>
    <t>Existing timestamp kept; a timestamp is set when none exists</t>
  </si>
  <si>
    <t>ConflictException</t>
  </si>
  <si>
    <t>BadRequestException</t>
  </si>
  <si>
    <t>Minimum score input 70</t>
  </si>
  <si>
    <t>Minimum score input 80</t>
  </si>
  <si>
    <t>Minimum score input 50</t>
  </si>
  <si>
    <t>Minimum score input 95</t>
  </si>
  <si>
    <t>Minimum score input 40</t>
  </si>
  <si>
    <t>Minimum score input 100</t>
  </si>
  <si>
    <t>Resolved minimum 70</t>
  </si>
  <si>
    <t>Resolved minimum 80</t>
  </si>
  <si>
    <t>Resolved minimum 50</t>
  </si>
  <si>
    <t>Resolved minimum 95</t>
  </si>
  <si>
    <t>HR upload with type "Policy"</t>
  </si>
  <si>
    <t>HR upload with type "policy"</t>
  </si>
  <si>
    <t>HR upload with type "InternalStack"</t>
  </si>
  <si>
    <t>HR upload with type "Rubric"</t>
  </si>
  <si>
    <t>HR upload with type "RolePack"</t>
  </si>
  <si>
    <t>HR upload with type null</t>
  </si>
  <si>
    <t>HR upload with type "Unclassified"</t>
  </si>
  <si>
    <t>Admin upload with type null</t>
  </si>
  <si>
    <t>Section null</t>
  </si>
  <si>
    <t>Section ""</t>
  </si>
  <si>
    <t>Section "Policy"</t>
  </si>
  <si>
    <t>Section "unknown-x"</t>
  </si>
  <si>
    <t>Stored as Policy</t>
  </si>
  <si>
    <t>Stored as InternalStack</t>
  </si>
  <si>
    <t>Stored as Rubric</t>
  </si>
  <si>
    <t>Stored as RolePack</t>
  </si>
  <si>
    <t>Stored as Unclassified</t>
  </si>
  <si>
    <t>Type Unclassified</t>
  </si>
  <si>
    <t>Type Policy</t>
  </si>
  <si>
    <t>TimeZoneId null</t>
  </si>
  <si>
    <t>TimeZoneId ""</t>
  </si>
  <si>
    <t>TimeZoneId "Asia/Ho_Chi_Minh"</t>
  </si>
  <si>
    <t>TimeZoneId "UTC"</t>
  </si>
  <si>
    <t>TimeZoneId "America/New_York"</t>
  </si>
  <si>
    <t>TimeZoneId "Not/A_Real_Zone"</t>
  </si>
  <si>
    <t>TimeZoneId "Asia/Not_A_City"</t>
  </si>
  <si>
    <t>TimeZoneId "random-garbage"</t>
  </si>
  <si>
    <t>Valid</t>
  </si>
  <si>
    <t>Invalid; error on TimeZoneId</t>
  </si>
  <si>
    <t>Full Stack Developer JD (ASP.NET Core, React, PostgreSQL)</t>
  </si>
  <si>
    <t>Digital Marketing Executive JD</t>
  </si>
  <si>
    <t>Office administration text with no technology</t>
  </si>
  <si>
    <t>Prepared text returned; IT score &gt; 0 and &gt;= non-IT score</t>
  </si>
  <si>
    <t>Validation error returned</t>
  </si>
  <si>
    <t>StructuredHttpException 422 with an IT-domain error</t>
  </si>
  <si>
    <t>Patch replaceCoverage + replaceSkills = Git only</t>
  </si>
  <si>
    <t>Patch with updateSummary only</t>
  </si>
  <si>
    <t>10 questions; coverage only Git (no SQL); .NET summary kept; difficulty Medium</t>
  </si>
  <si>
    <t>New summary saved; C# coverage kept</t>
  </si>
  <si>
    <t>Weight 0.4</t>
  </si>
  <si>
    <t>Weight 0.5</t>
  </si>
  <si>
    <t>Weight 40</t>
  </si>
  <si>
    <t>Weight 100</t>
  </si>
  <si>
    <t>Weight 0</t>
  </si>
  <si>
    <t>Weights [40, 35, 25]</t>
  </si>
  <si>
    <t>40%</t>
  </si>
  <si>
    <t>50%</t>
  </si>
  <si>
    <t>100%</t>
  </si>
  <si>
    <t>0%</t>
  </si>
  <si>
    <t>Valid sum</t>
  </si>
  <si>
    <t>Weights [50, 17, 17, 16], 15 slots</t>
  </si>
  <si>
    <t>12 equal weights, 10 slots</t>
  </si>
  <si>
    <t>Plan settings: focus C# 50%, SQL 17%, React 17%, Git 16%; 15 questions</t>
  </si>
  <si>
    <t>5 skills at 20% each; 10-item outline</t>
  </si>
  <si>
    <t>15 slots in total; first skill gets 7-8</t>
  </si>
  <si>
    <t>10 slots over 12 skills; some skills get 0</t>
  </si>
  <si>
    <t>Outline has 15 items, 7-8 of them for C#</t>
  </si>
  <si>
    <t>10 items, 2 per skill</t>
  </si>
  <si>
    <t>["  ASP.NET Core ", "asp.net core", PostgreSQL, "", "   ", 100-character skill]</t>
  </si>
  <si>
    <t>null / empty list</t>
  </si>
  <si>
    <t>30 skills</t>
  </si>
  <si>
    <t>3 skills: ASP.NET Core, PostgreSQL, and one cut to MaxSkillLength</t>
  </si>
  <si>
    <t>Empty array</t>
  </si>
  <si>
    <t>20 skills returned (MaxSkills)</t>
  </si>
  <si>
    <t>documentType job_description, IT role</t>
  </si>
  <si>
    <t>documentType "resume", IT role, reason "Đây là tutorial."</t>
  </si>
  <si>
    <t>documentType "article", IT role, reason "Đây là tutorial."</t>
  </si>
  <si>
    <t>documentType "documentation", IT role, reason "Đây là tutorial."</t>
  </si>
  <si>
    <t>documentType "other", IT role, reason "Đây là tutorial."</t>
  </si>
  <si>
    <t>documentType "tutorial", IT role, reason "Đây là tutorial."</t>
  </si>
  <si>
    <t>job_description, not an IT role (Digital Marketing)</t>
  </si>
  <si>
    <t>documentType null</t>
  </si>
  <si>
    <t>RAG failure at the classify stage: 422, documentType article</t>
  </si>
  <si>
    <t>RAG failure JD_ANALYZE: 502 LLM timeout</t>
  </si>
  <si>
    <t>Document type alias "JD"</t>
  </si>
  <si>
    <t>Document type alias "job-posting"</t>
  </si>
  <si>
    <t>Document type alias "CV"</t>
  </si>
  <si>
    <t>No error</t>
  </si>
  <si>
    <t>422 ErrorNotJobPosting with the reason in the message</t>
  </si>
  <si>
    <t>422 ErrorNotItRole with the reason in the message</t>
  </si>
  <si>
    <t>ErrorNotJobPosting with the default message</t>
  </si>
  <si>
    <t>"job_description"</t>
  </si>
  <si>
    <t>"resume"</t>
  </si>
  <si>
    <t>Error 422 ErrorNotJobPosting</t>
  </si>
  <si>
    <t>Error 502 ErrorClassifyFailed</t>
  </si>
  <si>
    <t>Seniority "junior"</t>
  </si>
  <si>
    <t>Seniority "Senior"</t>
  </si>
  <si>
    <t>Seniority "mid-level"</t>
  </si>
  <si>
    <t>Seniority "intern"</t>
  </si>
  <si>
    <t>Seniority "Lead"</t>
  </si>
  <si>
    <t>Seniority null</t>
  </si>
  <si>
    <t>Seniority ""</t>
  </si>
  <si>
    <t>Seniority "expert"</t>
  </si>
  <si>
    <t>Seniority "Không xác định"</t>
  </si>
  <si>
    <t>ToRagExperienceLevel("Junior" / "mid-level" / null)</t>
  </si>
  <si>
    <t>"Junior"</t>
  </si>
  <si>
    <t>"Senior"</t>
  </si>
  <si>
    <t>"Mid"</t>
  </si>
  <si>
    <t>"Intern"</t>
  </si>
  <si>
    <t>"Lead"</t>
  </si>
  <si>
    <t>null (rejected)</t>
  </si>
  <si>
    <t>"junior" / "mid" / null</t>
  </si>
  <si>
    <t>Position and role Backend Developer, seniority Junior, 15 questions, 60 minutes</t>
  </si>
  <si>
    <t>Note contains the position, role, required level Junior, experience_level = junior and STUDIO_UI_PLAN=1</t>
  </si>
  <si>
    <t>Catalog [C#, ASP.NET Core, PostgreSQL, React]; names "C#", "C# — OOP", "ASP.NET Core – Middleware", "Query tuning with PostgreSQL", "Kubernetes"</t>
  </si>
  <si>
    <t>12 JD skills; RAG focus covers 5 of them plus an unrelated topic; 15 questions</t>
  </si>
  <si>
    <t>Empty JD skill catalog</t>
  </si>
  <si>
    <t>C#, C#, ASP.NET Core, PostgreSQL, null</t>
  </si>
  <si>
    <t>12 focus areas in JD order, weights total 100, sources kept, missing skills use job-description, coverage 12 items with 15 questions</t>
  </si>
  <si>
    <t>Focus areas unchanged (1 item "Only")</t>
  </si>
  <si>
    <t>HR outline of 2 items; item 1 has a job-description citation</t>
  </si>
  <si>
    <t>Outline JSON with snake_case citation fields</t>
  </si>
  <si>
    <t>Content mode Mixed; 10 questions (7 technical, 3 behavioral)</t>
  </si>
  <si>
    <t>Content mode TheoryOnly; 8 technical questions</t>
  </si>
  <si>
    <t>Content mode CodeOnly; 8 questions (technical + coding)</t>
  </si>
  <si>
    <t>Mixed mode; outline types technical, coding, behavioral, problemsolving</t>
  </si>
  <si>
    <t>CodeOnly mode with 5 HR outline items (1 Code, 4 Text)</t>
  </si>
  <si>
    <t>15 questions; distribution has situational = 0</t>
  </si>
  <si>
    <t>Baseline coverage C# and SQL; HR focus Git 100%</t>
  </si>
  <si>
    <t>Outline saved with the citation (chunk 2, excerpt, origin HR, why-asked); item 2 has none</t>
  </si>
  <si>
    <t>1 item; citation chunk 1 and excerpt read</t>
  </si>
  <si>
    <t>5 Code and 5 Text slots</t>
  </si>
  <si>
    <t>8 Text, 0 Code</t>
  </si>
  <si>
    <t>8 Code, 0 Text</t>
  </si>
  <si>
    <t>Text, Code, Text, Code</t>
  </si>
  <si>
    <t>HR answer methods kept: 1 Code, 4 Text</t>
  </si>
  <si>
    <t>No exception; 15 questions; plan JSON written</t>
  </si>
  <si>
    <t>Coverage and focus areas contain only Git</t>
  </si>
  <si>
    <t>Settings with focus weights 0.6 (legacy) and 40</t>
  </si>
  <si>
    <t>Snapshot embedded into the plan JSON, then extracted</t>
  </si>
  <si>
    <t>Number of questions changed from 10 to 12 after the snapshot</t>
  </si>
  <si>
    <t>Settings unchanged</t>
  </si>
  <si>
    <t>Weights 60 and 40; 64-character fingerprint</t>
  </si>
  <si>
    <t>Same fingerprint</t>
  </si>
  <si>
    <t>Stale = true</t>
  </si>
  <si>
    <t>Stale = false</t>
  </si>
  <si>
    <t>Question at order 2; outline item 2 = SOLID, Code, with a citation</t>
  </si>
  <si>
    <t>Plan with 30 questions + one OOP slot</t>
  </si>
  <si>
    <t>RAG result with a different rationale; question has an attached image</t>
  </si>
  <si>
    <t>Instruction "  " / "  Làm khó hơn \n "</t>
  </si>
  <si>
    <t>["Câu ngắn", blank, 200 characters, "Câu ba"]; max 3 items, 120 characters each</t>
  </si>
  <si>
    <t>Empty list / only blank strings</t>
  </si>
  <si>
    <t>Mixed mode, BUG_DETECTION, instruction "Làm khó hơn", avoid note</t>
  </si>
  <si>
    <t>Slot order 2, skill SOLID, goal "Đánh giá SOLID", Code, 1 citation</t>
  </si>
  <si>
    <t>Approved plan with totalQuestions 1 and one outline item OOP</t>
  </si>
  <si>
    <t>Content and sample answer updated; rationale = slot goal; image path and template kept</t>
  </si>
  <si>
    <t>null / "Làm khó hơn"</t>
  </si>
  <si>
    <t>"AVOID_QUESTIONS=" note joined by |#|; blank skipped; long text cut with …</t>
  </si>
  <si>
    <t>Note contains STUDIO_REGEN=1, HR_REGEN_NOTE and AVOID_QUESTIONS</t>
  </si>
  <si>
    <t>NormalizeCategory("system_design")</t>
  </si>
  <si>
    <t>NormalizeCategory("problem_solving")</t>
  </si>
  <si>
    <t>NormalizeCategory("behavioral")</t>
  </si>
  <si>
    <t>NormalizeCategory("Hard")</t>
  </si>
  <si>
    <t>LegacyTypeToCanonical("system_design")</t>
  </si>
  <si>
    <t>Legacy types technical, system_design, problem_solving, behavioral; 10 questions</t>
  </si>
  <si>
    <t>RAG counts 10 + 1 + 1 for a 10-question set</t>
  </si>
  <si>
    <t>Distribution technical / behavioral / situational</t>
  </si>
  <si>
    <t>Category "technical"</t>
  </si>
  <si>
    <t>Category "behavioral"</t>
  </si>
  <si>
    <t>Category technical, style system_design</t>
  </si>
  <si>
    <t>2 categories (technical, behavioral); styles system_design and problem_solving; 10 questions, 100%</t>
  </si>
  <si>
    <t>Counts total 10 and percentages total 100</t>
  </si>
  <si>
    <t>3 legacy types, all canonical</t>
  </si>
  <si>
    <t>TagsJson with HR and SYSTEM citations and source provenance</t>
  </si>
  <si>
    <t>Legacy citation with knowledgeBase system and no origin</t>
  </si>
  <si>
    <t>TagsJson rationale "Đánh giá SOLID", skill SOLID, focusArea SRP</t>
  </si>
  <si>
    <t>TagsJson with rationale only</t>
  </si>
  <si>
    <t>2 citations: HR (why-asked) and SYSTEM (knowledge base system); provenance present; no missing-admin warning</t>
  </si>
  <si>
    <t>Origin inferred as SYSTEM</t>
  </si>
  <si>
    <t>DTO rationale, skill SOLID and focus area SRP</t>
  </si>
  <si>
    <t>Skill and focus area null</t>
  </si>
  <si>
    <t>GeneratePerWindow = 0</t>
  </si>
  <si>
    <t>GeneratePerWindow = 1</t>
  </si>
  <si>
    <t>GeneratePerWindow = 3</t>
  </si>
  <si>
    <t>No previous successful generation</t>
  </si>
  <si>
    <t>Last success 1 hour ago</t>
  </si>
  <si>
    <t>Last success 25 hours ago</t>
  </si>
  <si>
    <t>Used 0, no last success, maximum 1</t>
  </si>
  <si>
    <t>Used 1, last success 25 hours ago, maximum 1</t>
  </si>
  <si>
    <t>Maximum 1 per window</t>
  </si>
  <si>
    <t>Maximum 3 per window</t>
  </si>
  <si>
    <t>Cooldown not active</t>
  </si>
  <si>
    <t>Cooldown active</t>
  </si>
  <si>
    <t>Used 1; last success = now</t>
  </si>
  <si>
    <t>Window reset: used 1; last success = now</t>
  </si>
  <si>
    <t>HR Free; no previous generation; window unused</t>
  </si>
  <si>
    <t>HR Free; last generation 1 hour ago</t>
  </si>
  <si>
    <t>HR Free; last generation 25 hours ago</t>
  </si>
  <si>
    <t>HR Premium; generated just now</t>
  </si>
  <si>
    <t>HR Free; window used 1 of 1; no last generation time</t>
  </si>
  <si>
    <t>HR Free; window used 1 of 1; last generation 25 hours ago</t>
  </si>
  <si>
    <t>HR Free; question regeneration used 2 of 2</t>
  </si>
  <si>
    <t>HR Free; question regeneration used 1 of 2</t>
  </si>
  <si>
    <t>HR Premium; question regeneration used 99</t>
  </si>
  <si>
    <t>HR Premium; window used 99</t>
  </si>
  <si>
    <t>Allowed (no exception)</t>
  </si>
  <si>
    <t>SubscriptionGateException CooldownActive; message mentions "1 lần" and "đánh giá JD"</t>
  </si>
  <si>
    <t>SubscriptionGateException CooldownActive</t>
  </si>
  <si>
    <t>SubscriptionGateException QuestionRegenLimit</t>
  </si>
  <si>
    <t>AI Coach; Candidate Premium plan with a stale Free snapshot</t>
  </si>
  <si>
    <t>AI Coach; Candidate Free plan</t>
  </si>
  <si>
    <t>AI Coach; expired Premium already downgraded to Free</t>
  </si>
  <si>
    <t>Personal set; Candidate Premium with a stale Free snapshot; used 0</t>
  </si>
  <si>
    <t>SubscriptionGateException FeatureRequiresPremium mentioning AI Coach</t>
  </si>
  <si>
    <t>SubscriptionGateException FeatureRequiresPremium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</si>
</sst>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"/>
    <numFmt numFmtId="179" formatCode="d/m/yyyy"/>
    <numFmt numFmtId="180" formatCode="dd/mm/yyyy"/>
  </numFmts>
  <fonts count="50">
    <font>
      <sz val="11"/>
      <color theme="1"/>
      <name val="MS PGothic"/>
      <charset val="134"/>
      <scheme val="minor"/>
    </font>
    <font>
      <sz val="8"/>
      <color theme="1"/>
      <name val="Tahoma"/>
      <charset val="134"/>
    </font>
    <font>
      <b/>
      <sz val="8"/>
      <color theme="1"/>
      <name val="Tahoma"/>
      <charset val="134"/>
    </font>
    <font>
      <i/>
      <sz val="8"/>
      <color theme="1"/>
      <name val="Tahoma"/>
      <charset val="134"/>
    </font>
    <font>
      <b/>
      <sz val="10"/>
      <color rgb="FFFFFFFF"/>
      <name val="Tahoma"/>
      <charset val="134"/>
    </font>
    <font>
      <b/>
      <sz val="8"/>
      <color rgb="FFFFFFFF"/>
      <name val="Tahoma"/>
      <charset val="134"/>
    </font>
    <font>
      <sz val="8"/>
      <color rgb="FFFFFFFF"/>
      <name val="Tahoma"/>
      <charset val="134"/>
    </font>
    <font>
      <b/>
      <sz val="12"/>
      <color theme="1"/>
      <name val="Tahoma"/>
      <charset val="134"/>
    </font>
    <font>
      <sz val="8"/>
      <color rgb="FF008000"/>
      <name val="Tahoma"/>
      <charset val="134"/>
    </font>
    <font>
      <sz val="10"/>
      <color theme="1"/>
      <name val="Tahoma"/>
      <charset val="134"/>
    </font>
    <font>
      <b/>
      <sz val="20"/>
      <color rgb="FF000000"/>
      <name val="Tahoma"/>
      <charset val="134"/>
    </font>
    <font>
      <sz val="11"/>
      <name val="MS PGothic"/>
      <charset val="134"/>
      <scheme val="minor"/>
    </font>
    <font>
      <b/>
      <sz val="10"/>
      <color theme="1"/>
      <name val="Tahoma"/>
      <charset val="134"/>
    </font>
    <font>
      <i/>
      <sz val="10"/>
      <color theme="1"/>
      <name val="Tahoma"/>
      <charset val="134"/>
    </font>
    <font>
      <b/>
      <sz val="10"/>
      <color rgb="FF993300"/>
      <name val="Tahoma"/>
      <charset val="134"/>
    </font>
    <font>
      <i/>
      <sz val="10"/>
      <color rgb="FF008000"/>
      <name val="Tahoma"/>
      <charset val="134"/>
    </font>
    <font>
      <u/>
      <sz val="10"/>
      <color rgb="FF0000FF"/>
      <name val="Tahoma"/>
      <charset val="134"/>
    </font>
    <font>
      <sz val="10"/>
      <color rgb="FFFFFFFF"/>
      <name val="Tahoma"/>
      <charset val="134"/>
    </font>
    <font>
      <b/>
      <sz val="11"/>
      <color rgb="FFFFFFFF"/>
      <name val="Tahoma"/>
      <charset val="134"/>
    </font>
    <font>
      <b/>
      <sz val="10"/>
      <color rgb="FF000000"/>
      <name val="Tahoma"/>
      <charset val="134"/>
    </font>
    <font>
      <b/>
      <sz val="10"/>
      <color rgb="FFFF0000"/>
      <name val="Tahoma"/>
      <charset val="134"/>
    </font>
    <font>
      <sz val="10"/>
      <color rgb="FF000000"/>
      <name val="Tahoma"/>
      <charset val="134"/>
    </font>
    <font>
      <b/>
      <sz val="26"/>
      <color rgb="FFFF0000"/>
      <name val="Tahoma"/>
      <charset val="134"/>
    </font>
    <font>
      <i/>
      <sz val="10"/>
      <color theme="1"/>
      <name val="Calibri"/>
      <charset val="134"/>
    </font>
    <font>
      <b/>
      <sz val="18"/>
      <color theme="1"/>
      <name val="Tahoma"/>
      <charset val="134"/>
    </font>
    <font>
      <b/>
      <sz val="11"/>
      <color theme="1"/>
      <name val="Tahoma"/>
      <charset val="134"/>
    </font>
    <font>
      <b/>
      <sz val="14"/>
      <color theme="1"/>
      <name val="Tahoma"/>
      <charset val="134"/>
    </font>
    <font>
      <sz val="11"/>
      <color theme="1"/>
      <name val="Tahoma"/>
      <charset val="134"/>
    </font>
    <font>
      <i/>
      <sz val="11"/>
      <color theme="1"/>
      <name val="Tahoma"/>
      <charset val="134"/>
    </font>
    <font>
      <sz val="11"/>
      <color theme="1"/>
      <name val="MS PGothic"/>
      <charset val="134"/>
      <scheme val="minor"/>
    </font>
    <font>
      <u/>
      <sz val="11"/>
      <color rgb="FF0000FF"/>
      <name val="MS PGothic"/>
      <charset val="0"/>
      <scheme val="minor"/>
    </font>
    <font>
      <u/>
      <sz val="11"/>
      <color rgb="FF800080"/>
      <name val="MS PGothic"/>
      <charset val="0"/>
      <scheme val="minor"/>
    </font>
    <font>
      <sz val="11"/>
      <color rgb="FFFF0000"/>
      <name val="MS PGothic"/>
      <charset val="0"/>
      <scheme val="minor"/>
    </font>
    <font>
      <b/>
      <sz val="18"/>
      <color theme="3"/>
      <name val="MS PGothic"/>
      <charset val="134"/>
      <scheme val="minor"/>
    </font>
    <font>
      <i/>
      <sz val="11"/>
      <color rgb="FF7F7F7F"/>
      <name val="MS PGothic"/>
      <charset val="0"/>
      <scheme val="minor"/>
    </font>
    <font>
      <b/>
      <sz val="15"/>
      <color theme="3"/>
      <name val="MS PGothic"/>
      <charset val="134"/>
      <scheme val="minor"/>
    </font>
    <font>
      <b/>
      <sz val="13"/>
      <color theme="3"/>
      <name val="MS PGothic"/>
      <charset val="134"/>
      <scheme val="minor"/>
    </font>
    <font>
      <b/>
      <sz val="11"/>
      <color theme="3"/>
      <name val="MS PGothic"/>
      <charset val="134"/>
      <scheme val="minor"/>
    </font>
    <font>
      <sz val="11"/>
      <color rgb="FF3F3F76"/>
      <name val="MS PGothic"/>
      <charset val="0"/>
      <scheme val="minor"/>
    </font>
    <font>
      <b/>
      <sz val="11"/>
      <color rgb="FF3F3F3F"/>
      <name val="MS PGothic"/>
      <charset val="0"/>
      <scheme val="minor"/>
    </font>
    <font>
      <b/>
      <sz val="11"/>
      <color rgb="FFFA7D00"/>
      <name val="MS PGothic"/>
      <charset val="0"/>
      <scheme val="minor"/>
    </font>
    <font>
      <b/>
      <sz val="11"/>
      <color rgb="FFFFFFFF"/>
      <name val="MS PGothic"/>
      <charset val="0"/>
      <scheme val="minor"/>
    </font>
    <font>
      <sz val="11"/>
      <color rgb="FFFA7D00"/>
      <name val="MS PGothic"/>
      <charset val="0"/>
      <scheme val="minor"/>
    </font>
    <font>
      <b/>
      <sz val="11"/>
      <color theme="1"/>
      <name val="MS PGothic"/>
      <charset val="0"/>
      <scheme val="minor"/>
    </font>
    <font>
      <sz val="11"/>
      <color rgb="FF006100"/>
      <name val="MS PGothic"/>
      <charset val="0"/>
      <scheme val="minor"/>
    </font>
    <font>
      <sz val="11"/>
      <color rgb="FF9C0006"/>
      <name val="MS PGothic"/>
      <charset val="0"/>
      <scheme val="minor"/>
    </font>
    <font>
      <sz val="11"/>
      <color rgb="FF9C6500"/>
      <name val="MS PGothic"/>
      <charset val="0"/>
      <scheme val="minor"/>
    </font>
    <font>
      <sz val="11"/>
      <color theme="0"/>
      <name val="MS PGothic"/>
      <charset val="0"/>
      <scheme val="minor"/>
    </font>
    <font>
      <sz val="11"/>
      <color theme="1"/>
      <name val="MS PGothic"/>
      <charset val="0"/>
      <scheme val="minor"/>
    </font>
    <font>
      <sz val="10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FF9900"/>
        <bgColor rgb="FFFF9900"/>
      </patternFill>
    </fill>
    <fill>
      <patternFill patternType="solid">
        <fgColor rgb="FF333399"/>
        <bgColor rgb="FF333399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  <diagonal/>
    </border>
    <border>
      <left/>
      <right/>
      <top style="double">
        <color rgb="FF000000"/>
      </top>
      <bottom style="medium">
        <color rgb="FFFFFFFF"/>
      </bottom>
      <diagonal/>
    </border>
    <border>
      <left/>
      <right style="double">
        <color rgb="FF000000"/>
      </right>
      <top style="double">
        <color rgb="FF000000"/>
      </top>
      <bottom style="medium">
        <color rgb="FFFFFFFF"/>
      </bottom>
      <diagonal/>
    </border>
    <border>
      <left style="double">
        <color rgb="FF000000"/>
      </left>
      <right style="thin">
        <color rgb="FF000000"/>
      </right>
      <top style="medium">
        <color rgb="FFFFFFFF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7" borderId="44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45" applyNumberFormat="0" applyFill="0" applyAlignment="0" applyProtection="0">
      <alignment vertical="center"/>
    </xf>
    <xf numFmtId="0" fontId="36" fillId="0" borderId="45" applyNumberFormat="0" applyFill="0" applyAlignment="0" applyProtection="0">
      <alignment vertical="center"/>
    </xf>
    <xf numFmtId="0" fontId="37" fillId="0" borderId="46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8" borderId="47" applyNumberFormat="0" applyAlignment="0" applyProtection="0">
      <alignment vertical="center"/>
    </xf>
    <xf numFmtId="0" fontId="39" fillId="9" borderId="48" applyNumberFormat="0" applyAlignment="0" applyProtection="0">
      <alignment vertical="center"/>
    </xf>
    <xf numFmtId="0" fontId="40" fillId="9" borderId="47" applyNumberFormat="0" applyAlignment="0" applyProtection="0">
      <alignment vertical="center"/>
    </xf>
    <xf numFmtId="0" fontId="41" fillId="10" borderId="49" applyNumberFormat="0" applyAlignment="0" applyProtection="0">
      <alignment vertical="center"/>
    </xf>
    <xf numFmtId="0" fontId="42" fillId="0" borderId="50" applyNumberFormat="0" applyFill="0" applyAlignment="0" applyProtection="0">
      <alignment vertical="center"/>
    </xf>
    <xf numFmtId="0" fontId="43" fillId="0" borderId="51" applyNumberFormat="0" applyFill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</cellStyleXfs>
  <cellXfs count="171">
    <xf numFmtId="0" fontId="0" fillId="0" borderId="0" xfId="0"/>
    <xf numFmtId="0" fontId="1" fillId="0" borderId="1" xfId="0" applyFont="1" applyBorder="1" applyAlignment="1"/>
    <xf numFmtId="0" fontId="2" fillId="0" borderId="1" xfId="0" applyFont="1" applyBorder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right"/>
    </xf>
    <xf numFmtId="0" fontId="2" fillId="2" borderId="2" xfId="0" applyFont="1" applyFill="1" applyBorder="1" applyAlignment="1">
      <alignment horizontal="left" wrapText="1"/>
    </xf>
    <xf numFmtId="49" fontId="3" fillId="2" borderId="3" xfId="0" applyNumberFormat="1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49" fontId="1" fillId="2" borderId="3" xfId="0" applyNumberFormat="1" applyFont="1" applyFill="1" applyBorder="1" applyAlignment="1">
      <alignment horizontal="center" wrapText="1"/>
    </xf>
    <xf numFmtId="49" fontId="1" fillId="0" borderId="0" xfId="0" applyNumberFormat="1" applyFont="1" applyAlignment="1"/>
    <xf numFmtId="0" fontId="2" fillId="2" borderId="5" xfId="0" applyFont="1" applyFill="1" applyBorder="1" applyAlignment="1">
      <alignment horizontal="left" wrapText="1"/>
    </xf>
    <xf numFmtId="0" fontId="3" fillId="2" borderId="6" xfId="0" applyFont="1" applyFill="1" applyBorder="1" applyAlignment="1">
      <alignment horizontal="left" wrapText="1"/>
    </xf>
    <xf numFmtId="0" fontId="2" fillId="2" borderId="7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left" wrapText="1"/>
    </xf>
    <xf numFmtId="0" fontId="3" fillId="2" borderId="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2" xfId="0" applyFont="1" applyBorder="1" applyAlignment="1"/>
    <xf numFmtId="0" fontId="2" fillId="0" borderId="0" xfId="0" applyFont="1" applyAlignment="1">
      <alignment horizontal="left"/>
    </xf>
    <xf numFmtId="15" fontId="4" fillId="3" borderId="13" xfId="0" applyNumberFormat="1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left"/>
    </xf>
    <xf numFmtId="0" fontId="6" fillId="3" borderId="14" xfId="0" applyFont="1" applyFill="1" applyBorder="1" applyAlignment="1"/>
    <xf numFmtId="0" fontId="6" fillId="3" borderId="14" xfId="0" applyFont="1" applyFill="1" applyBorder="1" applyAlignment="1">
      <alignment horizontal="right"/>
    </xf>
    <xf numFmtId="0" fontId="5" fillId="3" borderId="14" xfId="0" applyFont="1" applyFill="1" applyBorder="1" applyAlignment="1">
      <alignment vertical="top" textRotation="180"/>
    </xf>
    <xf numFmtId="0" fontId="5" fillId="3" borderId="15" xfId="0" applyFont="1" applyFill="1" applyBorder="1" applyAlignment="1">
      <alignment vertical="top" textRotation="180"/>
    </xf>
    <xf numFmtId="0" fontId="2" fillId="0" borderId="0" xfId="0" applyFont="1" applyAlignment="1"/>
    <xf numFmtId="0" fontId="5" fillId="3" borderId="16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center" vertical="top"/>
    </xf>
    <xf numFmtId="0" fontId="1" fillId="2" borderId="17" xfId="0" applyFont="1" applyFill="1" applyBorder="1" applyAlignment="1">
      <alignment horizontal="right" vertical="top"/>
    </xf>
    <xf numFmtId="0" fontId="3" fillId="4" borderId="0" xfId="0" applyFont="1" applyFill="1" applyAlignment="1">
      <alignment horizontal="right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5" fillId="3" borderId="2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top" wrapText="1" indent="1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5" fillId="3" borderId="16" xfId="0" applyFont="1" applyFill="1" applyBorder="1" applyAlignment="1">
      <alignment vertical="top"/>
    </xf>
    <xf numFmtId="0" fontId="2" fillId="2" borderId="6" xfId="0" applyFont="1" applyFill="1" applyBorder="1" applyAlignment="1"/>
    <xf numFmtId="0" fontId="2" fillId="2" borderId="8" xfId="0" applyFont="1" applyFill="1" applyBorder="1" applyAlignment="1"/>
    <xf numFmtId="0" fontId="1" fillId="2" borderId="17" xfId="0" applyFont="1" applyFill="1" applyBorder="1" applyAlignment="1">
      <alignment horizontal="right"/>
    </xf>
    <xf numFmtId="0" fontId="1" fillId="4" borderId="18" xfId="0" applyFont="1" applyFill="1" applyBorder="1" applyAlignment="1">
      <alignment horizontal="left"/>
    </xf>
    <xf numFmtId="0" fontId="5" fillId="3" borderId="20" xfId="0" applyFont="1" applyFill="1" applyBorder="1" applyAlignment="1">
      <alignment vertical="top"/>
    </xf>
    <xf numFmtId="0" fontId="1" fillId="4" borderId="21" xfId="0" applyFont="1" applyFill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7" xfId="0" applyFont="1" applyBorder="1" applyAlignment="1">
      <alignment horizontal="left" vertical="top"/>
    </xf>
    <xf numFmtId="0" fontId="1" fillId="0" borderId="21" xfId="0" applyFont="1" applyBorder="1" applyAlignment="1"/>
    <xf numFmtId="178" fontId="1" fillId="0" borderId="21" xfId="0" applyNumberFormat="1" applyFont="1" applyBorder="1" applyAlignment="1">
      <alignment vertical="top" textRotation="255"/>
    </xf>
    <xf numFmtId="178" fontId="1" fillId="0" borderId="22" xfId="0" applyNumberFormat="1" applyFont="1" applyBorder="1" applyAlignment="1">
      <alignment vertical="top" textRotation="255"/>
    </xf>
    <xf numFmtId="0" fontId="5" fillId="3" borderId="26" xfId="0" applyFont="1" applyFill="1" applyBorder="1" applyAlignment="1">
      <alignment vertical="top"/>
    </xf>
    <xf numFmtId="0" fontId="1" fillId="0" borderId="27" xfId="0" applyFont="1" applyBorder="1" applyAlignment="1">
      <alignment horizontal="left" vertical="top"/>
    </xf>
    <xf numFmtId="0" fontId="1" fillId="0" borderId="28" xfId="0" applyFont="1" applyBorder="1" applyAlignment="1"/>
    <xf numFmtId="0" fontId="1" fillId="0" borderId="28" xfId="0" applyFont="1" applyBorder="1" applyAlignment="1">
      <alignment textRotation="255"/>
    </xf>
    <xf numFmtId="0" fontId="1" fillId="0" borderId="29" xfId="0" applyFont="1" applyBorder="1" applyAlignment="1">
      <alignment textRotation="255"/>
    </xf>
    <xf numFmtId="0" fontId="9" fillId="2" borderId="0" xfId="0" applyFont="1" applyFill="1" applyAlignment="1"/>
    <xf numFmtId="0" fontId="10" fillId="2" borderId="0" xfId="0" applyFont="1" applyFill="1" applyAlignment="1">
      <alignment horizontal="center"/>
    </xf>
    <xf numFmtId="0" fontId="11" fillId="0" borderId="0" xfId="0" applyFont="1" applyAlignment="1">
      <alignment vertical="center"/>
    </xf>
    <xf numFmtId="0" fontId="12" fillId="2" borderId="0" xfId="0" applyFont="1" applyFill="1" applyAlignment="1"/>
    <xf numFmtId="15" fontId="9" fillId="2" borderId="0" xfId="0" applyNumberFormat="1" applyFont="1" applyFill="1" applyAlignment="1"/>
    <xf numFmtId="0" fontId="12" fillId="2" borderId="21" xfId="0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/>
    </xf>
    <xf numFmtId="0" fontId="11" fillId="0" borderId="30" xfId="0" applyFont="1" applyBorder="1" applyAlignment="1">
      <alignment vertical="center"/>
    </xf>
    <xf numFmtId="0" fontId="12" fillId="2" borderId="7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center" readingOrder="1"/>
    </xf>
    <xf numFmtId="0" fontId="11" fillId="0" borderId="9" xfId="0" applyFont="1" applyBorder="1" applyAlignment="1">
      <alignment vertical="center"/>
    </xf>
    <xf numFmtId="0" fontId="12" fillId="2" borderId="7" xfId="0" applyFont="1" applyFill="1" applyBorder="1" applyAlignment="1">
      <alignment horizontal="center"/>
    </xf>
    <xf numFmtId="0" fontId="12" fillId="2" borderId="21" xfId="0" applyFont="1" applyFill="1" applyBorder="1" applyAlignment="1">
      <alignment vertical="center"/>
    </xf>
    <xf numFmtId="179" fontId="13" fillId="2" borderId="7" xfId="0" applyNumberFormat="1" applyFont="1" applyFill="1" applyBorder="1" applyAlignment="1">
      <alignment horizontal="left" vertical="top"/>
    </xf>
    <xf numFmtId="0" fontId="13" fillId="2" borderId="7" xfId="0" applyFont="1" applyFill="1" applyBorder="1" applyAlignment="1">
      <alignment vertical="top" wrapText="1"/>
    </xf>
    <xf numFmtId="0" fontId="14" fillId="2" borderId="0" xfId="0" applyFont="1" applyFill="1" applyAlignment="1"/>
    <xf numFmtId="0" fontId="15" fillId="2" borderId="0" xfId="0" applyFont="1" applyFill="1" applyAlignment="1"/>
    <xf numFmtId="0" fontId="4" fillId="3" borderId="31" xfId="0" applyFont="1" applyFill="1" applyBorder="1" applyAlignment="1">
      <alignment horizontal="center"/>
    </xf>
    <xf numFmtId="0" fontId="4" fillId="3" borderId="32" xfId="0" applyFont="1" applyFill="1" applyBorder="1" applyAlignment="1">
      <alignment horizontal="center"/>
    </xf>
    <xf numFmtId="0" fontId="4" fillId="3" borderId="32" xfId="0" applyFont="1" applyFill="1" applyBorder="1" applyAlignment="1">
      <alignment horizontal="center" wrapText="1"/>
    </xf>
    <xf numFmtId="0" fontId="4" fillId="3" borderId="33" xfId="0" applyFont="1" applyFill="1" applyBorder="1" applyAlignment="1">
      <alignment horizontal="center"/>
    </xf>
    <xf numFmtId="0" fontId="4" fillId="3" borderId="34" xfId="0" applyFont="1" applyFill="1" applyBorder="1" applyAlignment="1">
      <alignment horizontal="center" wrapText="1"/>
    </xf>
    <xf numFmtId="0" fontId="9" fillId="2" borderId="35" xfId="0" applyFont="1" applyFill="1" applyBorder="1" applyAlignment="1">
      <alignment horizontal="center"/>
    </xf>
    <xf numFmtId="49" fontId="16" fillId="2" borderId="36" xfId="0" applyNumberFormat="1" applyFont="1" applyFill="1" applyBorder="1" applyAlignment="1"/>
    <xf numFmtId="0" fontId="9" fillId="2" borderId="36" xfId="0" applyFont="1" applyFill="1" applyBorder="1" applyAlignment="1">
      <alignment horizontal="center"/>
    </xf>
    <xf numFmtId="0" fontId="9" fillId="2" borderId="37" xfId="0" applyFont="1" applyFill="1" applyBorder="1" applyAlignment="1">
      <alignment horizontal="center"/>
    </xf>
    <xf numFmtId="0" fontId="17" fillId="3" borderId="38" xfId="0" applyFont="1" applyFill="1" applyBorder="1" applyAlignment="1">
      <alignment horizontal="center"/>
    </xf>
    <xf numFmtId="0" fontId="18" fillId="3" borderId="0" xfId="0" applyFont="1" applyFill="1" applyAlignment="1">
      <alignment vertical="center"/>
    </xf>
    <xf numFmtId="0" fontId="17" fillId="3" borderId="39" xfId="0" applyFont="1" applyFill="1" applyBorder="1" applyAlignment="1">
      <alignment horizontal="center"/>
    </xf>
    <xf numFmtId="0" fontId="12" fillId="2" borderId="0" xfId="0" applyFont="1" applyFill="1" applyAlignment="1">
      <alignment horizontal="left"/>
    </xf>
    <xf numFmtId="2" fontId="12" fillId="2" borderId="0" xfId="0" applyNumberFormat="1" applyFont="1" applyFill="1" applyAlignment="1">
      <alignment horizontal="right" wrapText="1"/>
    </xf>
    <xf numFmtId="1" fontId="9" fillId="2" borderId="0" xfId="0" applyNumberFormat="1" applyFont="1" applyFill="1" applyAlignment="1"/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left" wrapText="1"/>
    </xf>
    <xf numFmtId="0" fontId="10" fillId="2" borderId="0" xfId="0" applyFont="1" applyFill="1" applyAlignment="1">
      <alignment horizontal="left"/>
    </xf>
    <xf numFmtId="0" fontId="19" fillId="2" borderId="0" xfId="0" applyFont="1" applyFill="1" applyAlignment="1">
      <alignment horizontal="left"/>
    </xf>
    <xf numFmtId="0" fontId="20" fillId="2" borderId="0" xfId="0" applyFont="1" applyFill="1" applyAlignment="1">
      <alignment horizontal="left"/>
    </xf>
    <xf numFmtId="1" fontId="12" fillId="2" borderId="7" xfId="0" applyNumberFormat="1" applyFont="1" applyFill="1" applyBorder="1" applyAlignment="1"/>
    <xf numFmtId="1" fontId="12" fillId="2" borderId="7" xfId="0" applyNumberFormat="1" applyFont="1" applyFill="1" applyBorder="1" applyAlignment="1">
      <alignment horizontal="left"/>
    </xf>
    <xf numFmtId="0" fontId="13" fillId="2" borderId="9" xfId="0" applyFont="1" applyFill="1" applyBorder="1" applyAlignment="1">
      <alignment horizontal="left"/>
    </xf>
    <xf numFmtId="0" fontId="13" fillId="2" borderId="30" xfId="0" applyFont="1" applyFill="1" applyBorder="1" applyAlignment="1">
      <alignment horizontal="left"/>
    </xf>
    <xf numFmtId="1" fontId="12" fillId="2" borderId="7" xfId="0" applyNumberFormat="1" applyFont="1" applyFill="1" applyBorder="1" applyAlignment="1">
      <alignment vertical="center" wrapText="1"/>
    </xf>
    <xf numFmtId="0" fontId="13" fillId="2" borderId="7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wrapText="1"/>
    </xf>
    <xf numFmtId="1" fontId="14" fillId="2" borderId="0" xfId="0" applyNumberFormat="1" applyFont="1" applyFill="1" applyAlignment="1"/>
    <xf numFmtId="1" fontId="9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vertical="center"/>
    </xf>
    <xf numFmtId="1" fontId="4" fillId="5" borderId="40" xfId="0" applyNumberFormat="1" applyFont="1" applyFill="1" applyBorder="1" applyAlignment="1">
      <alignment horizontal="center" vertical="center"/>
    </xf>
    <xf numFmtId="1" fontId="4" fillId="5" borderId="31" xfId="0" applyNumberFormat="1" applyFont="1" applyFill="1" applyBorder="1" applyAlignment="1">
      <alignment horizontal="center" vertical="center" wrapText="1"/>
    </xf>
    <xf numFmtId="1" fontId="4" fillId="5" borderId="31" xfId="0" applyNumberFormat="1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 wrapText="1"/>
    </xf>
    <xf numFmtId="0" fontId="4" fillId="5" borderId="33" xfId="0" applyFont="1" applyFill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/>
    </xf>
    <xf numFmtId="1" fontId="9" fillId="2" borderId="41" xfId="0" applyNumberFormat="1" applyFont="1" applyFill="1" applyBorder="1" applyAlignment="1">
      <alignment horizontal="center" vertical="top" wrapText="1"/>
    </xf>
    <xf numFmtId="1" fontId="9" fillId="2" borderId="35" xfId="0" applyNumberFormat="1" applyFont="1" applyFill="1" applyBorder="1" applyAlignment="1">
      <alignment vertical="top" wrapText="1"/>
    </xf>
    <xf numFmtId="49" fontId="9" fillId="2" borderId="36" xfId="0" applyNumberFormat="1" applyFont="1" applyFill="1" applyBorder="1" applyAlignment="1">
      <alignment horizontal="left" vertical="top" wrapText="1"/>
    </xf>
    <xf numFmtId="0" fontId="16" fillId="2" borderId="36" xfId="0" applyFont="1" applyFill="1" applyBorder="1" applyAlignment="1">
      <alignment horizontal="left" vertical="top" wrapText="1"/>
    </xf>
    <xf numFmtId="0" fontId="21" fillId="2" borderId="36" xfId="0" applyFont="1" applyFill="1" applyBorder="1" applyAlignment="1">
      <alignment horizontal="left" vertical="top" wrapText="1"/>
    </xf>
    <xf numFmtId="0" fontId="9" fillId="2" borderId="37" xfId="0" applyFont="1" applyFill="1" applyBorder="1" applyAlignment="1">
      <alignment horizontal="left" vertical="top" wrapText="1"/>
    </xf>
    <xf numFmtId="0" fontId="9" fillId="0" borderId="0" xfId="0" applyFont="1" applyAlignment="1">
      <alignment horizontal="left"/>
    </xf>
    <xf numFmtId="0" fontId="9" fillId="0" borderId="0" xfId="0" applyFont="1" applyAlignment="1"/>
    <xf numFmtId="0" fontId="22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4" fillId="2" borderId="0" xfId="0" applyFont="1" applyFill="1" applyAlignment="1">
      <alignment horizontal="left"/>
    </xf>
    <xf numFmtId="0" fontId="15" fillId="0" borderId="0" xfId="0" applyFont="1" applyAlignment="1">
      <alignment horizontal="left"/>
    </xf>
    <xf numFmtId="0" fontId="12" fillId="2" borderId="21" xfId="0" applyFont="1" applyFill="1" applyBorder="1" applyAlignment="1">
      <alignment horizontal="left"/>
    </xf>
    <xf numFmtId="0" fontId="23" fillId="0" borderId="7" xfId="0" applyFont="1" applyBorder="1" applyAlignment="1">
      <alignment horizontal="left"/>
    </xf>
    <xf numFmtId="0" fontId="9" fillId="0" borderId="30" xfId="0" applyFont="1" applyBorder="1" applyAlignment="1"/>
    <xf numFmtId="0" fontId="13" fillId="0" borderId="7" xfId="0" applyFont="1" applyBorder="1" applyAlignment="1">
      <alignment horizontal="left"/>
    </xf>
    <xf numFmtId="180" fontId="13" fillId="0" borderId="30" xfId="0" applyNumberFormat="1" applyFont="1" applyBorder="1" applyAlignment="1">
      <alignment horizontal="left"/>
    </xf>
    <xf numFmtId="0" fontId="13" fillId="0" borderId="7" xfId="0" applyFont="1" applyBorder="1" applyAlignment="1">
      <alignment horizontal="left" vertical="center"/>
    </xf>
    <xf numFmtId="0" fontId="13" fillId="0" borderId="30" xfId="0" applyFont="1" applyBorder="1" applyAlignment="1">
      <alignment horizontal="left"/>
    </xf>
    <xf numFmtId="0" fontId="12" fillId="0" borderId="0" xfId="0" applyFont="1" applyAlignment="1"/>
    <xf numFmtId="0" fontId="14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15" fontId="4" fillId="3" borderId="40" xfId="0" applyNumberFormat="1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180" fontId="13" fillId="0" borderId="41" xfId="0" applyNumberFormat="1" applyFont="1" applyBorder="1" applyAlignment="1">
      <alignment horizontal="center" vertical="top" wrapText="1"/>
    </xf>
    <xf numFmtId="49" fontId="9" fillId="0" borderId="36" xfId="0" applyNumberFormat="1" applyFont="1" applyBorder="1" applyAlignment="1">
      <alignment horizontal="center" vertical="top" wrapText="1"/>
    </xf>
    <xf numFmtId="0" fontId="9" fillId="0" borderId="36" xfId="0" applyFont="1" applyBorder="1" applyAlignment="1">
      <alignment vertical="top" wrapText="1"/>
    </xf>
    <xf numFmtId="0" fontId="9" fillId="0" borderId="36" xfId="0" applyFont="1" applyBorder="1" applyAlignment="1">
      <alignment horizontal="center" vertical="top" wrapText="1"/>
    </xf>
    <xf numFmtId="0" fontId="13" fillId="0" borderId="37" xfId="0" applyFont="1" applyBorder="1" applyAlignment="1">
      <alignment vertical="top" wrapText="1"/>
    </xf>
    <xf numFmtId="0" fontId="9" fillId="0" borderId="0" xfId="0" applyFont="1" applyAlignment="1">
      <alignment vertical="top"/>
    </xf>
    <xf numFmtId="15" fontId="9" fillId="0" borderId="42" xfId="0" applyNumberFormat="1" applyFont="1" applyBorder="1" applyAlignment="1">
      <alignment vertical="top"/>
    </xf>
    <xf numFmtId="49" fontId="9" fillId="0" borderId="39" xfId="0" applyNumberFormat="1" applyFont="1" applyBorder="1" applyAlignment="1">
      <alignment vertical="top"/>
    </xf>
    <xf numFmtId="0" fontId="9" fillId="0" borderId="39" xfId="0" applyFont="1" applyBorder="1" applyAlignment="1">
      <alignment vertical="top"/>
    </xf>
    <xf numFmtId="0" fontId="9" fillId="0" borderId="43" xfId="0" applyFont="1" applyBorder="1" applyAlignment="1">
      <alignment vertical="top"/>
    </xf>
    <xf numFmtId="0" fontId="24" fillId="6" borderId="0" xfId="0" applyFont="1" applyFill="1" applyAlignment="1">
      <alignment horizontal="center"/>
    </xf>
    <xf numFmtId="0" fontId="25" fillId="6" borderId="0" xfId="0" applyFont="1" applyFill="1" applyAlignment="1">
      <alignment vertical="center"/>
    </xf>
    <xf numFmtId="0" fontId="7" fillId="6" borderId="0" xfId="0" applyFont="1" applyFill="1" applyAlignment="1">
      <alignment horizontal="left"/>
    </xf>
    <xf numFmtId="0" fontId="26" fillId="6" borderId="0" xfId="0" applyFont="1" applyFill="1" applyAlignment="1">
      <alignment vertical="center"/>
    </xf>
    <xf numFmtId="0" fontId="9" fillId="6" borderId="0" xfId="0" applyFont="1" applyFill="1" applyAlignment="1">
      <alignment horizontal="left"/>
    </xf>
    <xf numFmtId="0" fontId="27" fillId="6" borderId="0" xfId="0" applyFont="1" applyFill="1" applyAlignment="1">
      <alignment vertical="center"/>
    </xf>
    <xf numFmtId="0" fontId="9" fillId="6" borderId="0" xfId="0" applyFont="1" applyFill="1" applyAlignment="1">
      <alignment horizontal="left" wrapText="1"/>
    </xf>
    <xf numFmtId="0" fontId="13" fillId="6" borderId="0" xfId="0" applyFont="1" applyFill="1" applyAlignment="1">
      <alignment horizontal="left"/>
    </xf>
    <xf numFmtId="0" fontId="28" fillId="6" borderId="0" xfId="0" applyFont="1" applyFill="1" applyAlignment="1">
      <alignment vertical="center"/>
    </xf>
    <xf numFmtId="0" fontId="12" fillId="6" borderId="0" xfId="0" applyFont="1" applyFill="1" applyAlignment="1">
      <alignment horizontal="left"/>
    </xf>
    <xf numFmtId="0" fontId="7" fillId="6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4" Type="http://schemas.openxmlformats.org/officeDocument/2006/relationships/styles" Target="styles.xml"/><Relationship Id="rId63" Type="http://schemas.openxmlformats.org/officeDocument/2006/relationships/sharedStrings" Target="sharedStrings.xml"/><Relationship Id="rId62" Type="http://schemas.openxmlformats.org/officeDocument/2006/relationships/theme" Target="theme/theme1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</xdr:row>
      <xdr:rowOff>0</xdr:rowOff>
    </xdr:from>
    <xdr:ext cx="2143125" cy="781050"/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161925"/>
          <a:ext cx="2143125" cy="7810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#'FE-GamificationFormatters'!A1" TargetMode="External"/><Relationship Id="rId8" Type="http://schemas.openxmlformats.org/officeDocument/2006/relationships/hyperlink" Target="#'FE-InferGeneratedTemplate'!A1" TargetMode="External"/><Relationship Id="rId7" Type="http://schemas.openxmlformats.org/officeDocument/2006/relationships/hyperlink" Target="#'FE-InferTemplate-Snippet'!A1" TargetMode="External"/><Relationship Id="rId6" Type="http://schemas.openxmlformats.org/officeDocument/2006/relationships/hyperlink" Target="#'FE-InferTemplate-Detect'!A1" TargetMode="External"/><Relationship Id="rId57" Type="http://schemas.openxmlformats.org/officeDocument/2006/relationships/hyperlink" Target="#'BE-GateCandidateCoach'!A1" TargetMode="External"/><Relationship Id="rId56" Type="http://schemas.openxmlformats.org/officeDocument/2006/relationships/hyperlink" Target="#'BE-GateHrGenerateRegen'!A1" TargetMode="External"/><Relationship Id="rId55" Type="http://schemas.openxmlformats.org/officeDocument/2006/relationships/hyperlink" Target="#'BE-HrGenerateWindow'!A1" TargetMode="External"/><Relationship Id="rId54" Type="http://schemas.openxmlformats.org/officeDocument/2006/relationships/hyperlink" Target="#'BE-RagQuestionMapper'!A1" TargetMode="External"/><Relationship Id="rId53" Type="http://schemas.openxmlformats.org/officeDocument/2006/relationships/hyperlink" Target="#'BE-QuestionTaxonomyMapper'!A1" TargetMode="External"/><Relationship Id="rId52" Type="http://schemas.openxmlformats.org/officeDocument/2006/relationships/hyperlink" Target="#'BE-QuestionRegenHelper'!A1" TargetMode="External"/><Relationship Id="rId51" Type="http://schemas.openxmlformats.org/officeDocument/2006/relationships/hyperlink" Target="#'BE-PlanSettingsSnapshot'!A1" TargetMode="External"/><Relationship Id="rId50" Type="http://schemas.openxmlformats.org/officeDocument/2006/relationships/hyperlink" Target="#'BE-PlanSettingsPatcher'!A1" TargetMode="External"/><Relationship Id="rId5" Type="http://schemas.openxmlformats.org/officeDocument/2006/relationships/hyperlink" Target="#'FE-CitationDisplay'!A1" TargetMode="External"/><Relationship Id="rId49" Type="http://schemas.openxmlformats.org/officeDocument/2006/relationships/hyperlink" Target="#'BE-PlanFocusJdCompleter'!A1" TargetMode="External"/><Relationship Id="rId48" Type="http://schemas.openxmlformats.org/officeDocument/2006/relationships/hyperlink" Target="#'BE-RagPlanHrNoteBuilder'!A1" TargetMode="External"/><Relationship Id="rId47" Type="http://schemas.openxmlformats.org/officeDocument/2006/relationships/hyperlink" Target="#'BE-JdSeniority'!A1" TargetMode="External"/><Relationship Id="rId46" Type="http://schemas.openxmlformats.org/officeDocument/2006/relationships/hyperlink" Target="#'BE-JdClassifyGate'!A1" TargetMode="External"/><Relationship Id="rId45" Type="http://schemas.openxmlformats.org/officeDocument/2006/relationships/hyperlink" Target="#'BE-HrSkillsHelper'!A1" TargetMode="External"/><Relationship Id="rId44" Type="http://schemas.openxmlformats.org/officeDocument/2006/relationships/hyperlink" Target="#'BE-FocusWeightOutline'!A1" TargetMode="External"/><Relationship Id="rId43" Type="http://schemas.openxmlformats.org/officeDocument/2006/relationships/hyperlink" Target="#'BE-FocusAreaWeightHelper'!A1" TargetMode="External"/><Relationship Id="rId42" Type="http://schemas.openxmlformats.org/officeDocument/2006/relationships/hyperlink" Target="#'BE-PlanMergeService'!A1" TargetMode="External"/><Relationship Id="rId41" Type="http://schemas.openxmlformats.org/officeDocument/2006/relationships/hyperlink" Target="#'BE-JobDescriptionValidator'!A1" TargetMode="External"/><Relationship Id="rId40" Type="http://schemas.openxmlformats.org/officeDocument/2006/relationships/hyperlink" Target="#'BE-ProfileDtoValidator'!A1" TargetMode="External"/><Relationship Id="rId4" Type="http://schemas.openxmlformats.org/officeDocument/2006/relationships/hyperlink" Target="#'FE-RoleRedirectExtractRole'!A1" TargetMode="External"/><Relationship Id="rId39" Type="http://schemas.openxmlformats.org/officeDocument/2006/relationships/hyperlink" Target="#'BE-KnowledgeDocumentType'!A1" TargetMode="External"/><Relationship Id="rId38" Type="http://schemas.openxmlformats.org/officeDocument/2006/relationships/hyperlink" Target="#'BE-RecommendationIntakeScore'!A1" TargetMode="External"/><Relationship Id="rId37" Type="http://schemas.openxmlformats.org/officeDocument/2006/relationships/hyperlink" Target="#'BE-RecommendationP1Rules'!A1" TargetMode="External"/><Relationship Id="rId36" Type="http://schemas.openxmlformats.org/officeDocument/2006/relationships/hyperlink" Target="#'BE-SkillFitCalculator'!A1" TargetMode="External"/><Relationship Id="rId35" Type="http://schemas.openxmlformats.org/officeDocument/2006/relationships/hyperlink" Target="#'BE-PracticeFeedbackMapper'!A1" TargetMode="External"/><Relationship Id="rId34" Type="http://schemas.openxmlformats.org/officeDocument/2006/relationships/hyperlink" Target="#'BE-JdFitContentHash'!A1" TargetMode="External"/><Relationship Id="rId33" Type="http://schemas.openxmlformats.org/officeDocument/2006/relationships/hyperlink" Target="#'BE-JdFitReviewMapper'!A1" TargetMode="External"/><Relationship Id="rId32" Type="http://schemas.openxmlformats.org/officeDocument/2006/relationships/hyperlink" Target="#'BE-CitationSourceScope'!A1" TargetMode="External"/><Relationship Id="rId31" Type="http://schemas.openxmlformats.org/officeDocument/2006/relationships/hyperlink" Target="#'BE-RubricNormalizer'!A1" TargetMode="External"/><Relationship Id="rId30" Type="http://schemas.openxmlformats.org/officeDocument/2006/relationships/hyperlink" Target="#'BE-PublishQuestionSelection'!A1" TargetMode="External"/><Relationship Id="rId3" Type="http://schemas.openxmlformats.org/officeDocument/2006/relationships/hyperlink" Target="#'FE-AuthState'!A1" TargetMode="External"/><Relationship Id="rId29" Type="http://schemas.openxmlformats.org/officeDocument/2006/relationships/hyperlink" Target="#'BE-XpRewardPolicy-Bonus'!A1" TargetMode="External"/><Relationship Id="rId28" Type="http://schemas.openxmlformats.org/officeDocument/2006/relationships/hyperlink" Target="#'BE-XpRewardPolicy-Score'!A1" TargetMode="External"/><Relationship Id="rId27" Type="http://schemas.openxmlformats.org/officeDocument/2006/relationships/hyperlink" Target="#'BE-UserLocalDateProvider'!A1" TargetMode="External"/><Relationship Id="rId26" Type="http://schemas.openxmlformats.org/officeDocument/2006/relationships/hyperlink" Target="#'BE-StreakCalculator'!A1" TargetMode="External"/><Relationship Id="rId25" Type="http://schemas.openxmlformats.org/officeDocument/2006/relationships/hyperlink" Target="#'BE-LevelCalculator-Xp'!A1" TargetMode="External"/><Relationship Id="rId24" Type="http://schemas.openxmlformats.org/officeDocument/2006/relationships/hyperlink" Target="#'BE-LevelCalculator-Level'!A1" TargetMode="External"/><Relationship Id="rId23" Type="http://schemas.openxmlformats.org/officeDocument/2006/relationships/hyperlink" Target="#'BE-AchievementRules'!A1" TargetMode="External"/><Relationship Id="rId22" Type="http://schemas.openxmlformats.org/officeDocument/2006/relationships/hyperlink" Target="#'BE-SkillMatchHelper'!A1" TargetMode="External"/><Relationship Id="rId21" Type="http://schemas.openxmlformats.org/officeDocument/2006/relationships/hyperlink" Target="#'BE-SkillPlanResolveStatus'!A1" TargetMode="External"/><Relationship Id="rId20" Type="http://schemas.openxmlformats.org/officeDocument/2006/relationships/hyperlink" Target="#'BE-CvCoachPromptBuilder'!A1" TargetMode="External"/><Relationship Id="rId2" Type="http://schemas.openxmlformats.org/officeDocument/2006/relationships/hyperlink" Target="#'FE-ExtractErrorMessage'!A1" TargetMode="External"/><Relationship Id="rId19" Type="http://schemas.openxmlformats.org/officeDocument/2006/relationships/hyperlink" Target="#'FE-CandidatePlanCache'!A1" TargetMode="External"/><Relationship Id="rId18" Type="http://schemas.openxmlformats.org/officeDocument/2006/relationships/hyperlink" Target="#'FE-SubscriptionRealtime'!A1" TargetMode="External"/><Relationship Id="rId17" Type="http://schemas.openxmlformats.org/officeDocument/2006/relationships/hyperlink" Target="#'FE-UrlAvatarMessages'!A1" TargetMode="External"/><Relationship Id="rId16" Type="http://schemas.openxmlformats.org/officeDocument/2006/relationships/hyperlink" Target="#'FE-NavUserDisplay'!A1" TargetMode="External"/><Relationship Id="rId15" Type="http://schemas.openxmlformats.org/officeDocument/2006/relationships/hyperlink" Target="#'FE-FormatRelativeTime'!A1" TargetMode="External"/><Relationship Id="rId14" Type="http://schemas.openxmlformats.org/officeDocument/2006/relationships/hyperlink" Target="#'FE-GreetingLoginWelcome'!A1" TargetMode="External"/><Relationship Id="rId13" Type="http://schemas.openxmlformats.org/officeDocument/2006/relationships/hyperlink" Target="#'FE-AdminUserDisplay'!A1" TargetMode="External"/><Relationship Id="rId12" Type="http://schemas.openxmlformats.org/officeDocument/2006/relationships/hyperlink" Target="#'FE-LabelsCompanyScore'!A1" TargetMode="External"/><Relationship Id="rId11" Type="http://schemas.openxmlformats.org/officeDocument/2006/relationships/hyperlink" Target="#'FE-ComputeStreakDays'!A1" TargetMode="External"/><Relationship Id="rId10" Type="http://schemas.openxmlformats.org/officeDocument/2006/relationships/hyperlink" Target="#'FE-TimeAgo'!A1" TargetMode="External"/><Relationship Id="rId1" Type="http://schemas.openxmlformats.org/officeDocument/2006/relationships/hyperlink" Target="#'FE-AuthInterceptor'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2.6271186440678" defaultRowHeight="13.05"/>
  <cols>
    <col min="1" max="1" width="119.381355932203" customWidth="1"/>
    <col min="7" max="24" width="10" customWidth="1"/>
  </cols>
  <sheetData>
    <row r="1" ht="22.5" customHeight="1" spans="1:26">
      <c r="A1" s="160" t="s">
        <v>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</row>
    <row r="2" ht="22.5" customHeight="1" spans="1:26">
      <c r="A2" s="160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</row>
    <row r="3" ht="18" customHeight="1" spans="1:26">
      <c r="A3" s="162" t="s">
        <v>1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</row>
    <row r="4" ht="14.4" spans="1:26">
      <c r="A4" s="164" t="s">
        <v>2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</row>
    <row r="5" ht="14.4" spans="1:26">
      <c r="A5" s="164" t="s">
        <v>3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</row>
    <row r="6" ht="42" customHeight="1" spans="1:26">
      <c r="A6" s="166" t="s">
        <v>4</v>
      </c>
      <c r="B6" s="165"/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</row>
    <row r="7" ht="29.25" customHeight="1" spans="1:26">
      <c r="A7" s="166" t="s">
        <v>5</v>
      </c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</row>
    <row r="8" ht="30" customHeight="1" spans="1:26">
      <c r="A8" s="166" t="s">
        <v>6</v>
      </c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</row>
    <row r="9" ht="16.5" customHeight="1" spans="1:26">
      <c r="A9" s="167" t="s">
        <v>7</v>
      </c>
      <c r="B9" s="168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</row>
    <row r="10" ht="16.5" customHeight="1" spans="1:26">
      <c r="A10" s="164"/>
      <c r="B10" s="165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</row>
    <row r="11" ht="18" customHeight="1" spans="1:26">
      <c r="A11" s="162" t="s">
        <v>8</v>
      </c>
      <c r="B11" s="163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</row>
    <row r="12" ht="15.05" spans="1:26">
      <c r="A12" s="169" t="s">
        <v>9</v>
      </c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</row>
    <row r="13" ht="27.75" customHeight="1" spans="1:26">
      <c r="A13" s="164" t="s">
        <v>10</v>
      </c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</row>
    <row r="14" ht="13.5" customHeight="1" spans="1:26">
      <c r="A14" s="164" t="s">
        <v>11</v>
      </c>
      <c r="B14" s="165"/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</row>
    <row r="15" ht="13.5" customHeight="1" spans="1:26">
      <c r="A15" s="166" t="s">
        <v>12</v>
      </c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</row>
    <row r="16" ht="13.5" customHeight="1" spans="1:26">
      <c r="A16" s="164"/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</row>
    <row r="17" ht="15.05" spans="1:26">
      <c r="A17" s="169" t="s">
        <v>13</v>
      </c>
      <c r="B17" s="170"/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</row>
    <row r="18" ht="13.5" customHeight="1" spans="1:26">
      <c r="A18" s="164" t="s">
        <v>14</v>
      </c>
      <c r="B18" s="164"/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</row>
    <row r="19" ht="13.5" customHeight="1" spans="1:26">
      <c r="A19" s="169" t="s">
        <v>15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</row>
    <row r="20" ht="13.5" customHeight="1" spans="1:26">
      <c r="A20" s="164" t="s">
        <v>16</v>
      </c>
      <c r="B20" s="164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</row>
    <row r="21" ht="27.75" customHeight="1" spans="1:26">
      <c r="A21" s="166" t="s">
        <v>17</v>
      </c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</row>
    <row r="22" ht="13.5" customHeight="1" spans="1:26">
      <c r="A22" s="164" t="s">
        <v>18</v>
      </c>
      <c r="B22" s="164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</row>
    <row r="23" ht="13.5" customHeight="1" spans="1:26">
      <c r="A23" s="164" t="s">
        <v>19</v>
      </c>
      <c r="B23" s="16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</row>
    <row r="24" ht="13.5" customHeight="1" spans="1:26">
      <c r="A24" s="164" t="s">
        <v>20</v>
      </c>
      <c r="B24" s="164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</row>
    <row r="25" ht="15.75" customHeight="1" spans="1:26">
      <c r="A25" s="164" t="s">
        <v>21</v>
      </c>
      <c r="B25" s="164"/>
      <c r="C25" s="164" t="s">
        <v>22</v>
      </c>
      <c r="D25" s="164" t="s">
        <v>22</v>
      </c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</row>
    <row r="26" ht="13.5" customHeight="1" spans="1:26">
      <c r="A26" s="164" t="s">
        <v>23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</row>
    <row r="27" ht="13.5" customHeight="1" spans="1:26">
      <c r="A27" s="164" t="s">
        <v>24</v>
      </c>
      <c r="B27" s="164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</row>
    <row r="28" ht="13.5" customHeight="1" spans="1:26">
      <c r="A28" s="164" t="s">
        <v>25</v>
      </c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</row>
    <row r="29" ht="13.5" customHeight="1" spans="1:26">
      <c r="A29" s="164" t="s">
        <v>26</v>
      </c>
      <c r="B29" s="165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</row>
    <row r="30" ht="15.75" customHeight="1" spans="1:26">
      <c r="A30" s="164" t="s">
        <v>27</v>
      </c>
      <c r="B30" s="164"/>
      <c r="C30" s="164" t="s">
        <v>22</v>
      </c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</row>
    <row r="31" ht="13.5" customHeight="1" spans="1:26">
      <c r="A31" s="169" t="s">
        <v>28</v>
      </c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</row>
    <row r="32" ht="30" customHeight="1" spans="1:26">
      <c r="A32" s="166" t="s">
        <v>29</v>
      </c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</row>
    <row r="33" ht="13.5" customHeight="1" spans="1:26">
      <c r="A33" s="164" t="s">
        <v>30</v>
      </c>
      <c r="B33" s="165"/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</row>
    <row r="34" ht="13.5" customHeight="1" spans="1:26">
      <c r="A34" s="164" t="s">
        <v>31</v>
      </c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</row>
    <row r="35" ht="13.5" customHeight="1" spans="1:26">
      <c r="A35" s="164" t="s">
        <v>32</v>
      </c>
      <c r="B35" s="164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</row>
    <row r="36" ht="13.5" customHeight="1" spans="1:26">
      <c r="A36" s="164" t="s">
        <v>33</v>
      </c>
      <c r="B36" s="164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</row>
    <row r="37" ht="13.5" customHeight="1" spans="1:26">
      <c r="A37" s="169" t="s">
        <v>34</v>
      </c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</row>
    <row r="38" ht="13.5" customHeight="1" spans="1:26">
      <c r="A38" s="164" t="s">
        <v>35</v>
      </c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</row>
    <row r="39" ht="42" customHeight="1" spans="1:26">
      <c r="A39" s="166" t="s">
        <v>36</v>
      </c>
      <c r="B39" s="164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</row>
    <row r="40" ht="13.5" customHeight="1" spans="1:26">
      <c r="A40" s="166"/>
      <c r="B40" s="164"/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</row>
    <row r="41" ht="15.75" customHeight="1" spans="1:26">
      <c r="A41" s="169" t="s">
        <v>37</v>
      </c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</row>
    <row r="42" ht="13.5" customHeight="1" spans="1:26">
      <c r="A42" s="164" t="s">
        <v>38</v>
      </c>
      <c r="B42" s="165"/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</row>
    <row r="43" ht="13.5" customHeight="1" spans="1:26">
      <c r="A43" s="164" t="s">
        <v>39</v>
      </c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</row>
    <row r="44" ht="13.5" customHeight="1" spans="1:26">
      <c r="A44" s="164" t="s">
        <v>40</v>
      </c>
      <c r="B44" s="165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</row>
    <row r="45" ht="13.5" customHeight="1" spans="1:26">
      <c r="A45" s="164" t="s">
        <v>41</v>
      </c>
      <c r="B45" s="165"/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</row>
    <row r="46" ht="13.5" customHeight="1" spans="1:26">
      <c r="A46" s="164" t="s">
        <v>42</v>
      </c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</row>
    <row r="47" ht="13.5" customHeight="1" spans="1:26">
      <c r="A47" s="164" t="s">
        <v>43</v>
      </c>
      <c r="B47" s="165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</row>
    <row r="48" ht="15.75" customHeight="1" spans="1:26">
      <c r="A48" s="164" t="s">
        <v>44</v>
      </c>
      <c r="B48" s="165"/>
      <c r="C48" s="165"/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</row>
    <row r="49" ht="13.5" customHeight="1" spans="1:26">
      <c r="A49" s="164"/>
      <c r="B49" s="165"/>
      <c r="C49" s="165"/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</row>
    <row r="50" ht="13.5" customHeight="1" spans="1:26">
      <c r="A50" s="165"/>
      <c r="B50" s="165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</row>
    <row r="51" ht="13.5" customHeight="1" spans="1:26">
      <c r="A51" s="165"/>
      <c r="B51" s="165"/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</row>
    <row r="52" ht="13.5" customHeight="1" spans="1:26">
      <c r="A52" s="165"/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</row>
    <row r="53" ht="13.5" customHeight="1" spans="1:26">
      <c r="A53" s="165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</row>
    <row r="54" ht="13.5" customHeight="1" spans="1:26">
      <c r="A54" s="165"/>
      <c r="B54" s="165"/>
      <c r="C54" s="165"/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</row>
    <row r="55" ht="13.5" customHeight="1" spans="1:26">
      <c r="A55" s="165"/>
      <c r="B55" s="165"/>
      <c r="C55" s="165"/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</row>
    <row r="56" ht="13.5" customHeight="1" spans="1:26">
      <c r="A56" s="165"/>
      <c r="B56" s="165"/>
      <c r="C56" s="165"/>
      <c r="D56" s="165"/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</row>
    <row r="57" ht="13.5" customHeight="1" spans="1:26">
      <c r="A57" s="165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</row>
    <row r="58" ht="13.5" customHeight="1" spans="1:26">
      <c r="A58" s="165"/>
      <c r="B58" s="165"/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</row>
    <row r="59" ht="13.5" customHeight="1" spans="1:26">
      <c r="A59" s="165"/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</row>
    <row r="60" ht="13.5" customHeight="1" spans="1:26">
      <c r="A60" s="165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</row>
    <row r="61" ht="13.5" customHeight="1" spans="1:26">
      <c r="A61" s="165"/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</row>
    <row r="62" ht="13.5" customHeight="1" spans="1:26">
      <c r="A62" s="165"/>
      <c r="B62" s="165"/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</row>
    <row r="63" ht="13.5" customHeight="1" spans="1:26">
      <c r="A63" s="165"/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</row>
    <row r="64" ht="13.5" customHeight="1" spans="1:26">
      <c r="A64" s="165"/>
      <c r="B64" s="165"/>
      <c r="C64" s="165"/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</row>
    <row r="65" ht="13.5" customHeight="1" spans="1:26">
      <c r="A65" s="165"/>
      <c r="B65" s="165"/>
      <c r="C65" s="165"/>
      <c r="D65" s="165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</row>
    <row r="66" ht="13.5" customHeight="1" spans="1:26">
      <c r="A66" s="165"/>
      <c r="B66" s="165"/>
      <c r="C66" s="165"/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</row>
    <row r="67" ht="13.5" customHeight="1" spans="1:26">
      <c r="A67" s="165"/>
      <c r="B67" s="165"/>
      <c r="C67" s="165"/>
      <c r="D67" s="165"/>
      <c r="E67" s="165"/>
      <c r="F67" s="165"/>
      <c r="G67" s="165"/>
      <c r="H67" s="165"/>
      <c r="I67" s="165"/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</row>
    <row r="68" ht="13.5" customHeight="1" spans="1:26">
      <c r="A68" s="165"/>
      <c r="B68" s="165"/>
      <c r="C68" s="165"/>
      <c r="D68" s="165"/>
      <c r="E68" s="165"/>
      <c r="F68" s="165"/>
      <c r="G68" s="165"/>
      <c r="H68" s="165"/>
      <c r="I68" s="165"/>
      <c r="J68" s="165"/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</row>
    <row r="69" ht="13.5" customHeight="1" spans="1:26">
      <c r="A69" s="165"/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</row>
    <row r="70" ht="13.5" customHeight="1" spans="1:26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</row>
    <row r="71" ht="13.5" customHeight="1" spans="1:26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</row>
    <row r="72" ht="13.5" customHeight="1" spans="1:26">
      <c r="A72" s="165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</row>
    <row r="73" ht="13.5" customHeight="1" spans="1:26">
      <c r="A73" s="165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</row>
    <row r="74" ht="13.5" customHeight="1" spans="1:26">
      <c r="A74" s="165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</row>
    <row r="75" ht="13.5" customHeight="1" spans="1:26">
      <c r="A75" s="165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</row>
    <row r="76" ht="13.5" customHeight="1" spans="1:26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</row>
    <row r="77" ht="13.5" customHeight="1" spans="1:26">
      <c r="A77" s="165"/>
      <c r="B77" s="165"/>
      <c r="C77" s="165"/>
      <c r="D77" s="165"/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</row>
    <row r="78" ht="13.5" customHeight="1" spans="1:26">
      <c r="A78" s="165"/>
      <c r="B78" s="165"/>
      <c r="C78" s="165"/>
      <c r="D78" s="165"/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</row>
    <row r="79" ht="13.5" customHeight="1" spans="1:26">
      <c r="A79" s="165"/>
      <c r="B79" s="165"/>
      <c r="C79" s="165"/>
      <c r="D79" s="165"/>
      <c r="E79" s="165"/>
      <c r="F79" s="165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</row>
    <row r="80" ht="13.5" customHeight="1" spans="1:26">
      <c r="A80" s="165"/>
      <c r="B80" s="165"/>
      <c r="C80" s="165"/>
      <c r="D80" s="165"/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</row>
    <row r="81" ht="13.5" customHeight="1" spans="1:26">
      <c r="A81" s="165"/>
      <c r="B81" s="165"/>
      <c r="C81" s="165"/>
      <c r="D81" s="165"/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</row>
    <row r="82" ht="13.5" customHeight="1" spans="1:26">
      <c r="A82" s="165"/>
      <c r="B82" s="165"/>
      <c r="C82" s="165"/>
      <c r="D82" s="165"/>
      <c r="E82" s="165"/>
      <c r="F82" s="165"/>
      <c r="G82" s="165"/>
      <c r="H82" s="165"/>
      <c r="I82" s="165"/>
      <c r="J82" s="165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</row>
    <row r="83" ht="13.5" customHeight="1" spans="1:26">
      <c r="A83" s="165"/>
      <c r="B83" s="165"/>
      <c r="C83" s="165"/>
      <c r="D83" s="165"/>
      <c r="E83" s="165"/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</row>
    <row r="84" ht="13.5" customHeight="1" spans="1:26">
      <c r="A84" s="165"/>
      <c r="B84" s="165"/>
      <c r="C84" s="165"/>
      <c r="D84" s="165"/>
      <c r="E84" s="165"/>
      <c r="F84" s="165"/>
      <c r="G84" s="165"/>
      <c r="H84" s="165"/>
      <c r="I84" s="165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</row>
    <row r="85" ht="13.5" customHeight="1" spans="1:26">
      <c r="A85" s="165"/>
      <c r="B85" s="165"/>
      <c r="C85" s="165"/>
      <c r="D85" s="165"/>
      <c r="E85" s="165"/>
      <c r="F85" s="165"/>
      <c r="G85" s="165"/>
      <c r="H85" s="165"/>
      <c r="I85" s="165"/>
      <c r="J85" s="165"/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</row>
    <row r="86" ht="13.5" customHeight="1" spans="1:26">
      <c r="A86" s="165"/>
      <c r="B86" s="165"/>
      <c r="C86" s="165"/>
      <c r="D86" s="165"/>
      <c r="E86" s="165"/>
      <c r="F86" s="165"/>
      <c r="G86" s="165"/>
      <c r="H86" s="165"/>
      <c r="I86" s="165"/>
      <c r="J86" s="165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</row>
    <row r="87" ht="13.5" customHeight="1" spans="1:26">
      <c r="A87" s="165"/>
      <c r="B87" s="165"/>
      <c r="C87" s="165"/>
      <c r="D87" s="165"/>
      <c r="E87" s="165"/>
      <c r="F87" s="165"/>
      <c r="G87" s="165"/>
      <c r="H87" s="165"/>
      <c r="I87" s="165"/>
      <c r="J87" s="165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</row>
    <row r="88" ht="13.5" customHeight="1" spans="1:26">
      <c r="A88" s="165"/>
      <c r="B88" s="165"/>
      <c r="C88" s="165"/>
      <c r="D88" s="165"/>
      <c r="E88" s="165"/>
      <c r="F88" s="165"/>
      <c r="G88" s="165"/>
      <c r="H88" s="165"/>
      <c r="I88" s="165"/>
      <c r="J88" s="165"/>
      <c r="K88" s="165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</row>
    <row r="89" ht="13.5" customHeight="1" spans="1:26">
      <c r="A89" s="165"/>
      <c r="B89" s="165"/>
      <c r="C89" s="165"/>
      <c r="D89" s="165"/>
      <c r="E89" s="165"/>
      <c r="F89" s="165"/>
      <c r="G89" s="165"/>
      <c r="H89" s="165"/>
      <c r="I89" s="165"/>
      <c r="J89" s="165"/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</row>
    <row r="90" ht="13.5" customHeight="1" spans="1:26">
      <c r="A90" s="165"/>
      <c r="B90" s="165"/>
      <c r="C90" s="165"/>
      <c r="D90" s="165"/>
      <c r="E90" s="165"/>
      <c r="F90" s="165"/>
      <c r="G90" s="165"/>
      <c r="H90" s="165"/>
      <c r="I90" s="165"/>
      <c r="J90" s="165"/>
      <c r="K90" s="165"/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</row>
    <row r="91" ht="13.5" customHeight="1" spans="1:26">
      <c r="A91" s="165"/>
      <c r="B91" s="165"/>
      <c r="C91" s="165"/>
      <c r="D91" s="165"/>
      <c r="E91" s="165"/>
      <c r="F91" s="165"/>
      <c r="G91" s="165"/>
      <c r="H91" s="165"/>
      <c r="I91" s="165"/>
      <c r="J91" s="165"/>
      <c r="K91" s="165"/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</row>
    <row r="92" ht="13.5" customHeight="1" spans="1:26">
      <c r="A92" s="165"/>
      <c r="B92" s="165"/>
      <c r="C92" s="165"/>
      <c r="D92" s="165"/>
      <c r="E92" s="165"/>
      <c r="F92" s="165"/>
      <c r="G92" s="165"/>
      <c r="H92" s="165"/>
      <c r="I92" s="165"/>
      <c r="J92" s="165"/>
      <c r="K92" s="165"/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</row>
    <row r="93" ht="13.5" customHeight="1" spans="1:26">
      <c r="A93" s="165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</row>
    <row r="94" ht="13.5" customHeight="1" spans="1:26">
      <c r="A94" s="165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</row>
    <row r="95" ht="13.5" customHeight="1" spans="1:26">
      <c r="A95" s="165"/>
      <c r="B95" s="165"/>
      <c r="C95" s="165"/>
      <c r="D95" s="165"/>
      <c r="E95" s="165"/>
      <c r="F95" s="165"/>
      <c r="G95" s="165"/>
      <c r="H95" s="165"/>
      <c r="I95" s="165"/>
      <c r="J95" s="165"/>
      <c r="K95" s="165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</row>
    <row r="96" ht="13.5" customHeight="1" spans="1:26">
      <c r="A96" s="165"/>
      <c r="B96" s="165"/>
      <c r="C96" s="165"/>
      <c r="D96" s="165"/>
      <c r="E96" s="165"/>
      <c r="F96" s="165"/>
      <c r="G96" s="165"/>
      <c r="H96" s="165"/>
      <c r="I96" s="165"/>
      <c r="J96" s="165"/>
      <c r="K96" s="165"/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</row>
    <row r="97" ht="13.5" customHeight="1" spans="1:26">
      <c r="A97" s="165"/>
      <c r="B97" s="165"/>
      <c r="C97" s="165"/>
      <c r="D97" s="165"/>
      <c r="E97" s="165"/>
      <c r="F97" s="165"/>
      <c r="G97" s="165"/>
      <c r="H97" s="165"/>
      <c r="I97" s="165"/>
      <c r="J97" s="165"/>
      <c r="K97" s="165"/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</row>
    <row r="98" ht="13.5" customHeight="1" spans="1:26">
      <c r="A98" s="165"/>
      <c r="B98" s="165"/>
      <c r="C98" s="165"/>
      <c r="D98" s="165"/>
      <c r="E98" s="165"/>
      <c r="F98" s="165"/>
      <c r="G98" s="165"/>
      <c r="H98" s="165"/>
      <c r="I98" s="165"/>
      <c r="J98" s="165"/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</row>
    <row r="99" ht="13.5" customHeight="1" spans="1:26">
      <c r="A99" s="165"/>
      <c r="B99" s="165"/>
      <c r="C99" s="165"/>
      <c r="D99" s="165"/>
      <c r="E99" s="165"/>
      <c r="F99" s="165"/>
      <c r="G99" s="165"/>
      <c r="H99" s="165"/>
      <c r="I99" s="165"/>
      <c r="J99" s="165"/>
      <c r="K99" s="165"/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</row>
    <row r="100" ht="13.5" customHeight="1" spans="1:26">
      <c r="A100" s="165"/>
      <c r="B100" s="165"/>
      <c r="C100" s="165"/>
      <c r="D100" s="165"/>
      <c r="E100" s="165"/>
      <c r="F100" s="165"/>
      <c r="G100" s="165"/>
      <c r="H100" s="165"/>
      <c r="I100" s="165"/>
      <c r="J100" s="165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</row>
    <row r="101" ht="13.5" customHeight="1" spans="1:26">
      <c r="A101" s="165"/>
      <c r="B101" s="165"/>
      <c r="C101" s="165"/>
      <c r="D101" s="165"/>
      <c r="E101" s="165"/>
      <c r="F101" s="165"/>
      <c r="G101" s="165"/>
      <c r="H101" s="165"/>
      <c r="I101" s="165"/>
      <c r="J101" s="165"/>
      <c r="K101" s="165"/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</row>
    <row r="102" ht="13.5" customHeight="1" spans="1:26">
      <c r="A102" s="165"/>
      <c r="B102" s="165"/>
      <c r="C102" s="165"/>
      <c r="D102" s="165"/>
      <c r="E102" s="165"/>
      <c r="F102" s="165"/>
      <c r="G102" s="165"/>
      <c r="H102" s="165"/>
      <c r="I102" s="165"/>
      <c r="J102" s="165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</row>
    <row r="103" ht="13.5" customHeight="1" spans="1:26">
      <c r="A103" s="165"/>
      <c r="B103" s="165"/>
      <c r="C103" s="165"/>
      <c r="D103" s="165"/>
      <c r="E103" s="165"/>
      <c r="F103" s="165"/>
      <c r="G103" s="165"/>
      <c r="H103" s="165"/>
      <c r="I103" s="165"/>
      <c r="J103" s="165"/>
      <c r="K103" s="165"/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</row>
    <row r="104" ht="13.5" customHeight="1" spans="1:26">
      <c r="A104" s="165"/>
      <c r="B104" s="165"/>
      <c r="C104" s="165"/>
      <c r="D104" s="165"/>
      <c r="E104" s="165"/>
      <c r="F104" s="165"/>
      <c r="G104" s="165"/>
      <c r="H104" s="165"/>
      <c r="I104" s="165"/>
      <c r="J104" s="165"/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</row>
    <row r="105" ht="13.5" customHeight="1" spans="1:26">
      <c r="A105" s="165"/>
      <c r="B105" s="165"/>
      <c r="C105" s="165"/>
      <c r="D105" s="165"/>
      <c r="E105" s="165"/>
      <c r="F105" s="165"/>
      <c r="G105" s="165"/>
      <c r="H105" s="165"/>
      <c r="I105" s="165"/>
      <c r="J105" s="165"/>
      <c r="K105" s="165"/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</row>
    <row r="106" ht="13.5" customHeight="1" spans="1:26">
      <c r="A106" s="165"/>
      <c r="B106" s="165"/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</row>
    <row r="107" ht="13.5" customHeight="1" spans="1:26">
      <c r="A107" s="165"/>
      <c r="B107" s="165"/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</row>
    <row r="108" ht="13.5" customHeight="1" spans="1:26">
      <c r="A108" s="165"/>
      <c r="B108" s="165"/>
      <c r="C108" s="165"/>
      <c r="D108" s="165"/>
      <c r="E108" s="165"/>
      <c r="F108" s="165"/>
      <c r="G108" s="165"/>
      <c r="H108" s="165"/>
      <c r="I108" s="165"/>
      <c r="J108" s="165"/>
      <c r="K108" s="165"/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</row>
    <row r="109" ht="13.5" customHeight="1" spans="1:26">
      <c r="A109" s="165"/>
      <c r="B109" s="165"/>
      <c r="C109" s="165"/>
      <c r="D109" s="165"/>
      <c r="E109" s="165"/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</row>
    <row r="110" ht="13.5" customHeight="1" spans="1:26">
      <c r="A110" s="165"/>
      <c r="B110" s="165"/>
      <c r="C110" s="165"/>
      <c r="D110" s="165"/>
      <c r="E110" s="165"/>
      <c r="F110" s="165"/>
      <c r="G110" s="165"/>
      <c r="H110" s="165"/>
      <c r="I110" s="165"/>
      <c r="J110" s="165"/>
      <c r="K110" s="165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</row>
    <row r="111" ht="13.5" customHeight="1" spans="1:26">
      <c r="A111" s="165"/>
      <c r="B111" s="165"/>
      <c r="C111" s="165"/>
      <c r="D111" s="165"/>
      <c r="E111" s="165"/>
      <c r="F111" s="165"/>
      <c r="G111" s="165"/>
      <c r="H111" s="165"/>
      <c r="I111" s="165"/>
      <c r="J111" s="165"/>
      <c r="K111" s="165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</row>
    <row r="112" ht="13.5" customHeight="1" spans="1:26">
      <c r="A112" s="165"/>
      <c r="B112" s="165"/>
      <c r="C112" s="165"/>
      <c r="D112" s="165"/>
      <c r="E112" s="165"/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</row>
    <row r="113" ht="13.5" customHeight="1" spans="1:26">
      <c r="A113" s="165"/>
      <c r="B113" s="165"/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</row>
    <row r="114" ht="13.5" customHeight="1" spans="1:26">
      <c r="A114" s="165"/>
      <c r="B114" s="165"/>
      <c r="C114" s="165"/>
      <c r="D114" s="165"/>
      <c r="E114" s="165"/>
      <c r="F114" s="165"/>
      <c r="G114" s="165"/>
      <c r="H114" s="165"/>
      <c r="I114" s="165"/>
      <c r="J114" s="165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</row>
    <row r="115" ht="13.5" customHeight="1" spans="1:26">
      <c r="A115" s="165"/>
      <c r="B115" s="165"/>
      <c r="C115" s="165"/>
      <c r="D115" s="165"/>
      <c r="E115" s="165"/>
      <c r="F115" s="165"/>
      <c r="G115" s="165"/>
      <c r="H115" s="165"/>
      <c r="I115" s="165"/>
      <c r="J115" s="165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</row>
    <row r="116" ht="13.5" customHeight="1" spans="1:26">
      <c r="A116" s="165"/>
      <c r="B116" s="165"/>
      <c r="C116" s="165"/>
      <c r="D116" s="165"/>
      <c r="E116" s="165"/>
      <c r="F116" s="165"/>
      <c r="G116" s="165"/>
      <c r="H116" s="165"/>
      <c r="I116" s="165"/>
      <c r="J116" s="165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</row>
    <row r="117" ht="13.5" customHeight="1" spans="1:26">
      <c r="A117" s="165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</row>
    <row r="118" ht="13.5" customHeight="1" spans="1:26">
      <c r="A118" s="165"/>
      <c r="B118" s="165"/>
      <c r="C118" s="165"/>
      <c r="D118" s="165"/>
      <c r="E118" s="165"/>
      <c r="F118" s="165"/>
      <c r="G118" s="165"/>
      <c r="H118" s="165"/>
      <c r="I118" s="165"/>
      <c r="J118" s="165"/>
      <c r="K118" s="165"/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</row>
    <row r="119" ht="13.5" customHeight="1" spans="1:26">
      <c r="A119" s="165"/>
      <c r="B119" s="165"/>
      <c r="C119" s="165"/>
      <c r="D119" s="165"/>
      <c r="E119" s="165"/>
      <c r="F119" s="165"/>
      <c r="G119" s="165"/>
      <c r="H119" s="165"/>
      <c r="I119" s="165"/>
      <c r="J119" s="165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</row>
    <row r="120" ht="13.5" customHeight="1" spans="1:26">
      <c r="A120" s="165"/>
      <c r="B120" s="165"/>
      <c r="C120" s="165"/>
      <c r="D120" s="165"/>
      <c r="E120" s="165"/>
      <c r="F120" s="165"/>
      <c r="G120" s="165"/>
      <c r="H120" s="165"/>
      <c r="I120" s="165"/>
      <c r="J120" s="165"/>
      <c r="K120" s="165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</row>
    <row r="121" ht="13.5" customHeight="1" spans="1:26">
      <c r="A121" s="165"/>
      <c r="B121" s="165"/>
      <c r="C121" s="165"/>
      <c r="D121" s="165"/>
      <c r="E121" s="165"/>
      <c r="F121" s="165"/>
      <c r="G121" s="165"/>
      <c r="H121" s="165"/>
      <c r="I121" s="165"/>
      <c r="J121" s="165"/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</row>
    <row r="122" ht="13.5" customHeight="1" spans="1:26">
      <c r="A122" s="165"/>
      <c r="B122" s="165"/>
      <c r="C122" s="165"/>
      <c r="D122" s="165"/>
      <c r="E122" s="165"/>
      <c r="F122" s="165"/>
      <c r="G122" s="165"/>
      <c r="H122" s="165"/>
      <c r="I122" s="165"/>
      <c r="J122" s="165"/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</row>
    <row r="123" ht="13.5" customHeight="1" spans="1:26">
      <c r="A123" s="165"/>
      <c r="B123" s="165"/>
      <c r="C123" s="165"/>
      <c r="D123" s="165"/>
      <c r="E123" s="165"/>
      <c r="F123" s="165"/>
      <c r="G123" s="165"/>
      <c r="H123" s="165"/>
      <c r="I123" s="165"/>
      <c r="J123" s="165"/>
      <c r="K123" s="165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</row>
    <row r="124" ht="13.5" customHeight="1" spans="1:26">
      <c r="A124" s="165"/>
      <c r="B124" s="165"/>
      <c r="C124" s="165"/>
      <c r="D124" s="165"/>
      <c r="E124" s="165"/>
      <c r="F124" s="165"/>
      <c r="G124" s="165"/>
      <c r="H124" s="165"/>
      <c r="I124" s="165"/>
      <c r="J124" s="165"/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</row>
    <row r="125" ht="13.5" customHeight="1" spans="1:26">
      <c r="A125" s="165"/>
      <c r="B125" s="165"/>
      <c r="C125" s="165"/>
      <c r="D125" s="165"/>
      <c r="E125" s="165"/>
      <c r="F125" s="165"/>
      <c r="G125" s="165"/>
      <c r="H125" s="165"/>
      <c r="I125" s="165"/>
      <c r="J125" s="165"/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</row>
    <row r="126" ht="13.5" customHeight="1" spans="1:26">
      <c r="A126" s="165"/>
      <c r="B126" s="165"/>
      <c r="C126" s="165"/>
      <c r="D126" s="165"/>
      <c r="E126" s="165"/>
      <c r="F126" s="165"/>
      <c r="G126" s="165"/>
      <c r="H126" s="165"/>
      <c r="I126" s="165"/>
      <c r="J126" s="165"/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</row>
    <row r="127" ht="13.5" customHeight="1" spans="1:26">
      <c r="A127" s="165"/>
      <c r="B127" s="165"/>
      <c r="C127" s="165"/>
      <c r="D127" s="165"/>
      <c r="E127" s="165"/>
      <c r="F127" s="165"/>
      <c r="G127" s="165"/>
      <c r="H127" s="165"/>
      <c r="I127" s="165"/>
      <c r="J127" s="165"/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</row>
    <row r="128" ht="13.5" customHeight="1" spans="1:26">
      <c r="A128" s="165"/>
      <c r="B128" s="165"/>
      <c r="C128" s="165"/>
      <c r="D128" s="165"/>
      <c r="E128" s="165"/>
      <c r="F128" s="165"/>
      <c r="G128" s="165"/>
      <c r="H128" s="165"/>
      <c r="I128" s="165"/>
      <c r="J128" s="165"/>
      <c r="K128" s="165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</row>
    <row r="129" ht="13.5" customHeight="1" spans="1:26">
      <c r="A129" s="165"/>
      <c r="B129" s="165"/>
      <c r="C129" s="165"/>
      <c r="D129" s="165"/>
      <c r="E129" s="165"/>
      <c r="F129" s="165"/>
      <c r="G129" s="165"/>
      <c r="H129" s="165"/>
      <c r="I129" s="165"/>
      <c r="J129" s="165"/>
      <c r="K129" s="165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</row>
    <row r="130" ht="13.5" customHeight="1" spans="1:26">
      <c r="A130" s="165"/>
      <c r="B130" s="165"/>
      <c r="C130" s="165"/>
      <c r="D130" s="165"/>
      <c r="E130" s="165"/>
      <c r="F130" s="165"/>
      <c r="G130" s="165"/>
      <c r="H130" s="165"/>
      <c r="I130" s="165"/>
      <c r="J130" s="165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</row>
    <row r="131" ht="13.5" customHeight="1" spans="1:26">
      <c r="A131" s="165"/>
      <c r="B131" s="165"/>
      <c r="C131" s="165"/>
      <c r="D131" s="165"/>
      <c r="E131" s="165"/>
      <c r="F131" s="165"/>
      <c r="G131" s="165"/>
      <c r="H131" s="165"/>
      <c r="I131" s="165"/>
      <c r="J131" s="165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</row>
    <row r="132" ht="13.5" customHeight="1" spans="1:26">
      <c r="A132" s="165"/>
      <c r="B132" s="165"/>
      <c r="C132" s="165"/>
      <c r="D132" s="165"/>
      <c r="E132" s="165"/>
      <c r="F132" s="165"/>
      <c r="G132" s="165"/>
      <c r="H132" s="165"/>
      <c r="I132" s="165"/>
      <c r="J132" s="165"/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</row>
    <row r="133" ht="13.5" customHeight="1" spans="1:26">
      <c r="A133" s="165"/>
      <c r="B133" s="165"/>
      <c r="C133" s="165"/>
      <c r="D133" s="165"/>
      <c r="E133" s="165"/>
      <c r="F133" s="165"/>
      <c r="G133" s="165"/>
      <c r="H133" s="165"/>
      <c r="I133" s="165"/>
      <c r="J133" s="165"/>
      <c r="K133" s="165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</row>
    <row r="134" ht="13.5" customHeight="1" spans="1:26">
      <c r="A134" s="165"/>
      <c r="B134" s="165"/>
      <c r="C134" s="165"/>
      <c r="D134" s="165"/>
      <c r="E134" s="165"/>
      <c r="F134" s="165"/>
      <c r="G134" s="165"/>
      <c r="H134" s="165"/>
      <c r="I134" s="165"/>
      <c r="J134" s="165"/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</row>
    <row r="135" ht="13.5" customHeight="1" spans="1:26">
      <c r="A135" s="165"/>
      <c r="B135" s="165"/>
      <c r="C135" s="165"/>
      <c r="D135" s="165"/>
      <c r="E135" s="165"/>
      <c r="F135" s="165"/>
      <c r="G135" s="165"/>
      <c r="H135" s="165"/>
      <c r="I135" s="165"/>
      <c r="J135" s="165"/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</row>
    <row r="136" ht="13.5" customHeight="1" spans="1:26">
      <c r="A136" s="165"/>
      <c r="B136" s="165"/>
      <c r="C136" s="165"/>
      <c r="D136" s="165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</row>
    <row r="137" ht="13.5" customHeight="1" spans="1:26">
      <c r="A137" s="165"/>
      <c r="B137" s="165"/>
      <c r="C137" s="165"/>
      <c r="D137" s="165"/>
      <c r="E137" s="165"/>
      <c r="F137" s="165"/>
      <c r="G137" s="165"/>
      <c r="H137" s="165"/>
      <c r="I137" s="165"/>
      <c r="J137" s="165"/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</row>
    <row r="138" ht="13.5" customHeight="1" spans="1:26">
      <c r="A138" s="165"/>
      <c r="B138" s="165"/>
      <c r="C138" s="165"/>
      <c r="D138" s="165"/>
      <c r="E138" s="165"/>
      <c r="F138" s="165"/>
      <c r="G138" s="165"/>
      <c r="H138" s="165"/>
      <c r="I138" s="165"/>
      <c r="J138" s="165"/>
      <c r="K138" s="165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</row>
    <row r="139" ht="13.5" customHeight="1" spans="1:26">
      <c r="A139" s="165"/>
      <c r="B139" s="165"/>
      <c r="C139" s="165"/>
      <c r="D139" s="165"/>
      <c r="E139" s="165"/>
      <c r="F139" s="165"/>
      <c r="G139" s="165"/>
      <c r="H139" s="165"/>
      <c r="I139" s="165"/>
      <c r="J139" s="165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</row>
    <row r="140" ht="13.5" customHeight="1" spans="1:26">
      <c r="A140" s="165"/>
      <c r="B140" s="165"/>
      <c r="C140" s="165"/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</row>
    <row r="141" ht="13.5" customHeight="1" spans="1:26">
      <c r="A141" s="165"/>
      <c r="B141" s="165"/>
      <c r="C141" s="165"/>
      <c r="D141" s="165"/>
      <c r="E141" s="165"/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</row>
    <row r="142" ht="13.5" customHeight="1" spans="1:26">
      <c r="A142" s="165"/>
      <c r="B142" s="165"/>
      <c r="C142" s="165"/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</row>
    <row r="143" ht="13.5" customHeight="1" spans="1:26">
      <c r="A143" s="165"/>
      <c r="B143" s="165"/>
      <c r="C143" s="165"/>
      <c r="D143" s="165"/>
      <c r="E143" s="165"/>
      <c r="F143" s="165"/>
      <c r="G143" s="165"/>
      <c r="H143" s="165"/>
      <c r="I143" s="165"/>
      <c r="J143" s="165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</row>
    <row r="144" ht="13.5" customHeight="1" spans="1:26">
      <c r="A144" s="165"/>
      <c r="B144" s="165"/>
      <c r="C144" s="165"/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</row>
    <row r="145" ht="13.5" customHeight="1" spans="1:26">
      <c r="A145" s="165"/>
      <c r="B145" s="165"/>
      <c r="C145" s="165"/>
      <c r="D145" s="165"/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</row>
    <row r="146" ht="13.5" customHeight="1" spans="1:26">
      <c r="A146" s="165"/>
      <c r="B146" s="165"/>
      <c r="C146" s="165"/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</row>
    <row r="147" ht="13.5" customHeight="1" spans="1:26">
      <c r="A147" s="165"/>
      <c r="B147" s="165"/>
      <c r="C147" s="165"/>
      <c r="D147" s="165"/>
      <c r="E147" s="165"/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</row>
    <row r="148" ht="13.5" customHeight="1" spans="1:26">
      <c r="A148" s="165"/>
      <c r="B148" s="165"/>
      <c r="C148" s="165"/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</row>
    <row r="149" ht="13.5" customHeight="1" spans="1:26">
      <c r="A149" s="165"/>
      <c r="B149" s="165"/>
      <c r="C149" s="165"/>
      <c r="D149" s="165"/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</row>
    <row r="150" ht="13.5" customHeight="1" spans="1:26">
      <c r="A150" s="165"/>
      <c r="B150" s="165"/>
      <c r="C150" s="165"/>
      <c r="D150" s="165"/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</row>
    <row r="151" ht="13.5" customHeight="1" spans="1:26">
      <c r="A151" s="165"/>
      <c r="B151" s="165"/>
      <c r="C151" s="165"/>
      <c r="D151" s="165"/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</row>
    <row r="152" ht="13.5" customHeight="1" spans="1:26">
      <c r="A152" s="165"/>
      <c r="B152" s="165"/>
      <c r="C152" s="165"/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</row>
    <row r="153" ht="13.5" customHeight="1" spans="1:26">
      <c r="A153" s="165"/>
      <c r="B153" s="165"/>
      <c r="C153" s="165"/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</row>
    <row r="154" ht="13.5" customHeight="1" spans="1:26">
      <c r="A154" s="165"/>
      <c r="B154" s="165"/>
      <c r="C154" s="165"/>
      <c r="D154" s="165"/>
      <c r="E154" s="165"/>
      <c r="F154" s="165"/>
      <c r="G154" s="165"/>
      <c r="H154" s="165"/>
      <c r="I154" s="165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</row>
    <row r="155" ht="13.5" customHeight="1" spans="1:26">
      <c r="A155" s="165"/>
      <c r="B155" s="165"/>
      <c r="C155" s="165"/>
      <c r="D155" s="165"/>
      <c r="E155" s="165"/>
      <c r="F155" s="165"/>
      <c r="G155" s="165"/>
      <c r="H155" s="165"/>
      <c r="I155" s="165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</row>
    <row r="156" ht="13.5" customHeight="1" spans="1:26">
      <c r="A156" s="165"/>
      <c r="B156" s="165"/>
      <c r="C156" s="165"/>
      <c r="D156" s="165"/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</row>
    <row r="157" ht="13.5" customHeight="1" spans="1:26">
      <c r="A157" s="165"/>
      <c r="B157" s="165"/>
      <c r="C157" s="165"/>
      <c r="D157" s="165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</row>
    <row r="158" ht="13.5" customHeight="1" spans="1:26">
      <c r="A158" s="165"/>
      <c r="B158" s="165"/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</row>
    <row r="159" ht="13.5" customHeight="1" spans="1:26">
      <c r="A159" s="165"/>
      <c r="B159" s="165"/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</row>
    <row r="160" ht="13.5" customHeight="1" spans="1:26">
      <c r="A160" s="165"/>
      <c r="B160" s="165"/>
      <c r="C160" s="165"/>
      <c r="D160" s="165"/>
      <c r="E160" s="165"/>
      <c r="F160" s="165"/>
      <c r="G160" s="165"/>
      <c r="H160" s="165"/>
      <c r="I160" s="165"/>
      <c r="J160" s="165"/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</row>
    <row r="161" ht="13.5" customHeight="1" spans="1:26">
      <c r="A161" s="165"/>
      <c r="B161" s="165"/>
      <c r="C161" s="165"/>
      <c r="D161" s="165"/>
      <c r="E161" s="165"/>
      <c r="F161" s="165"/>
      <c r="G161" s="165"/>
      <c r="H161" s="165"/>
      <c r="I161" s="165"/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</row>
    <row r="162" ht="13.5" customHeight="1" spans="1:26">
      <c r="A162" s="165"/>
      <c r="B162" s="165"/>
      <c r="C162" s="165"/>
      <c r="D162" s="165"/>
      <c r="E162" s="165"/>
      <c r="F162" s="165"/>
      <c r="G162" s="165"/>
      <c r="H162" s="165"/>
      <c r="I162" s="165"/>
      <c r="J162" s="165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</row>
    <row r="163" ht="13.5" customHeight="1" spans="1:26">
      <c r="A163" s="165"/>
      <c r="B163" s="165"/>
      <c r="C163" s="165"/>
      <c r="D163" s="165"/>
      <c r="E163" s="165"/>
      <c r="F163" s="165"/>
      <c r="G163" s="165"/>
      <c r="H163" s="165"/>
      <c r="I163" s="165"/>
      <c r="J163" s="165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</row>
    <row r="164" ht="13.5" customHeight="1" spans="1:26">
      <c r="A164" s="165"/>
      <c r="B164" s="165"/>
      <c r="C164" s="165"/>
      <c r="D164" s="165"/>
      <c r="E164" s="165"/>
      <c r="F164" s="165"/>
      <c r="G164" s="165"/>
      <c r="H164" s="165"/>
      <c r="I164" s="165"/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</row>
    <row r="165" ht="13.5" customHeight="1" spans="1:26">
      <c r="A165" s="165"/>
      <c r="B165" s="165"/>
      <c r="C165" s="165"/>
      <c r="D165" s="165"/>
      <c r="E165" s="165"/>
      <c r="F165" s="165"/>
      <c r="G165" s="165"/>
      <c r="H165" s="165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</row>
    <row r="166" ht="13.5" customHeight="1" spans="1:26">
      <c r="A166" s="165"/>
      <c r="B166" s="165"/>
      <c r="C166" s="165"/>
      <c r="D166" s="165"/>
      <c r="E166" s="165"/>
      <c r="F166" s="165"/>
      <c r="G166" s="165"/>
      <c r="H166" s="165"/>
      <c r="I166" s="165"/>
      <c r="J166" s="165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</row>
    <row r="167" ht="13.5" customHeight="1" spans="1:26">
      <c r="A167" s="165"/>
      <c r="B167" s="165"/>
      <c r="C167" s="165"/>
      <c r="D167" s="165"/>
      <c r="E167" s="165"/>
      <c r="F167" s="165"/>
      <c r="G167" s="165"/>
      <c r="H167" s="165"/>
      <c r="I167" s="165"/>
      <c r="J167" s="165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</row>
    <row r="168" ht="13.5" customHeight="1" spans="1:26">
      <c r="A168" s="165"/>
      <c r="B168" s="165"/>
      <c r="C168" s="165"/>
      <c r="D168" s="165"/>
      <c r="E168" s="165"/>
      <c r="F168" s="165"/>
      <c r="G168" s="165"/>
      <c r="H168" s="165"/>
      <c r="I168" s="165"/>
      <c r="J168" s="165"/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</row>
    <row r="169" ht="13.5" customHeight="1" spans="1:26">
      <c r="A169" s="165"/>
      <c r="B169" s="165"/>
      <c r="C169" s="165"/>
      <c r="D169" s="165"/>
      <c r="E169" s="165"/>
      <c r="F169" s="165"/>
      <c r="G169" s="165"/>
      <c r="H169" s="165"/>
      <c r="I169" s="165"/>
      <c r="J169" s="165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</row>
    <row r="170" ht="13.5" customHeight="1" spans="1:26">
      <c r="A170" s="165"/>
      <c r="B170" s="165"/>
      <c r="C170" s="165"/>
      <c r="D170" s="165"/>
      <c r="E170" s="165"/>
      <c r="F170" s="165"/>
      <c r="G170" s="165"/>
      <c r="H170" s="165"/>
      <c r="I170" s="165"/>
      <c r="J170" s="165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</row>
    <row r="171" ht="13.5" customHeight="1" spans="1:26">
      <c r="A171" s="165"/>
      <c r="B171" s="165"/>
      <c r="C171" s="165"/>
      <c r="D171" s="165"/>
      <c r="E171" s="165"/>
      <c r="F171" s="165"/>
      <c r="G171" s="165"/>
      <c r="H171" s="165"/>
      <c r="I171" s="165"/>
      <c r="J171" s="165"/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</row>
    <row r="172" ht="13.5" customHeight="1" spans="1:26">
      <c r="A172" s="165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</row>
    <row r="173" ht="13.5" customHeight="1" spans="1:26">
      <c r="A173" s="165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</row>
    <row r="174" ht="13.5" customHeight="1" spans="1:26">
      <c r="A174" s="165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</row>
    <row r="175" ht="13.5" customHeight="1" spans="1:26">
      <c r="A175" s="165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</row>
    <row r="176" ht="13.5" customHeight="1" spans="1:26">
      <c r="A176" s="165"/>
      <c r="B176" s="165"/>
      <c r="C176" s="165"/>
      <c r="D176" s="165"/>
      <c r="E176" s="165"/>
      <c r="F176" s="165"/>
      <c r="G176" s="165"/>
      <c r="H176" s="165"/>
      <c r="I176" s="165"/>
      <c r="J176" s="165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</row>
    <row r="177" ht="13.5" customHeight="1" spans="1:26">
      <c r="A177" s="165"/>
      <c r="B177" s="165"/>
      <c r="C177" s="165"/>
      <c r="D177" s="165"/>
      <c r="E177" s="165"/>
      <c r="F177" s="165"/>
      <c r="G177" s="165"/>
      <c r="H177" s="165"/>
      <c r="I177" s="165"/>
      <c r="J177" s="165"/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</row>
    <row r="178" ht="13.5" customHeight="1" spans="1:26">
      <c r="A178" s="165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</row>
    <row r="179" ht="13.5" customHeight="1" spans="1:26">
      <c r="A179" s="165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</row>
    <row r="180" ht="13.5" customHeight="1" spans="1:26">
      <c r="A180" s="165"/>
      <c r="B180" s="165"/>
      <c r="C180" s="165"/>
      <c r="D180" s="165"/>
      <c r="E180" s="165"/>
      <c r="F180" s="165"/>
      <c r="G180" s="165"/>
      <c r="H180" s="165"/>
      <c r="I180" s="165"/>
      <c r="J180" s="165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</row>
    <row r="181" ht="13.5" customHeight="1" spans="1:26">
      <c r="A181" s="165"/>
      <c r="B181" s="165"/>
      <c r="C181" s="165"/>
      <c r="D181" s="165"/>
      <c r="E181" s="165"/>
      <c r="F181" s="165"/>
      <c r="G181" s="165"/>
      <c r="H181" s="165"/>
      <c r="I181" s="165"/>
      <c r="J181" s="165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</row>
    <row r="182" ht="13.5" customHeight="1" spans="1:26">
      <c r="A182" s="165"/>
      <c r="B182" s="165"/>
      <c r="C182" s="165"/>
      <c r="D182" s="165"/>
      <c r="E182" s="165"/>
      <c r="F182" s="165"/>
      <c r="G182" s="165"/>
      <c r="H182" s="165"/>
      <c r="I182" s="165"/>
      <c r="J182" s="165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</row>
    <row r="183" ht="13.5" customHeight="1" spans="1:26">
      <c r="A183" s="165"/>
      <c r="B183" s="165"/>
      <c r="C183" s="165"/>
      <c r="D183" s="165"/>
      <c r="E183" s="165"/>
      <c r="F183" s="165"/>
      <c r="G183" s="165"/>
      <c r="H183" s="165"/>
      <c r="I183" s="165"/>
      <c r="J183" s="165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</row>
    <row r="184" ht="13.5" customHeight="1" spans="1:26">
      <c r="A184" s="165"/>
      <c r="B184" s="165"/>
      <c r="C184" s="165"/>
      <c r="D184" s="165"/>
      <c r="E184" s="165"/>
      <c r="F184" s="165"/>
      <c r="G184" s="165"/>
      <c r="H184" s="165"/>
      <c r="I184" s="165"/>
      <c r="J184" s="165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</row>
    <row r="185" ht="13.5" customHeight="1" spans="1:26">
      <c r="A185" s="165"/>
      <c r="B185" s="165"/>
      <c r="C185" s="165"/>
      <c r="D185" s="165"/>
      <c r="E185" s="165"/>
      <c r="F185" s="165"/>
      <c r="G185" s="165"/>
      <c r="H185" s="165"/>
      <c r="I185" s="165"/>
      <c r="J185" s="165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</row>
    <row r="186" ht="13.5" customHeight="1" spans="1:26">
      <c r="A186" s="165"/>
      <c r="B186" s="165"/>
      <c r="C186" s="165"/>
      <c r="D186" s="165"/>
      <c r="E186" s="165"/>
      <c r="F186" s="165"/>
      <c r="G186" s="165"/>
      <c r="H186" s="165"/>
      <c r="I186" s="165"/>
      <c r="J186" s="165"/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</row>
    <row r="187" ht="13.5" customHeight="1" spans="1:26">
      <c r="A187" s="165"/>
      <c r="B187" s="165"/>
      <c r="C187" s="165"/>
      <c r="D187" s="165"/>
      <c r="E187" s="165"/>
      <c r="F187" s="165"/>
      <c r="G187" s="165"/>
      <c r="H187" s="165"/>
      <c r="I187" s="165"/>
      <c r="J187" s="165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</row>
    <row r="188" ht="13.5" customHeight="1" spans="1:26">
      <c r="A188" s="165"/>
      <c r="B188" s="165"/>
      <c r="C188" s="165"/>
      <c r="D188" s="165"/>
      <c r="E188" s="165"/>
      <c r="F188" s="165"/>
      <c r="G188" s="165"/>
      <c r="H188" s="165"/>
      <c r="I188" s="165"/>
      <c r="J188" s="165"/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</row>
    <row r="189" ht="13.5" customHeight="1" spans="1:26">
      <c r="A189" s="165"/>
      <c r="B189" s="165"/>
      <c r="C189" s="165"/>
      <c r="D189" s="165"/>
      <c r="E189" s="165"/>
      <c r="F189" s="165"/>
      <c r="G189" s="165"/>
      <c r="H189" s="165"/>
      <c r="I189" s="165"/>
      <c r="J189" s="165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</row>
    <row r="190" ht="13.5" customHeight="1" spans="1:26">
      <c r="A190" s="165"/>
      <c r="B190" s="165"/>
      <c r="C190" s="165"/>
      <c r="D190" s="165"/>
      <c r="E190" s="165"/>
      <c r="F190" s="165"/>
      <c r="G190" s="165"/>
      <c r="H190" s="165"/>
      <c r="I190" s="165"/>
      <c r="J190" s="165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</row>
    <row r="191" ht="13.5" customHeight="1" spans="1:26">
      <c r="A191" s="165"/>
      <c r="B191" s="165"/>
      <c r="C191" s="165"/>
      <c r="D191" s="165"/>
      <c r="E191" s="165"/>
      <c r="F191" s="165"/>
      <c r="G191" s="165"/>
      <c r="H191" s="165"/>
      <c r="I191" s="165"/>
      <c r="J191" s="165"/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</row>
    <row r="192" ht="13.5" customHeight="1" spans="1:26">
      <c r="A192" s="165"/>
      <c r="B192" s="165"/>
      <c r="C192" s="165"/>
      <c r="D192" s="165"/>
      <c r="E192" s="165"/>
      <c r="F192" s="165"/>
      <c r="G192" s="165"/>
      <c r="H192" s="165"/>
      <c r="I192" s="165"/>
      <c r="J192" s="165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</row>
    <row r="193" ht="13.5" customHeight="1" spans="1:26">
      <c r="A193" s="165"/>
      <c r="B193" s="165"/>
      <c r="C193" s="165"/>
      <c r="D193" s="165"/>
      <c r="E193" s="165"/>
      <c r="F193" s="165"/>
      <c r="G193" s="165"/>
      <c r="H193" s="165"/>
      <c r="I193" s="165"/>
      <c r="J193" s="165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</row>
    <row r="194" ht="13.5" customHeight="1" spans="1:26">
      <c r="A194" s="165"/>
      <c r="B194" s="165"/>
      <c r="C194" s="165"/>
      <c r="D194" s="165"/>
      <c r="E194" s="165"/>
      <c r="F194" s="165"/>
      <c r="G194" s="165"/>
      <c r="H194" s="165"/>
      <c r="I194" s="165"/>
      <c r="J194" s="165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</row>
    <row r="195" ht="13.5" customHeight="1" spans="1:26">
      <c r="A195" s="165"/>
      <c r="B195" s="165"/>
      <c r="C195" s="165"/>
      <c r="D195" s="165"/>
      <c r="E195" s="165"/>
      <c r="F195" s="165"/>
      <c r="G195" s="165"/>
      <c r="H195" s="165"/>
      <c r="I195" s="165"/>
      <c r="J195" s="165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</row>
    <row r="196" ht="13.5" customHeight="1" spans="1:26">
      <c r="A196" s="165"/>
      <c r="B196" s="165"/>
      <c r="C196" s="165"/>
      <c r="D196" s="165"/>
      <c r="E196" s="165"/>
      <c r="F196" s="165"/>
      <c r="G196" s="165"/>
      <c r="H196" s="165"/>
      <c r="I196" s="165"/>
      <c r="J196" s="165"/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</row>
    <row r="197" ht="13.5" customHeight="1" spans="1:26">
      <c r="A197" s="165"/>
      <c r="B197" s="165"/>
      <c r="C197" s="165"/>
      <c r="D197" s="165"/>
      <c r="E197" s="165"/>
      <c r="F197" s="165"/>
      <c r="G197" s="165"/>
      <c r="H197" s="165"/>
      <c r="I197" s="165"/>
      <c r="J197" s="165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</row>
    <row r="198" ht="13.5" customHeight="1" spans="1:26">
      <c r="A198" s="165"/>
      <c r="B198" s="165"/>
      <c r="C198" s="165"/>
      <c r="D198" s="165"/>
      <c r="E198" s="165"/>
      <c r="F198" s="165"/>
      <c r="G198" s="165"/>
      <c r="H198" s="165"/>
      <c r="I198" s="165"/>
      <c r="J198" s="165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</row>
    <row r="199" ht="13.5" customHeight="1" spans="1:26">
      <c r="A199" s="165"/>
      <c r="B199" s="165"/>
      <c r="C199" s="165"/>
      <c r="D199" s="165"/>
      <c r="E199" s="165"/>
      <c r="F199" s="165"/>
      <c r="G199" s="165"/>
      <c r="H199" s="165"/>
      <c r="I199" s="165"/>
      <c r="J199" s="165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</row>
    <row r="200" ht="13.5" customHeight="1" spans="1:26">
      <c r="A200" s="165"/>
      <c r="B200" s="165"/>
      <c r="C200" s="165"/>
      <c r="D200" s="165"/>
      <c r="E200" s="165"/>
      <c r="F200" s="165"/>
      <c r="G200" s="165"/>
      <c r="H200" s="165"/>
      <c r="I200" s="165"/>
      <c r="J200" s="165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</row>
    <row r="201" ht="13.5" customHeight="1" spans="1:26">
      <c r="A201" s="165"/>
      <c r="B201" s="165"/>
      <c r="C201" s="165"/>
      <c r="D201" s="165"/>
      <c r="E201" s="165"/>
      <c r="F201" s="165"/>
      <c r="G201" s="165"/>
      <c r="H201" s="165"/>
      <c r="I201" s="165"/>
      <c r="J201" s="165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</row>
    <row r="202" ht="13.5" customHeight="1" spans="1:26">
      <c r="A202" s="165"/>
      <c r="B202" s="165"/>
      <c r="C202" s="165"/>
      <c r="D202" s="165"/>
      <c r="E202" s="165"/>
      <c r="F202" s="165"/>
      <c r="G202" s="165"/>
      <c r="H202" s="165"/>
      <c r="I202" s="165"/>
      <c r="J202" s="165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</row>
    <row r="203" ht="13.5" customHeight="1" spans="1:26">
      <c r="A203" s="165"/>
      <c r="B203" s="165"/>
      <c r="C203" s="165"/>
      <c r="D203" s="165"/>
      <c r="E203" s="165"/>
      <c r="F203" s="165"/>
      <c r="G203" s="165"/>
      <c r="H203" s="165"/>
      <c r="I203" s="165"/>
      <c r="J203" s="165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</row>
    <row r="204" ht="13.5" customHeight="1" spans="1:26">
      <c r="A204" s="165"/>
      <c r="B204" s="165"/>
      <c r="C204" s="165"/>
      <c r="D204" s="165"/>
      <c r="E204" s="165"/>
      <c r="F204" s="165"/>
      <c r="G204" s="165"/>
      <c r="H204" s="165"/>
      <c r="I204" s="165"/>
      <c r="J204" s="165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</row>
    <row r="205" ht="13.5" customHeight="1" spans="1:26">
      <c r="A205" s="165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</row>
    <row r="206" ht="13.5" customHeight="1" spans="1:26">
      <c r="A206" s="165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</row>
    <row r="207" ht="13.5" customHeight="1" spans="1:26">
      <c r="A207" s="165"/>
      <c r="B207" s="165"/>
      <c r="C207" s="165"/>
      <c r="D207" s="165"/>
      <c r="E207" s="165"/>
      <c r="F207" s="165"/>
      <c r="G207" s="165"/>
      <c r="H207" s="165"/>
      <c r="I207" s="165"/>
      <c r="J207" s="165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</row>
    <row r="208" ht="13.5" customHeight="1" spans="1:26">
      <c r="A208" s="165"/>
      <c r="B208" s="165"/>
      <c r="C208" s="165"/>
      <c r="D208" s="165"/>
      <c r="E208" s="165"/>
      <c r="F208" s="165"/>
      <c r="G208" s="165"/>
      <c r="H208" s="165"/>
      <c r="I208" s="165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</row>
    <row r="209" ht="13.5" customHeight="1" spans="1:26">
      <c r="A209" s="165"/>
      <c r="B209" s="165"/>
      <c r="C209" s="165"/>
      <c r="D209" s="165"/>
      <c r="E209" s="165"/>
      <c r="F209" s="165"/>
      <c r="G209" s="165"/>
      <c r="H209" s="165"/>
      <c r="I209" s="165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</row>
    <row r="210" ht="13.5" customHeight="1" spans="1:26">
      <c r="A210" s="165"/>
      <c r="B210" s="165"/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</row>
    <row r="211" ht="13.5" customHeight="1" spans="1:26">
      <c r="A211" s="165"/>
      <c r="B211" s="165"/>
      <c r="C211" s="165"/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</row>
    <row r="212" ht="13.5" customHeight="1" spans="1:26">
      <c r="A212" s="165"/>
      <c r="B212" s="165"/>
      <c r="C212" s="165"/>
      <c r="D212" s="165"/>
      <c r="E212" s="165"/>
      <c r="F212" s="165"/>
      <c r="G212" s="165"/>
      <c r="H212" s="165"/>
      <c r="I212" s="165"/>
      <c r="J212" s="165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</row>
    <row r="213" ht="13.5" customHeight="1" spans="1:26">
      <c r="A213" s="165"/>
      <c r="B213" s="165"/>
      <c r="C213" s="165"/>
      <c r="D213" s="165"/>
      <c r="E213" s="165"/>
      <c r="F213" s="165"/>
      <c r="G213" s="165"/>
      <c r="H213" s="165"/>
      <c r="I213" s="165"/>
      <c r="J213" s="165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</row>
    <row r="214" ht="13.5" customHeight="1" spans="1:26">
      <c r="A214" s="165"/>
      <c r="B214" s="165"/>
      <c r="C214" s="165"/>
      <c r="D214" s="165"/>
      <c r="E214" s="165"/>
      <c r="F214" s="165"/>
      <c r="G214" s="165"/>
      <c r="H214" s="165"/>
      <c r="I214" s="165"/>
      <c r="J214" s="165"/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</row>
    <row r="215" ht="13.5" customHeight="1" spans="1:26">
      <c r="A215" s="165"/>
      <c r="B215" s="165"/>
      <c r="C215" s="165"/>
      <c r="D215" s="165"/>
      <c r="E215" s="165"/>
      <c r="F215" s="165"/>
      <c r="G215" s="165"/>
      <c r="H215" s="165"/>
      <c r="I215" s="165"/>
      <c r="J215" s="165"/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</row>
    <row r="216" ht="13.5" customHeight="1" spans="1:26">
      <c r="A216" s="165"/>
      <c r="B216" s="165"/>
      <c r="C216" s="165"/>
      <c r="D216" s="165"/>
      <c r="E216" s="165"/>
      <c r="F216" s="165"/>
      <c r="G216" s="165"/>
      <c r="H216" s="165"/>
      <c r="I216" s="165"/>
      <c r="J216" s="165"/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</row>
    <row r="217" ht="13.5" customHeight="1" spans="1:26">
      <c r="A217" s="165"/>
      <c r="B217" s="165"/>
      <c r="C217" s="165"/>
      <c r="D217" s="165"/>
      <c r="E217" s="165"/>
      <c r="F217" s="165"/>
      <c r="G217" s="165"/>
      <c r="H217" s="165"/>
      <c r="I217" s="165"/>
      <c r="J217" s="165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</row>
    <row r="218" ht="13.5" customHeight="1" spans="1:26">
      <c r="A218" s="165"/>
      <c r="B218" s="165"/>
      <c r="C218" s="165"/>
      <c r="D218" s="165"/>
      <c r="E218" s="165"/>
      <c r="F218" s="165"/>
      <c r="G218" s="165"/>
      <c r="H218" s="165"/>
      <c r="I218" s="165"/>
      <c r="J218" s="165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</row>
    <row r="219" ht="13.5" customHeight="1" spans="1:26">
      <c r="A219" s="165"/>
      <c r="B219" s="165"/>
      <c r="C219" s="165"/>
      <c r="D219" s="165"/>
      <c r="E219" s="165"/>
      <c r="F219" s="165"/>
      <c r="G219" s="165"/>
      <c r="H219" s="165"/>
      <c r="I219" s="165"/>
      <c r="J219" s="165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</row>
    <row r="220" ht="13.5" customHeight="1" spans="1:26">
      <c r="A220" s="165"/>
      <c r="B220" s="165"/>
      <c r="C220" s="165"/>
      <c r="D220" s="165"/>
      <c r="E220" s="165"/>
      <c r="F220" s="165"/>
      <c r="G220" s="165"/>
      <c r="H220" s="165"/>
      <c r="I220" s="165"/>
      <c r="J220" s="165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</row>
    <row r="221" ht="13.5" customHeight="1" spans="1:26">
      <c r="A221" s="165"/>
      <c r="B221" s="165"/>
      <c r="C221" s="165"/>
      <c r="D221" s="165"/>
      <c r="E221" s="165"/>
      <c r="F221" s="165"/>
      <c r="G221" s="165"/>
      <c r="H221" s="165"/>
      <c r="I221" s="165"/>
      <c r="J221" s="165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</row>
    <row r="222" ht="13.5" customHeight="1" spans="1:26">
      <c r="A222" s="165"/>
      <c r="B222" s="165"/>
      <c r="C222" s="165"/>
      <c r="D222" s="165"/>
      <c r="E222" s="165"/>
      <c r="F222" s="165"/>
      <c r="G222" s="165"/>
      <c r="H222" s="165"/>
      <c r="I222" s="165"/>
      <c r="J222" s="165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</row>
    <row r="223" ht="13.5" customHeight="1" spans="1:26">
      <c r="A223" s="165"/>
      <c r="B223" s="165"/>
      <c r="C223" s="165"/>
      <c r="D223" s="165"/>
      <c r="E223" s="165"/>
      <c r="F223" s="165"/>
      <c r="G223" s="165"/>
      <c r="H223" s="165"/>
      <c r="I223" s="165"/>
      <c r="J223" s="165"/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</row>
    <row r="224" ht="13.5" customHeight="1" spans="1:26">
      <c r="A224" s="165"/>
      <c r="B224" s="165"/>
      <c r="C224" s="165"/>
      <c r="D224" s="165"/>
      <c r="E224" s="165"/>
      <c r="F224" s="165"/>
      <c r="G224" s="165"/>
      <c r="H224" s="165"/>
      <c r="I224" s="165"/>
      <c r="J224" s="165"/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</row>
    <row r="225" ht="13.5" customHeight="1" spans="1:26">
      <c r="A225" s="165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</row>
    <row r="226" ht="13.5" customHeight="1" spans="1:26">
      <c r="A226" s="165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</row>
    <row r="227" ht="13.5" customHeight="1" spans="1:26">
      <c r="A227" s="165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</row>
    <row r="228" ht="13.5" customHeight="1" spans="1:26">
      <c r="A228" s="165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</row>
    <row r="229" ht="13.5" customHeight="1" spans="1:26">
      <c r="A229" s="165"/>
      <c r="B229" s="165"/>
      <c r="C229" s="165"/>
      <c r="D229" s="165"/>
      <c r="E229" s="165"/>
      <c r="F229" s="165"/>
      <c r="G229" s="165"/>
      <c r="H229" s="165"/>
      <c r="I229" s="165"/>
      <c r="J229" s="165"/>
      <c r="K229" s="165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</row>
    <row r="230" ht="13.5" customHeight="1" spans="1:26">
      <c r="A230" s="165"/>
      <c r="B230" s="165"/>
      <c r="C230" s="165"/>
      <c r="D230" s="165"/>
      <c r="E230" s="165"/>
      <c r="F230" s="165"/>
      <c r="G230" s="165"/>
      <c r="H230" s="165"/>
      <c r="I230" s="165"/>
      <c r="J230" s="165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</row>
    <row r="231" ht="13.5" customHeight="1" spans="1:26">
      <c r="A231" s="165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</row>
    <row r="232" ht="13.5" customHeight="1" spans="1:26">
      <c r="A232" s="165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</row>
    <row r="233" ht="13.5" customHeight="1" spans="1:26">
      <c r="A233" s="165"/>
      <c r="B233" s="165"/>
      <c r="C233" s="165"/>
      <c r="D233" s="165"/>
      <c r="E233" s="165"/>
      <c r="F233" s="165"/>
      <c r="G233" s="165"/>
      <c r="H233" s="165"/>
      <c r="I233" s="165"/>
      <c r="J233" s="165"/>
      <c r="K233" s="165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</row>
    <row r="234" ht="13.5" customHeight="1" spans="1:26">
      <c r="A234" s="165"/>
      <c r="B234" s="165"/>
      <c r="C234" s="165"/>
      <c r="D234" s="165"/>
      <c r="E234" s="165"/>
      <c r="F234" s="165"/>
      <c r="G234" s="165"/>
      <c r="H234" s="165"/>
      <c r="I234" s="165"/>
      <c r="J234" s="165"/>
      <c r="K234" s="165"/>
      <c r="L234" s="165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</row>
    <row r="235" ht="13.5" customHeight="1" spans="1:26">
      <c r="A235" s="165"/>
      <c r="B235" s="165"/>
      <c r="C235" s="165"/>
      <c r="D235" s="165"/>
      <c r="E235" s="165"/>
      <c r="F235" s="165"/>
      <c r="G235" s="165"/>
      <c r="H235" s="165"/>
      <c r="I235" s="165"/>
      <c r="J235" s="165"/>
      <c r="K235" s="165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</row>
    <row r="236" ht="13.5" customHeight="1" spans="1:26">
      <c r="A236" s="165"/>
      <c r="B236" s="165"/>
      <c r="C236" s="165"/>
      <c r="D236" s="165"/>
      <c r="E236" s="165"/>
      <c r="F236" s="165"/>
      <c r="G236" s="165"/>
      <c r="H236" s="165"/>
      <c r="I236" s="165"/>
      <c r="J236" s="165"/>
      <c r="K236" s="165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</row>
    <row r="237" ht="13.5" customHeight="1" spans="1:26">
      <c r="A237" s="165"/>
      <c r="B237" s="165"/>
      <c r="C237" s="165"/>
      <c r="D237" s="165"/>
      <c r="E237" s="165"/>
      <c r="F237" s="165"/>
      <c r="G237" s="165"/>
      <c r="H237" s="165"/>
      <c r="I237" s="165"/>
      <c r="J237" s="165"/>
      <c r="K237" s="165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</row>
    <row r="238" ht="13.5" customHeight="1" spans="1:26">
      <c r="A238" s="165"/>
      <c r="B238" s="165"/>
      <c r="C238" s="165"/>
      <c r="D238" s="165"/>
      <c r="E238" s="165"/>
      <c r="F238" s="165"/>
      <c r="G238" s="165"/>
      <c r="H238" s="165"/>
      <c r="I238" s="165"/>
      <c r="J238" s="165"/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</row>
    <row r="239" ht="13.5" customHeight="1" spans="1:26">
      <c r="A239" s="165"/>
      <c r="B239" s="165"/>
      <c r="C239" s="165"/>
      <c r="D239" s="165"/>
      <c r="E239" s="165"/>
      <c r="F239" s="165"/>
      <c r="G239" s="165"/>
      <c r="H239" s="165"/>
      <c r="I239" s="165"/>
      <c r="J239" s="165"/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</row>
    <row r="240" ht="13.5" customHeight="1" spans="1:26">
      <c r="A240" s="165"/>
      <c r="B240" s="165"/>
      <c r="C240" s="165"/>
      <c r="D240" s="165"/>
      <c r="E240" s="165"/>
      <c r="F240" s="165"/>
      <c r="G240" s="165"/>
      <c r="H240" s="165"/>
      <c r="I240" s="165"/>
      <c r="J240" s="165"/>
      <c r="K240" s="165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</row>
    <row r="241" ht="13.5" customHeight="1" spans="1:26">
      <c r="A241" s="165"/>
      <c r="B241" s="165"/>
      <c r="C241" s="165"/>
      <c r="D241" s="165"/>
      <c r="E241" s="165"/>
      <c r="F241" s="165"/>
      <c r="G241" s="165"/>
      <c r="H241" s="165"/>
      <c r="I241" s="165"/>
      <c r="J241" s="165"/>
      <c r="K241" s="165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</row>
    <row r="242" ht="13.5" customHeight="1" spans="1:26">
      <c r="A242" s="165"/>
      <c r="B242" s="165"/>
      <c r="C242" s="165"/>
      <c r="D242" s="165"/>
      <c r="E242" s="165"/>
      <c r="F242" s="165"/>
      <c r="G242" s="165"/>
      <c r="H242" s="165"/>
      <c r="I242" s="165"/>
      <c r="J242" s="165"/>
      <c r="K242" s="165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</row>
    <row r="243" ht="13.5" customHeight="1" spans="1:26">
      <c r="A243" s="165"/>
      <c r="B243" s="165"/>
      <c r="C243" s="165"/>
      <c r="D243" s="165"/>
      <c r="E243" s="165"/>
      <c r="F243" s="165"/>
      <c r="G243" s="165"/>
      <c r="H243" s="165"/>
      <c r="I243" s="165"/>
      <c r="J243" s="165"/>
      <c r="K243" s="165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</row>
    <row r="244" ht="13.5" customHeight="1" spans="1:26">
      <c r="A244" s="165"/>
      <c r="B244" s="165"/>
      <c r="C244" s="165"/>
      <c r="D244" s="165"/>
      <c r="E244" s="165"/>
      <c r="F244" s="165"/>
      <c r="G244" s="165"/>
      <c r="H244" s="165"/>
      <c r="I244" s="165"/>
      <c r="J244" s="165"/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</row>
    <row r="245" ht="13.5" customHeight="1" spans="1:26">
      <c r="A245" s="165"/>
      <c r="B245" s="165"/>
      <c r="C245" s="165"/>
      <c r="D245" s="165"/>
      <c r="E245" s="165"/>
      <c r="F245" s="165"/>
      <c r="G245" s="165"/>
      <c r="H245" s="165"/>
      <c r="I245" s="165"/>
      <c r="J245" s="165"/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</row>
    <row r="246" ht="13.5" customHeight="1" spans="1:26">
      <c r="A246" s="165"/>
      <c r="B246" s="165"/>
      <c r="C246" s="165"/>
      <c r="D246" s="165"/>
      <c r="E246" s="165"/>
      <c r="F246" s="165"/>
      <c r="G246" s="165"/>
      <c r="H246" s="165"/>
      <c r="I246" s="165"/>
      <c r="J246" s="165"/>
      <c r="K246" s="165"/>
      <c r="L246" s="165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</row>
    <row r="247" ht="13.5" customHeight="1" spans="1:26">
      <c r="A247" s="165"/>
      <c r="B247" s="165"/>
      <c r="C247" s="165"/>
      <c r="D247" s="165"/>
      <c r="E247" s="165"/>
      <c r="F247" s="165"/>
      <c r="G247" s="165"/>
      <c r="H247" s="165"/>
      <c r="I247" s="165"/>
      <c r="J247" s="165"/>
      <c r="K247" s="165"/>
      <c r="L247" s="165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</row>
    <row r="248" ht="13.5" customHeight="1" spans="1:26">
      <c r="A248" s="165"/>
      <c r="B248" s="165"/>
      <c r="C248" s="165"/>
      <c r="D248" s="165"/>
      <c r="E248" s="165"/>
      <c r="F248" s="165"/>
      <c r="G248" s="165"/>
      <c r="H248" s="165"/>
      <c r="I248" s="165"/>
      <c r="J248" s="165"/>
      <c r="K248" s="165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A1" sqref="A1"/>
    </sheetView>
  </sheetViews>
  <sheetFormatPr defaultColWidth="12.6271186440678" defaultRowHeight="13.05"/>
  <cols>
    <col min="1" max="1" width="28.1271186440678" customWidth="1"/>
    <col min="2" max="2" width="10" customWidth="1"/>
    <col min="3" max="3" width="14.3813559322034" customWidth="1"/>
    <col min="4" max="4" width="26" customWidth="1"/>
    <col min="5" max="5" width="38" customWidth="1"/>
    <col min="6" max="6" width="48.1271186440678" customWidth="1"/>
    <col min="7" max="26" width="10" customWidth="1"/>
  </cols>
  <sheetData>
    <row r="1" ht="12.75" customHeight="1" spans="1:26">
      <c r="A1" s="129"/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</row>
    <row r="2" ht="75.75" customHeight="1" spans="1:26">
      <c r="A2" s="131"/>
      <c r="B2" s="132" t="s">
        <v>45</v>
      </c>
      <c r="C2" s="76"/>
      <c r="D2" s="76"/>
      <c r="E2" s="76"/>
      <c r="F2" s="7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ht="12.75" customHeight="1" spans="1:26">
      <c r="A3" s="134"/>
      <c r="B3" s="135"/>
      <c r="C3" s="130"/>
      <c r="D3" s="130"/>
      <c r="E3" s="66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</row>
    <row r="4" ht="14.25" customHeight="1" spans="1:26">
      <c r="A4" s="136" t="s">
        <v>46</v>
      </c>
      <c r="B4" s="137" t="s">
        <v>47</v>
      </c>
      <c r="C4" s="76"/>
      <c r="D4" s="73"/>
      <c r="E4" s="136" t="s">
        <v>48</v>
      </c>
      <c r="F4" s="138" t="s">
        <v>49</v>
      </c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</row>
    <row r="5" ht="14.25" customHeight="1" spans="1:26">
      <c r="A5" s="136" t="s">
        <v>50</v>
      </c>
      <c r="B5" s="139" t="s">
        <v>51</v>
      </c>
      <c r="C5" s="76"/>
      <c r="D5" s="73"/>
      <c r="E5" s="136" t="s">
        <v>52</v>
      </c>
      <c r="F5" s="140" t="s">
        <v>53</v>
      </c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</row>
    <row r="6" ht="15.75" customHeight="1" spans="1:26">
      <c r="A6" s="78" t="s">
        <v>54</v>
      </c>
      <c r="B6" s="141" t="str">
        <f>B5&amp;"_"&amp;"Unit Test Report"&amp;"_"&amp;"v0.3.0"</f>
        <v>SU26SE102_Unit Test Report_v0.3.0</v>
      </c>
      <c r="C6" s="76"/>
      <c r="D6" s="73"/>
      <c r="E6" s="136" t="s">
        <v>55</v>
      </c>
      <c r="F6" s="142" t="s">
        <v>56</v>
      </c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</row>
    <row r="7" ht="12.75" customHeight="1" spans="1:26">
      <c r="A7" s="143"/>
      <c r="B7" s="135"/>
      <c r="C7" s="130"/>
      <c r="D7" s="130"/>
      <c r="E7" s="144"/>
      <c r="F7" s="135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</row>
    <row r="8" ht="12.75" customHeight="1" spans="1:26">
      <c r="A8" s="130"/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</row>
    <row r="9" ht="12.75" customHeight="1" spans="1:26">
      <c r="A9" s="145" t="s">
        <v>57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</row>
    <row r="10" ht="12.75" customHeight="1" spans="1:26">
      <c r="A10" s="146" t="s">
        <v>58</v>
      </c>
      <c r="B10" s="147" t="s">
        <v>55</v>
      </c>
      <c r="C10" s="147" t="s">
        <v>59</v>
      </c>
      <c r="D10" s="147" t="s">
        <v>60</v>
      </c>
      <c r="E10" s="147" t="s">
        <v>61</v>
      </c>
      <c r="F10" s="148" t="s">
        <v>62</v>
      </c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</row>
    <row r="11" ht="28" customHeight="1" spans="1:26">
      <c r="A11" s="150" t="s">
        <v>63</v>
      </c>
      <c r="B11" s="151" t="s">
        <v>64</v>
      </c>
      <c r="C11" s="152" t="s">
        <v>65</v>
      </c>
      <c r="D11" s="153" t="s">
        <v>66</v>
      </c>
      <c r="E11" s="153" t="s">
        <v>67</v>
      </c>
      <c r="F11" s="154" t="s">
        <v>65</v>
      </c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</row>
    <row r="12" ht="64" customHeight="1" spans="1:26">
      <c r="A12" s="150" t="s">
        <v>68</v>
      </c>
      <c r="B12" s="151" t="s">
        <v>69</v>
      </c>
      <c r="C12" s="152" t="s">
        <v>70</v>
      </c>
      <c r="D12" s="153" t="s">
        <v>71</v>
      </c>
      <c r="E12" s="153" t="s">
        <v>72</v>
      </c>
      <c r="F12" s="154" t="s">
        <v>65</v>
      </c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</row>
    <row r="13" ht="292" customHeight="1" spans="1:26">
      <c r="A13" s="150" t="s">
        <v>73</v>
      </c>
      <c r="B13" s="151" t="s">
        <v>74</v>
      </c>
      <c r="C13" s="152" t="s">
        <v>75</v>
      </c>
      <c r="D13" s="153" t="s">
        <v>71</v>
      </c>
      <c r="E13" s="153" t="s">
        <v>76</v>
      </c>
      <c r="F13" s="154" t="s">
        <v>77</v>
      </c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</row>
    <row r="14" ht="124" customHeight="1" spans="1:26">
      <c r="A14" s="150" t="s">
        <v>78</v>
      </c>
      <c r="B14" s="151" t="s">
        <v>79</v>
      </c>
      <c r="C14" s="152" t="s">
        <v>80</v>
      </c>
      <c r="D14" s="153" t="s">
        <v>71</v>
      </c>
      <c r="E14" s="153" t="s">
        <v>81</v>
      </c>
      <c r="F14" s="154" t="s">
        <v>82</v>
      </c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</row>
    <row r="15" ht="172" customHeight="1" spans="1:26">
      <c r="A15" s="150" t="s">
        <v>83</v>
      </c>
      <c r="B15" s="151" t="s">
        <v>84</v>
      </c>
      <c r="C15" s="152" t="s">
        <v>85</v>
      </c>
      <c r="D15" s="153" t="s">
        <v>86</v>
      </c>
      <c r="E15" s="153" t="s">
        <v>87</v>
      </c>
      <c r="F15" s="154" t="s">
        <v>88</v>
      </c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</row>
    <row r="16" ht="196" customHeight="1" spans="1:26">
      <c r="A16" s="150" t="s">
        <v>53</v>
      </c>
      <c r="B16" s="151" t="s">
        <v>56</v>
      </c>
      <c r="C16" s="152" t="s">
        <v>89</v>
      </c>
      <c r="D16" s="153" t="s">
        <v>90</v>
      </c>
      <c r="E16" s="153" t="s">
        <v>91</v>
      </c>
      <c r="F16" s="154" t="s">
        <v>92</v>
      </c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</row>
    <row r="17" ht="19.5" customHeight="1" spans="1:26">
      <c r="A17" s="156"/>
      <c r="B17" s="157"/>
      <c r="C17" s="158"/>
      <c r="D17" s="158"/>
      <c r="E17" s="158"/>
      <c r="F17" s="159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</row>
    <row r="18" ht="12.75" customHeight="1" spans="1:26">
      <c r="A18" s="129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</row>
    <row r="19" ht="12.75" customHeight="1" spans="1:26">
      <c r="A19" s="129"/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</row>
    <row r="20" ht="12.75" customHeight="1" spans="1:26">
      <c r="A20" s="129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</row>
    <row r="21" ht="12.75" customHeight="1" spans="1:26">
      <c r="A21" s="129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</row>
    <row r="22" ht="12.75" customHeight="1" spans="1:26">
      <c r="A22" s="129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</row>
    <row r="23" ht="12.75" customHeight="1" spans="1:26">
      <c r="A23" s="129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</row>
    <row r="24" ht="12.75" customHeight="1" spans="1:26">
      <c r="A24" s="129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</row>
    <row r="25" ht="12.75" customHeight="1" spans="1:26">
      <c r="A25" s="129"/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</row>
    <row r="26" ht="12.75" customHeight="1" spans="1:26">
      <c r="A26" s="129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</row>
    <row r="27" ht="12.75" customHeight="1" spans="1:26">
      <c r="A27" s="129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</row>
    <row r="28" ht="12.75" customHeight="1" spans="1:26">
      <c r="A28" s="129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</row>
    <row r="29" ht="12.75" customHeight="1" spans="1:26">
      <c r="A29" s="129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</row>
    <row r="30" ht="12.75" customHeight="1" spans="1:26">
      <c r="A30" s="129"/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</row>
    <row r="31" ht="12.75" customHeight="1" spans="1:26">
      <c r="A31" s="129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</row>
    <row r="32" ht="12.75" customHeight="1" spans="1:26">
      <c r="A32" s="129"/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</row>
    <row r="33" ht="12.75" customHeight="1" spans="1:26">
      <c r="A33" s="129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</row>
    <row r="34" ht="12.75" customHeight="1" spans="1:26">
      <c r="A34" s="129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</row>
    <row r="35" ht="12.75" customHeight="1" spans="1:26">
      <c r="A35" s="129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</row>
    <row r="36" ht="12.75" customHeight="1" spans="1:26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</row>
    <row r="37" ht="12.75" customHeight="1" spans="1:26">
      <c r="A37" s="129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</row>
    <row r="38" ht="12.75" customHeight="1" spans="1:26">
      <c r="A38" s="129"/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</row>
    <row r="39" ht="12.75" customHeight="1" spans="1:26">
      <c r="A39" s="129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</row>
    <row r="40" ht="12.75" customHeight="1" spans="1:26">
      <c r="A40" s="129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</row>
    <row r="41" ht="12.75" customHeight="1" spans="1:26">
      <c r="A41" s="129"/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</row>
    <row r="42" ht="12.75" customHeight="1" spans="1:26">
      <c r="A42" s="129"/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</row>
    <row r="43" ht="12.75" customHeight="1" spans="1:26">
      <c r="A43" s="129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</row>
    <row r="44" ht="12.75" customHeight="1" spans="1:26">
      <c r="A44" s="129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</row>
    <row r="45" ht="12.75" customHeight="1" spans="1:26">
      <c r="A45" s="129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</row>
    <row r="46" ht="12.75" customHeight="1" spans="1:26">
      <c r="A46" s="129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</row>
    <row r="47" ht="12.75" customHeight="1" spans="1:26">
      <c r="A47" s="129"/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</row>
    <row r="48" ht="12.75" customHeight="1" spans="1:26">
      <c r="A48" s="129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</row>
    <row r="49" ht="12.75" customHeight="1" spans="1:26">
      <c r="A49" s="129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</row>
    <row r="50" ht="12.75" customHeight="1" spans="1:26">
      <c r="A50" s="129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</row>
    <row r="51" ht="12.75" customHeight="1" spans="1:26">
      <c r="A51" s="129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</row>
    <row r="52" ht="12.75" customHeight="1" spans="1:26">
      <c r="A52" s="129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</row>
    <row r="53" ht="12.75" customHeight="1" spans="1:26">
      <c r="A53" s="129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</row>
    <row r="54" ht="12.75" customHeight="1" spans="1:26">
      <c r="A54" s="129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</row>
    <row r="55" ht="12.75" customHeight="1" spans="1:26">
      <c r="A55" s="129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</row>
    <row r="56" ht="12.75" customHeight="1" spans="1:26">
      <c r="A56" s="129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</row>
    <row r="57" ht="12.75" customHeight="1" spans="1:26">
      <c r="A57" s="129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</row>
    <row r="58" ht="12.75" customHeight="1" spans="1:26">
      <c r="A58" s="129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</row>
    <row r="59" ht="12.75" customHeight="1" spans="1:26">
      <c r="A59" s="129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</row>
    <row r="60" ht="12.75" customHeight="1" spans="1:26">
      <c r="A60" s="129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</row>
    <row r="61" ht="12.75" customHeight="1" spans="1:26">
      <c r="A61" s="129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</row>
    <row r="62" ht="12.75" customHeight="1" spans="1:26">
      <c r="A62" s="129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</row>
    <row r="63" ht="12.75" customHeight="1" spans="1:26">
      <c r="A63" s="129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</row>
    <row r="64" ht="12.75" customHeight="1" spans="1:26">
      <c r="A64" s="129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</row>
    <row r="65" ht="12.75" customHeight="1" spans="1:26">
      <c r="A65" s="129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</row>
    <row r="66" ht="12.75" customHeight="1" spans="1:26">
      <c r="A66" s="129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</row>
    <row r="67" ht="12.75" customHeight="1" spans="1:26">
      <c r="A67" s="129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</row>
    <row r="68" ht="12.75" customHeight="1" spans="1:26">
      <c r="A68" s="129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</row>
    <row r="69" ht="12.75" customHeight="1" spans="1:26">
      <c r="A69" s="129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</row>
    <row r="70" ht="12.75" customHeight="1" spans="1:26">
      <c r="A70" s="129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</row>
    <row r="71" ht="12.75" customHeight="1" spans="1:26">
      <c r="A71" s="129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</row>
    <row r="72" ht="12.75" customHeight="1" spans="1:26">
      <c r="A72" s="129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</row>
    <row r="73" ht="12.75" customHeight="1" spans="1:26">
      <c r="A73" s="129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</row>
    <row r="74" ht="12.75" customHeight="1" spans="1:26">
      <c r="A74" s="129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</row>
    <row r="75" ht="12.75" customHeight="1" spans="1:26">
      <c r="A75" s="129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</row>
    <row r="76" ht="12.75" customHeight="1" spans="1:26">
      <c r="A76" s="129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</row>
    <row r="77" ht="12.75" customHeight="1" spans="1:26">
      <c r="A77" s="129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</row>
    <row r="78" ht="12.75" customHeight="1" spans="1:26">
      <c r="A78" s="129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</row>
    <row r="79" ht="12.75" customHeight="1" spans="1:26">
      <c r="A79" s="129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</row>
    <row r="80" ht="12.75" customHeight="1" spans="1:26">
      <c r="A80" s="129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</row>
    <row r="81" ht="12.75" customHeight="1" spans="1:26">
      <c r="A81" s="129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</row>
    <row r="82" ht="12.75" customHeight="1" spans="1:26">
      <c r="A82" s="129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</row>
    <row r="83" ht="12.75" customHeight="1" spans="1:26">
      <c r="A83" s="129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</row>
    <row r="84" ht="12.75" customHeight="1" spans="1:26">
      <c r="A84" s="129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</row>
    <row r="85" ht="12.75" customHeight="1" spans="1:26">
      <c r="A85" s="129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</row>
    <row r="86" ht="12.75" customHeight="1" spans="1:26">
      <c r="A86" s="129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</row>
    <row r="87" ht="12.75" customHeight="1" spans="1:26">
      <c r="A87" s="129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</row>
    <row r="88" ht="12.75" customHeight="1" spans="1:26">
      <c r="A88" s="129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</row>
    <row r="89" ht="12.75" customHeight="1" spans="1:26">
      <c r="A89" s="129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</row>
    <row r="90" ht="12.75" customHeight="1" spans="1:26">
      <c r="A90" s="129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</row>
    <row r="91" ht="12.75" customHeight="1" spans="1:26">
      <c r="A91" s="129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</row>
    <row r="92" ht="12.75" customHeight="1" spans="1:26">
      <c r="A92" s="129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</row>
    <row r="93" ht="12.75" customHeight="1" spans="1:26">
      <c r="A93" s="129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</row>
    <row r="94" ht="12.75" customHeight="1" spans="1:26">
      <c r="A94" s="129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</row>
    <row r="95" ht="12.75" customHeight="1" spans="1:26">
      <c r="A95" s="129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</row>
    <row r="96" ht="12.75" customHeight="1" spans="1:26">
      <c r="A96" s="129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</row>
    <row r="97" ht="12.75" customHeight="1" spans="1:26">
      <c r="A97" s="129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</row>
    <row r="98" ht="12.75" customHeight="1" spans="1:26">
      <c r="A98" s="129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</row>
    <row r="99" ht="12.75" customHeight="1" spans="1:26">
      <c r="A99" s="129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</row>
    <row r="100" ht="12.75" customHeight="1" spans="1:26">
      <c r="A100" s="129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</row>
    <row r="101" ht="12.75" customHeight="1" spans="1:26">
      <c r="A101" s="129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</row>
    <row r="102" ht="12.75" customHeight="1" spans="1:26">
      <c r="A102" s="129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</row>
    <row r="103" ht="12.75" customHeight="1" spans="1:26">
      <c r="A103" s="129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</row>
    <row r="104" ht="12.75" customHeight="1" spans="1:26">
      <c r="A104" s="129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</row>
    <row r="105" ht="12.75" customHeight="1" spans="1:26">
      <c r="A105" s="129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</row>
    <row r="106" ht="12.75" customHeight="1" spans="1:26">
      <c r="A106" s="129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</row>
    <row r="107" ht="12.75" customHeight="1" spans="1:26">
      <c r="A107" s="129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</row>
    <row r="108" ht="12.75" customHeight="1" spans="1:26">
      <c r="A108" s="129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</row>
    <row r="109" ht="12.75" customHeight="1" spans="1:26">
      <c r="A109" s="129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</row>
    <row r="110" ht="12.75" customHeight="1" spans="1:26">
      <c r="A110" s="129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</row>
    <row r="111" ht="12.75" customHeight="1" spans="1:26">
      <c r="A111" s="129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</row>
    <row r="112" ht="12.75" customHeight="1" spans="1:26">
      <c r="A112" s="129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</row>
    <row r="113" ht="12.75" customHeight="1" spans="1:26">
      <c r="A113" s="129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</row>
    <row r="114" ht="12.75" customHeight="1" spans="1:26">
      <c r="A114" s="129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</row>
    <row r="115" ht="12.75" customHeight="1" spans="1:26">
      <c r="A115" s="129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</row>
    <row r="116" ht="12.75" customHeight="1" spans="1:26">
      <c r="A116" s="129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</row>
    <row r="117" ht="12.75" customHeight="1" spans="1:26">
      <c r="A117" s="129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</row>
    <row r="118" ht="12.75" customHeight="1" spans="1:26">
      <c r="A118" s="129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</row>
    <row r="119" ht="12.75" customHeight="1" spans="1:26">
      <c r="A119" s="129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</row>
    <row r="120" ht="12.75" customHeight="1" spans="1:26">
      <c r="A120" s="129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</row>
    <row r="121" ht="12.75" customHeight="1" spans="1:26">
      <c r="A121" s="129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</row>
    <row r="122" ht="12.75" customHeight="1" spans="1:26">
      <c r="A122" s="129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</row>
    <row r="123" ht="12.75" customHeight="1" spans="1:26">
      <c r="A123" s="129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</row>
    <row r="124" ht="12.75" customHeight="1" spans="1:26">
      <c r="A124" s="129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</row>
    <row r="125" ht="12.75" customHeight="1" spans="1:26">
      <c r="A125" s="129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</row>
    <row r="126" ht="12.75" customHeight="1" spans="1:26">
      <c r="A126" s="129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</row>
    <row r="127" ht="12.75" customHeight="1" spans="1:26">
      <c r="A127" s="129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</row>
    <row r="128" ht="12.75" customHeight="1" spans="1:26">
      <c r="A128" s="129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</row>
    <row r="129" ht="12.75" customHeight="1" spans="1:26">
      <c r="A129" s="129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</row>
    <row r="130" ht="12.75" customHeight="1" spans="1:26">
      <c r="A130" s="129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</row>
    <row r="131" ht="12.75" customHeight="1" spans="1:26">
      <c r="A131" s="129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</row>
    <row r="132" ht="12.75" customHeight="1" spans="1:26">
      <c r="A132" s="129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</row>
    <row r="133" ht="12.75" customHeight="1" spans="1:26">
      <c r="A133" s="129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</row>
    <row r="134" ht="12.75" customHeight="1" spans="1:26">
      <c r="A134" s="129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</row>
    <row r="135" ht="12.75" customHeight="1" spans="1:26">
      <c r="A135" s="129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</row>
    <row r="136" ht="12.75" customHeight="1" spans="1:26">
      <c r="A136" s="129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</row>
    <row r="137" ht="12.75" customHeight="1" spans="1:26">
      <c r="A137" s="129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</row>
    <row r="138" ht="12.75" customHeight="1" spans="1:26">
      <c r="A138" s="129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</row>
    <row r="139" ht="12.75" customHeight="1" spans="1:26">
      <c r="A139" s="129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</row>
    <row r="140" ht="12.75" customHeight="1" spans="1:26">
      <c r="A140" s="129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</row>
    <row r="141" ht="12.75" customHeight="1" spans="1:26">
      <c r="A141" s="129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</row>
    <row r="142" ht="12.75" customHeight="1" spans="1:26">
      <c r="A142" s="129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</row>
    <row r="143" ht="12.75" customHeight="1" spans="1:26">
      <c r="A143" s="129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</row>
    <row r="144" ht="12.75" customHeight="1" spans="1:26">
      <c r="A144" s="129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</row>
    <row r="145" ht="12.75" customHeight="1" spans="1:26">
      <c r="A145" s="129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</row>
    <row r="146" ht="12.75" customHeight="1" spans="1:26">
      <c r="A146" s="129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</row>
    <row r="147" ht="12.75" customHeight="1" spans="1:26">
      <c r="A147" s="129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</row>
    <row r="148" ht="12.75" customHeight="1" spans="1:26">
      <c r="A148" s="129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</row>
    <row r="149" ht="12.75" customHeight="1" spans="1:26">
      <c r="A149" s="129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</row>
    <row r="150" ht="12.75" customHeight="1" spans="1:26">
      <c r="A150" s="129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</row>
    <row r="151" ht="12.75" customHeight="1" spans="1:26">
      <c r="A151" s="129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</row>
    <row r="152" ht="12.75" customHeight="1" spans="1:26">
      <c r="A152" s="129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</row>
    <row r="153" ht="12.75" customHeight="1" spans="1:26">
      <c r="A153" s="129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</row>
    <row r="154" ht="12.75" customHeight="1" spans="1:26">
      <c r="A154" s="129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</row>
    <row r="155" ht="12.75" customHeight="1" spans="1:26">
      <c r="A155" s="129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</row>
    <row r="156" ht="12.75" customHeight="1" spans="1:26">
      <c r="A156" s="129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</row>
    <row r="157" ht="12.75" customHeight="1" spans="1:26">
      <c r="A157" s="129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</row>
    <row r="158" ht="12.75" customHeight="1" spans="1:26">
      <c r="A158" s="129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</row>
    <row r="159" ht="12.75" customHeight="1" spans="1:26">
      <c r="A159" s="129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</row>
    <row r="160" ht="12.75" customHeight="1" spans="1:26">
      <c r="A160" s="129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</row>
    <row r="161" ht="12.75" customHeight="1" spans="1:26">
      <c r="A161" s="129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</row>
    <row r="162" ht="12.75" customHeight="1" spans="1:26">
      <c r="A162" s="129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</row>
    <row r="163" ht="12.75" customHeight="1" spans="1:26">
      <c r="A163" s="129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</row>
    <row r="164" ht="12.75" customHeight="1" spans="1:26">
      <c r="A164" s="129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</row>
    <row r="165" ht="12.75" customHeight="1" spans="1:26">
      <c r="A165" s="129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</row>
    <row r="166" ht="12.75" customHeight="1" spans="1:26">
      <c r="A166" s="129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</row>
    <row r="167" ht="12.75" customHeight="1" spans="1:26">
      <c r="A167" s="129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</row>
    <row r="168" ht="12.75" customHeight="1" spans="1:26">
      <c r="A168" s="129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</row>
    <row r="169" ht="12.75" customHeight="1" spans="1:26">
      <c r="A169" s="129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</row>
    <row r="170" ht="12.75" customHeight="1" spans="1:26">
      <c r="A170" s="129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</row>
    <row r="171" ht="12.75" customHeight="1" spans="1:26">
      <c r="A171" s="129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</row>
    <row r="172" ht="12.75" customHeight="1" spans="1:26">
      <c r="A172" s="129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</row>
    <row r="173" ht="12.75" customHeight="1" spans="1:26">
      <c r="A173" s="129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</row>
    <row r="174" ht="12.75" customHeight="1" spans="1:26">
      <c r="A174" s="129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</row>
    <row r="175" ht="12.75" customHeight="1" spans="1:26">
      <c r="A175" s="129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</row>
    <row r="176" ht="12.75" customHeight="1" spans="1:26">
      <c r="A176" s="129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</row>
    <row r="177" ht="12.75" customHeight="1" spans="1:26">
      <c r="A177" s="129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</row>
    <row r="178" ht="12.75" customHeight="1" spans="1:26">
      <c r="A178" s="129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</row>
    <row r="179" ht="12.75" customHeight="1" spans="1:26">
      <c r="A179" s="129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</row>
    <row r="180" ht="12.75" customHeight="1" spans="1:26">
      <c r="A180" s="129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</row>
    <row r="181" ht="12.75" customHeight="1" spans="1:26">
      <c r="A181" s="129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</row>
    <row r="182" ht="12.75" customHeight="1" spans="1:26">
      <c r="A182" s="129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</row>
    <row r="183" ht="12.75" customHeight="1" spans="1:26">
      <c r="A183" s="129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</row>
    <row r="184" ht="12.75" customHeight="1" spans="1:26">
      <c r="A184" s="129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</row>
    <row r="185" ht="12.75" customHeight="1" spans="1:26">
      <c r="A185" s="129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</row>
    <row r="186" ht="12.75" customHeight="1" spans="1:26">
      <c r="A186" s="129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</row>
    <row r="187" ht="12.75" customHeight="1" spans="1:26">
      <c r="A187" s="129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</row>
    <row r="188" ht="12.75" customHeight="1" spans="1:26">
      <c r="A188" s="129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</row>
    <row r="189" ht="12.75" customHeight="1" spans="1:26">
      <c r="A189" s="129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</row>
    <row r="190" ht="12.75" customHeight="1" spans="1:26">
      <c r="A190" s="129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</row>
    <row r="191" ht="12.75" customHeight="1" spans="1:26">
      <c r="A191" s="129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</row>
    <row r="192" ht="12.75" customHeight="1" spans="1:26">
      <c r="A192" s="129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</row>
    <row r="193" ht="12.75" customHeight="1" spans="1:26">
      <c r="A193" s="129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</row>
    <row r="194" ht="12.75" customHeight="1" spans="1:26">
      <c r="A194" s="129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</row>
    <row r="195" ht="12.75" customHeight="1" spans="1:26">
      <c r="A195" s="129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</row>
    <row r="196" ht="12.75" customHeight="1" spans="1:26">
      <c r="A196" s="129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</row>
    <row r="197" ht="12.75" customHeight="1" spans="1:26">
      <c r="A197" s="129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</row>
    <row r="198" ht="12.75" customHeight="1" spans="1:26">
      <c r="A198" s="129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</row>
    <row r="199" ht="12.75" customHeight="1" spans="1:26">
      <c r="A199" s="129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</row>
    <row r="200" ht="12.75" customHeight="1" spans="1:26">
      <c r="A200" s="129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</row>
    <row r="201" ht="12.75" customHeight="1" spans="1:26">
      <c r="A201" s="129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</row>
    <row r="202" ht="12.75" customHeight="1" spans="1:26">
      <c r="A202" s="129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</row>
    <row r="203" ht="12.75" customHeight="1" spans="1:26">
      <c r="A203" s="129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</row>
    <row r="204" ht="12.75" customHeight="1" spans="1:26">
      <c r="A204" s="129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</row>
    <row r="205" ht="12.75" customHeight="1" spans="1:26">
      <c r="A205" s="129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</row>
    <row r="206" ht="12.75" customHeight="1" spans="1:26">
      <c r="A206" s="129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</row>
    <row r="207" ht="12.75" customHeight="1" spans="1:26">
      <c r="A207" s="129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</row>
    <row r="208" ht="12.75" customHeight="1" spans="1:26">
      <c r="A208" s="129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</row>
    <row r="209" ht="12.75" customHeight="1" spans="1:26">
      <c r="A209" s="129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</row>
    <row r="210" ht="12.75" customHeight="1" spans="1:26">
      <c r="A210" s="129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</row>
    <row r="211" ht="12.75" customHeight="1" spans="1:26">
      <c r="A211" s="129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</row>
    <row r="212" ht="12.75" customHeight="1" spans="1:26">
      <c r="A212" s="129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</row>
    <row r="213" ht="12.75" customHeight="1" spans="1:26">
      <c r="A213" s="129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</row>
    <row r="214" ht="12.75" customHeight="1" spans="1:26">
      <c r="A214" s="129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</row>
    <row r="215" ht="12.75" customHeight="1" spans="1:26">
      <c r="A215" s="129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</row>
    <row r="216" ht="12.75" customHeight="1" spans="1:26">
      <c r="A216" s="129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</row>
    <row r="217" ht="12.75" customHeight="1" spans="1:26">
      <c r="A217" s="129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</row>
    <row r="218" ht="12.75" customHeight="1" spans="1:26">
      <c r="A218" s="129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</row>
    <row r="219" ht="12.75" customHeight="1" spans="1:26">
      <c r="A219" s="129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</row>
    <row r="220" ht="12.75" customHeight="1" spans="1:26">
      <c r="A220" s="129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F2"/>
    <mergeCell ref="B4:D4"/>
    <mergeCell ref="B5:D5"/>
    <mergeCell ref="B6:D6"/>
  </mergeCells>
  <pageMargins left="0.7" right="0.7" top="0.75" bottom="0.75" header="0" footer="0"/>
  <pageSetup paperSize="1" orientation="landscape" useFirstPageNumber="1"/>
  <headerFooter>
    <oddFooter>&amp;L 02ae-BM/PM/HDCV/FSOFT v2/1&amp;CInternal use&amp;R&amp;P/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2.6271186440678" defaultRowHeight="13.05"/>
  <cols>
    <col min="1" max="1" width="7.1271186440678" customWidth="1"/>
    <col min="2" max="2" width="35.5" customWidth="1"/>
    <col min="3" max="3" width="15" customWidth="1"/>
    <col min="4" max="4" width="35.7542372881356" customWidth="1"/>
    <col min="5" max="5" width="21" customWidth="1"/>
    <col min="6" max="6" width="28.2542372881356" customWidth="1"/>
    <col min="7" max="7" width="61.7542372881356" customWidth="1"/>
    <col min="8" max="8" width="77.1271186440678" customWidth="1"/>
    <col min="9" max="26" width="10" customWidth="1"/>
  </cols>
  <sheetData>
    <row r="1" ht="12.75" customHeight="1" spans="1:26">
      <c r="A1" s="97"/>
      <c r="B1" s="97"/>
      <c r="C1" s="97"/>
      <c r="D1" s="98"/>
      <c r="E1" s="99"/>
      <c r="F1" s="98"/>
      <c r="G1" s="98"/>
      <c r="H1" s="98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24.75" customHeight="1" spans="1:26">
      <c r="A2" s="97"/>
      <c r="B2" s="97"/>
      <c r="C2" s="97"/>
      <c r="D2" s="98"/>
      <c r="E2" s="100" t="s">
        <v>93</v>
      </c>
      <c r="F2" s="100"/>
      <c r="G2" s="101"/>
      <c r="H2" s="98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13.5" customHeight="1" spans="1:26">
      <c r="A3" s="97"/>
      <c r="B3" s="97"/>
      <c r="C3" s="97"/>
      <c r="D3" s="98"/>
      <c r="E3" s="99"/>
      <c r="F3" s="102"/>
      <c r="G3" s="102"/>
      <c r="H3" s="98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14.25" customHeight="1" spans="1:26">
      <c r="A4" s="103" t="s">
        <v>46</v>
      </c>
      <c r="B4" s="76"/>
      <c r="C4" s="76"/>
      <c r="D4" s="76"/>
      <c r="E4" s="72" t="str">
        <f>Cover!B4</f>
        <v>IQGS – AI-Powered Interview Question Generation System Using RAG and LLM – A Dual-Sided Platform for HR and Job Seekers</v>
      </c>
      <c r="F4" s="76"/>
      <c r="G4" s="76"/>
      <c r="H4" s="73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4.25" customHeight="1" spans="1:26">
      <c r="A5" s="103" t="s">
        <v>50</v>
      </c>
      <c r="B5" s="76"/>
      <c r="C5" s="76"/>
      <c r="D5" s="76"/>
      <c r="E5" s="72" t="str">
        <f>Cover!B5</f>
        <v>SU26SE102</v>
      </c>
      <c r="F5" s="76"/>
      <c r="G5" s="76"/>
      <c r="H5" s="73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4.25" customHeight="1" spans="1:26">
      <c r="A6" s="104" t="s">
        <v>94</v>
      </c>
      <c r="B6" s="76"/>
      <c r="C6" s="76"/>
      <c r="D6" s="73"/>
      <c r="E6" s="72">
        <v>100</v>
      </c>
      <c r="F6" s="105"/>
      <c r="G6" s="105"/>
      <c r="H6" s="10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80" customHeight="1" spans="1:26">
      <c r="A7" s="107" t="s">
        <v>95</v>
      </c>
      <c r="B7" s="76"/>
      <c r="C7" s="76"/>
      <c r="D7" s="73"/>
      <c r="E7" s="108" t="s">
        <v>96</v>
      </c>
      <c r="F7" s="76"/>
      <c r="G7" s="76"/>
      <c r="H7" s="73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ht="12.75" customHeight="1" spans="1:26">
      <c r="A8" s="110"/>
      <c r="B8" s="110"/>
      <c r="C8" s="110"/>
      <c r="D8" s="66"/>
      <c r="E8" s="109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12.75" customHeight="1" spans="1:26">
      <c r="A9" s="111"/>
      <c r="B9" s="111"/>
      <c r="C9" s="111"/>
      <c r="D9" s="112"/>
      <c r="E9" s="113"/>
      <c r="F9" s="112"/>
      <c r="G9" s="112"/>
      <c r="H9" s="112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</row>
    <row r="10" ht="24" customHeight="1" spans="1:26">
      <c r="A10" s="115" t="s">
        <v>97</v>
      </c>
      <c r="B10" s="116" t="s">
        <v>98</v>
      </c>
      <c r="C10" s="117" t="s">
        <v>99</v>
      </c>
      <c r="D10" s="118" t="s">
        <v>100</v>
      </c>
      <c r="E10" s="119" t="s">
        <v>101</v>
      </c>
      <c r="F10" s="118" t="s">
        <v>102</v>
      </c>
      <c r="G10" s="120" t="s">
        <v>103</v>
      </c>
      <c r="H10" s="121" t="s">
        <v>104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 ht="39" customHeight="1" spans="1:26">
      <c r="A11" s="123">
        <v>1</v>
      </c>
      <c r="B11" s="124" t="s">
        <v>105</v>
      </c>
      <c r="C11" s="124" t="s">
        <v>106</v>
      </c>
      <c r="D11" s="125" t="s">
        <v>107</v>
      </c>
      <c r="E11" s="125" t="s">
        <v>108</v>
      </c>
      <c r="F11" s="126" t="s">
        <v>109</v>
      </c>
      <c r="G11" s="127" t="s">
        <v>110</v>
      </c>
      <c r="H11" s="128" t="s">
        <v>111</v>
      </c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39" customHeight="1" spans="1:26">
      <c r="A12" s="123">
        <v>2</v>
      </c>
      <c r="B12" s="124" t="s">
        <v>105</v>
      </c>
      <c r="C12" s="124" t="s">
        <v>112</v>
      </c>
      <c r="D12" s="125" t="s">
        <v>113</v>
      </c>
      <c r="E12" s="125" t="s">
        <v>114</v>
      </c>
      <c r="F12" s="126" t="s">
        <v>115</v>
      </c>
      <c r="G12" s="127" t="s">
        <v>116</v>
      </c>
      <c r="H12" s="128" t="s">
        <v>117</v>
      </c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27" customHeight="1" spans="1:26">
      <c r="A13" s="123">
        <v>3</v>
      </c>
      <c r="B13" s="124" t="s">
        <v>105</v>
      </c>
      <c r="C13" s="124" t="s">
        <v>118</v>
      </c>
      <c r="D13" s="125" t="s">
        <v>119</v>
      </c>
      <c r="E13" s="125" t="s">
        <v>120</v>
      </c>
      <c r="F13" s="126" t="s">
        <v>121</v>
      </c>
      <c r="G13" s="127" t="s">
        <v>122</v>
      </c>
      <c r="H13" s="128" t="s">
        <v>123</v>
      </c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27" customHeight="1" spans="1:26">
      <c r="A14" s="123">
        <v>4</v>
      </c>
      <c r="B14" s="124" t="s">
        <v>105</v>
      </c>
      <c r="C14" s="124" t="s">
        <v>118</v>
      </c>
      <c r="D14" s="125" t="s">
        <v>124</v>
      </c>
      <c r="E14" s="125" t="s">
        <v>125</v>
      </c>
      <c r="F14" s="126" t="s">
        <v>126</v>
      </c>
      <c r="G14" s="127" t="s">
        <v>127</v>
      </c>
      <c r="H14" s="128" t="s">
        <v>128</v>
      </c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27" customHeight="1" spans="1:26">
      <c r="A15" s="123">
        <v>5</v>
      </c>
      <c r="B15" s="124" t="s">
        <v>129</v>
      </c>
      <c r="C15" s="124" t="s">
        <v>130</v>
      </c>
      <c r="D15" s="125" t="s">
        <v>131</v>
      </c>
      <c r="E15" s="125" t="s">
        <v>132</v>
      </c>
      <c r="F15" s="126" t="s">
        <v>133</v>
      </c>
      <c r="G15" s="127" t="s">
        <v>134</v>
      </c>
      <c r="H15" s="128" t="s">
        <v>128</v>
      </c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27" customHeight="1" spans="1:26">
      <c r="A16" s="123">
        <v>6</v>
      </c>
      <c r="B16" s="124" t="s">
        <v>129</v>
      </c>
      <c r="C16" s="124" t="s">
        <v>135</v>
      </c>
      <c r="D16" s="125" t="s">
        <v>136</v>
      </c>
      <c r="E16" s="125" t="s">
        <v>137</v>
      </c>
      <c r="F16" s="126" t="s">
        <v>138</v>
      </c>
      <c r="G16" s="127" t="s">
        <v>139</v>
      </c>
      <c r="H16" s="128" t="s">
        <v>140</v>
      </c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39" customHeight="1" spans="1:26">
      <c r="A17" s="123">
        <v>7</v>
      </c>
      <c r="B17" s="124" t="s">
        <v>129</v>
      </c>
      <c r="C17" s="124" t="s">
        <v>135</v>
      </c>
      <c r="D17" s="125" t="s">
        <v>141</v>
      </c>
      <c r="E17" s="125" t="s">
        <v>142</v>
      </c>
      <c r="F17" s="126" t="s">
        <v>143</v>
      </c>
      <c r="G17" s="127" t="s">
        <v>144</v>
      </c>
      <c r="H17" s="128" t="s">
        <v>145</v>
      </c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27" customHeight="1" spans="1:26">
      <c r="A18" s="123">
        <v>8</v>
      </c>
      <c r="B18" s="124" t="s">
        <v>129</v>
      </c>
      <c r="C18" s="124" t="s">
        <v>135</v>
      </c>
      <c r="D18" s="125" t="s">
        <v>146</v>
      </c>
      <c r="E18" s="125" t="s">
        <v>147</v>
      </c>
      <c r="F18" s="126" t="s">
        <v>148</v>
      </c>
      <c r="G18" s="127" t="s">
        <v>149</v>
      </c>
      <c r="H18" s="128" t="s">
        <v>117</v>
      </c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39" customHeight="1" spans="1:26">
      <c r="A19" s="123">
        <v>9</v>
      </c>
      <c r="B19" s="124" t="s">
        <v>150</v>
      </c>
      <c r="C19" s="124" t="s">
        <v>151</v>
      </c>
      <c r="D19" s="125" t="s">
        <v>152</v>
      </c>
      <c r="E19" s="125" t="s">
        <v>153</v>
      </c>
      <c r="F19" s="126" t="s">
        <v>154</v>
      </c>
      <c r="G19" s="127" t="s">
        <v>155</v>
      </c>
      <c r="H19" s="128" t="s">
        <v>128</v>
      </c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27" customHeight="1" spans="1:26">
      <c r="A20" s="123">
        <v>10</v>
      </c>
      <c r="B20" s="124" t="s">
        <v>150</v>
      </c>
      <c r="C20" s="124" t="s">
        <v>151</v>
      </c>
      <c r="D20" s="125" t="s">
        <v>156</v>
      </c>
      <c r="E20" s="125" t="s">
        <v>157</v>
      </c>
      <c r="F20" s="126" t="s">
        <v>158</v>
      </c>
      <c r="G20" s="127" t="s">
        <v>159</v>
      </c>
      <c r="H20" s="128" t="s">
        <v>160</v>
      </c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27" customHeight="1" spans="1:26">
      <c r="A21" s="123">
        <v>11</v>
      </c>
      <c r="B21" s="124" t="s">
        <v>161</v>
      </c>
      <c r="C21" s="124" t="s">
        <v>162</v>
      </c>
      <c r="D21" s="125" t="s">
        <v>163</v>
      </c>
      <c r="E21" s="125" t="s">
        <v>164</v>
      </c>
      <c r="F21" s="126" t="s">
        <v>165</v>
      </c>
      <c r="G21" s="127" t="s">
        <v>166</v>
      </c>
      <c r="H21" s="128" t="s">
        <v>167</v>
      </c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51" customHeight="1" spans="1:26">
      <c r="A22" s="123">
        <v>12</v>
      </c>
      <c r="B22" s="124" t="s">
        <v>161</v>
      </c>
      <c r="C22" s="124" t="s">
        <v>168</v>
      </c>
      <c r="D22" s="125" t="s">
        <v>169</v>
      </c>
      <c r="E22" s="125" t="s">
        <v>170</v>
      </c>
      <c r="F22" s="126" t="s">
        <v>171</v>
      </c>
      <c r="G22" s="127" t="s">
        <v>172</v>
      </c>
      <c r="H22" s="128" t="s">
        <v>128</v>
      </c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27" customHeight="1" spans="1:26">
      <c r="A23" s="123">
        <v>13</v>
      </c>
      <c r="B23" s="124" t="s">
        <v>173</v>
      </c>
      <c r="C23" s="124" t="s">
        <v>174</v>
      </c>
      <c r="D23" s="125" t="s">
        <v>175</v>
      </c>
      <c r="E23" s="125" t="s">
        <v>176</v>
      </c>
      <c r="F23" s="126" t="s">
        <v>177</v>
      </c>
      <c r="G23" s="127" t="s">
        <v>178</v>
      </c>
      <c r="H23" s="128" t="s">
        <v>128</v>
      </c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27" customHeight="1" spans="1:26">
      <c r="A24" s="123">
        <v>14</v>
      </c>
      <c r="B24" s="124" t="s">
        <v>179</v>
      </c>
      <c r="C24" s="124" t="s">
        <v>180</v>
      </c>
      <c r="D24" s="125" t="s">
        <v>181</v>
      </c>
      <c r="E24" s="125" t="s">
        <v>182</v>
      </c>
      <c r="F24" s="126" t="s">
        <v>183</v>
      </c>
      <c r="G24" s="127" t="s">
        <v>184</v>
      </c>
      <c r="H24" s="128" t="s">
        <v>185</v>
      </c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27" customHeight="1" spans="1:26">
      <c r="A25" s="123">
        <v>15</v>
      </c>
      <c r="B25" s="124" t="s">
        <v>179</v>
      </c>
      <c r="C25" s="124" t="s">
        <v>186</v>
      </c>
      <c r="D25" s="125" t="s">
        <v>187</v>
      </c>
      <c r="E25" s="125" t="s">
        <v>188</v>
      </c>
      <c r="F25" s="126" t="s">
        <v>189</v>
      </c>
      <c r="G25" s="127" t="s">
        <v>190</v>
      </c>
      <c r="H25" s="128" t="s">
        <v>160</v>
      </c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27" customHeight="1" spans="1:26">
      <c r="A26" s="123">
        <v>16</v>
      </c>
      <c r="B26" s="124" t="s">
        <v>179</v>
      </c>
      <c r="C26" s="124" t="s">
        <v>191</v>
      </c>
      <c r="D26" s="125" t="s">
        <v>192</v>
      </c>
      <c r="E26" s="125" t="s">
        <v>193</v>
      </c>
      <c r="F26" s="126" t="s">
        <v>194</v>
      </c>
      <c r="G26" s="127" t="s">
        <v>195</v>
      </c>
      <c r="H26" s="128" t="s">
        <v>128</v>
      </c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39" customHeight="1" spans="1:26">
      <c r="A27" s="123">
        <v>17</v>
      </c>
      <c r="B27" s="124" t="s">
        <v>179</v>
      </c>
      <c r="C27" s="124" t="s">
        <v>196</v>
      </c>
      <c r="D27" s="125" t="s">
        <v>197</v>
      </c>
      <c r="E27" s="125" t="s">
        <v>198</v>
      </c>
      <c r="F27" s="126" t="s">
        <v>199</v>
      </c>
      <c r="G27" s="127" t="s">
        <v>200</v>
      </c>
      <c r="H27" s="128" t="s">
        <v>128</v>
      </c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51" customHeight="1" spans="1:26">
      <c r="A28" s="123">
        <v>18</v>
      </c>
      <c r="B28" s="124" t="s">
        <v>201</v>
      </c>
      <c r="C28" s="124" t="s">
        <v>202</v>
      </c>
      <c r="D28" s="125" t="s">
        <v>203</v>
      </c>
      <c r="E28" s="125" t="s">
        <v>204</v>
      </c>
      <c r="F28" s="126" t="s">
        <v>205</v>
      </c>
      <c r="G28" s="127" t="s">
        <v>206</v>
      </c>
      <c r="H28" s="128" t="s">
        <v>207</v>
      </c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27" customHeight="1" spans="1:26">
      <c r="A29" s="123">
        <v>19</v>
      </c>
      <c r="B29" s="124" t="s">
        <v>201</v>
      </c>
      <c r="C29" s="124" t="s">
        <v>208</v>
      </c>
      <c r="D29" s="125" t="s">
        <v>209</v>
      </c>
      <c r="E29" s="125" t="s">
        <v>210</v>
      </c>
      <c r="F29" s="126" t="s">
        <v>211</v>
      </c>
      <c r="G29" s="127" t="s">
        <v>212</v>
      </c>
      <c r="H29" s="128" t="s">
        <v>213</v>
      </c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27" customHeight="1" spans="1:26">
      <c r="A30" s="123">
        <v>20</v>
      </c>
      <c r="B30" s="124" t="s">
        <v>214</v>
      </c>
      <c r="C30" s="124" t="s">
        <v>215</v>
      </c>
      <c r="D30" s="125" t="s">
        <v>216</v>
      </c>
      <c r="E30" s="125" t="s">
        <v>217</v>
      </c>
      <c r="F30" s="126" t="s">
        <v>218</v>
      </c>
      <c r="G30" s="127" t="s">
        <v>219</v>
      </c>
      <c r="H30" s="128" t="s">
        <v>220</v>
      </c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27" customHeight="1" spans="1:26">
      <c r="A31" s="123">
        <v>21</v>
      </c>
      <c r="B31" s="124" t="s">
        <v>214</v>
      </c>
      <c r="C31" s="124" t="s">
        <v>221</v>
      </c>
      <c r="D31" s="125" t="s">
        <v>222</v>
      </c>
      <c r="E31" s="125" t="s">
        <v>223</v>
      </c>
      <c r="F31" s="126" t="s">
        <v>224</v>
      </c>
      <c r="G31" s="127" t="s">
        <v>225</v>
      </c>
      <c r="H31" s="128" t="s">
        <v>226</v>
      </c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27" customHeight="1" spans="1:26">
      <c r="A32" s="123">
        <v>22</v>
      </c>
      <c r="B32" s="124" t="s">
        <v>214</v>
      </c>
      <c r="C32" s="124" t="s">
        <v>227</v>
      </c>
      <c r="D32" s="125" t="s">
        <v>228</v>
      </c>
      <c r="E32" s="125" t="s">
        <v>229</v>
      </c>
      <c r="F32" s="126" t="s">
        <v>230</v>
      </c>
      <c r="G32" s="127" t="s">
        <v>231</v>
      </c>
      <c r="H32" s="128" t="s">
        <v>232</v>
      </c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27" customHeight="1" spans="1:26">
      <c r="A33" s="123">
        <v>23</v>
      </c>
      <c r="B33" s="124" t="s">
        <v>233</v>
      </c>
      <c r="C33" s="124" t="s">
        <v>234</v>
      </c>
      <c r="D33" s="125" t="s">
        <v>235</v>
      </c>
      <c r="E33" s="125" t="s">
        <v>236</v>
      </c>
      <c r="F33" s="126" t="s">
        <v>237</v>
      </c>
      <c r="G33" s="127" t="s">
        <v>238</v>
      </c>
      <c r="H33" s="128" t="s">
        <v>239</v>
      </c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5" customHeight="1" spans="1:26">
      <c r="A34" s="123">
        <v>24</v>
      </c>
      <c r="B34" s="124" t="s">
        <v>233</v>
      </c>
      <c r="C34" s="124" t="s">
        <v>240</v>
      </c>
      <c r="D34" s="125" t="s">
        <v>241</v>
      </c>
      <c r="E34" s="125" t="s">
        <v>242</v>
      </c>
      <c r="F34" s="126" t="s">
        <v>243</v>
      </c>
      <c r="G34" s="127" t="s">
        <v>244</v>
      </c>
      <c r="H34" s="128" t="s">
        <v>245</v>
      </c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39" customHeight="1" spans="1:26">
      <c r="A35" s="123">
        <v>25</v>
      </c>
      <c r="B35" s="124" t="s">
        <v>233</v>
      </c>
      <c r="C35" s="124" t="s">
        <v>240</v>
      </c>
      <c r="D35" s="125" t="s">
        <v>246</v>
      </c>
      <c r="E35" s="125" t="s">
        <v>247</v>
      </c>
      <c r="F35" s="126" t="s">
        <v>248</v>
      </c>
      <c r="G35" s="127" t="s">
        <v>249</v>
      </c>
      <c r="H35" s="128" t="s">
        <v>245</v>
      </c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27" customHeight="1" spans="1:26">
      <c r="A36" s="123">
        <v>26</v>
      </c>
      <c r="B36" s="124" t="s">
        <v>233</v>
      </c>
      <c r="C36" s="124" t="s">
        <v>250</v>
      </c>
      <c r="D36" s="125" t="s">
        <v>251</v>
      </c>
      <c r="E36" s="125" t="s">
        <v>252</v>
      </c>
      <c r="F36" s="126" t="s">
        <v>253</v>
      </c>
      <c r="G36" s="127" t="s">
        <v>254</v>
      </c>
      <c r="H36" s="128" t="s">
        <v>255</v>
      </c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27" customHeight="1" spans="1:26">
      <c r="A37" s="123">
        <v>27</v>
      </c>
      <c r="B37" s="124" t="s">
        <v>233</v>
      </c>
      <c r="C37" s="124" t="s">
        <v>256</v>
      </c>
      <c r="D37" s="125" t="s">
        <v>257</v>
      </c>
      <c r="E37" s="125" t="s">
        <v>258</v>
      </c>
      <c r="F37" s="126" t="s">
        <v>259</v>
      </c>
      <c r="G37" s="127" t="s">
        <v>260</v>
      </c>
      <c r="H37" s="128" t="s">
        <v>261</v>
      </c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27" customHeight="1" spans="1:26">
      <c r="A38" s="123">
        <v>28</v>
      </c>
      <c r="B38" s="124" t="s">
        <v>233</v>
      </c>
      <c r="C38" s="124" t="s">
        <v>262</v>
      </c>
      <c r="D38" s="125" t="s">
        <v>263</v>
      </c>
      <c r="E38" s="125" t="s">
        <v>264</v>
      </c>
      <c r="F38" s="126" t="s">
        <v>265</v>
      </c>
      <c r="G38" s="127" t="s">
        <v>266</v>
      </c>
      <c r="H38" s="128" t="s">
        <v>267</v>
      </c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27" customHeight="1" spans="1:26">
      <c r="A39" s="123">
        <v>29</v>
      </c>
      <c r="B39" s="124" t="s">
        <v>233</v>
      </c>
      <c r="C39" s="124" t="s">
        <v>262</v>
      </c>
      <c r="D39" s="125" t="s">
        <v>268</v>
      </c>
      <c r="E39" s="125" t="s">
        <v>269</v>
      </c>
      <c r="F39" s="126" t="s">
        <v>270</v>
      </c>
      <c r="G39" s="127" t="s">
        <v>271</v>
      </c>
      <c r="H39" s="128" t="s">
        <v>267</v>
      </c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27" customHeight="1" spans="1:26">
      <c r="A40" s="123">
        <v>30</v>
      </c>
      <c r="B40" s="124" t="s">
        <v>272</v>
      </c>
      <c r="C40" s="124" t="s">
        <v>273</v>
      </c>
      <c r="D40" s="125" t="s">
        <v>274</v>
      </c>
      <c r="E40" s="125" t="s">
        <v>275</v>
      </c>
      <c r="F40" s="126" t="s">
        <v>276</v>
      </c>
      <c r="G40" s="127" t="s">
        <v>277</v>
      </c>
      <c r="H40" s="128" t="s">
        <v>278</v>
      </c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39" customHeight="1" spans="1:26">
      <c r="A41" s="123">
        <v>31</v>
      </c>
      <c r="B41" s="124" t="s">
        <v>272</v>
      </c>
      <c r="C41" s="124" t="s">
        <v>279</v>
      </c>
      <c r="D41" s="125" t="s">
        <v>280</v>
      </c>
      <c r="E41" s="125" t="s">
        <v>281</v>
      </c>
      <c r="F41" s="126" t="s">
        <v>282</v>
      </c>
      <c r="G41" s="127" t="s">
        <v>283</v>
      </c>
      <c r="H41" s="128" t="s">
        <v>220</v>
      </c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39" customHeight="1" spans="1:26">
      <c r="A42" s="123">
        <v>32</v>
      </c>
      <c r="B42" s="124" t="s">
        <v>272</v>
      </c>
      <c r="C42" s="124" t="s">
        <v>284</v>
      </c>
      <c r="D42" s="125" t="s">
        <v>285</v>
      </c>
      <c r="E42" s="125" t="s">
        <v>286</v>
      </c>
      <c r="F42" s="126" t="s">
        <v>287</v>
      </c>
      <c r="G42" s="127" t="s">
        <v>288</v>
      </c>
      <c r="H42" s="128" t="s">
        <v>289</v>
      </c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27" customHeight="1" spans="1:26">
      <c r="A43" s="123">
        <v>33</v>
      </c>
      <c r="B43" s="124" t="s">
        <v>290</v>
      </c>
      <c r="C43" s="124" t="s">
        <v>291</v>
      </c>
      <c r="D43" s="125" t="s">
        <v>292</v>
      </c>
      <c r="E43" s="125" t="s">
        <v>293</v>
      </c>
      <c r="F43" s="126" t="s">
        <v>294</v>
      </c>
      <c r="G43" s="127" t="s">
        <v>295</v>
      </c>
      <c r="H43" s="128" t="s">
        <v>296</v>
      </c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27" customHeight="1" spans="1:26">
      <c r="A44" s="123">
        <v>34</v>
      </c>
      <c r="B44" s="124" t="s">
        <v>290</v>
      </c>
      <c r="C44" s="124" t="s">
        <v>297</v>
      </c>
      <c r="D44" s="125" t="s">
        <v>251</v>
      </c>
      <c r="E44" s="125" t="s">
        <v>298</v>
      </c>
      <c r="F44" s="126" t="s">
        <v>299</v>
      </c>
      <c r="G44" s="127" t="s">
        <v>300</v>
      </c>
      <c r="H44" s="128" t="s">
        <v>301</v>
      </c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27" customHeight="1" spans="1:26">
      <c r="A45" s="123">
        <v>35</v>
      </c>
      <c r="B45" s="124" t="s">
        <v>290</v>
      </c>
      <c r="C45" s="124" t="s">
        <v>302</v>
      </c>
      <c r="D45" s="125" t="s">
        <v>303</v>
      </c>
      <c r="E45" s="125" t="s">
        <v>304</v>
      </c>
      <c r="F45" s="126" t="s">
        <v>305</v>
      </c>
      <c r="G45" s="127" t="s">
        <v>306</v>
      </c>
      <c r="H45" s="128" t="s">
        <v>307</v>
      </c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27" customHeight="1" spans="1:26">
      <c r="A46" s="123">
        <v>36</v>
      </c>
      <c r="B46" s="124" t="s">
        <v>290</v>
      </c>
      <c r="C46" s="124" t="s">
        <v>308</v>
      </c>
      <c r="D46" s="125" t="s">
        <v>251</v>
      </c>
      <c r="E46" s="125" t="s">
        <v>309</v>
      </c>
      <c r="F46" s="126" t="s">
        <v>310</v>
      </c>
      <c r="G46" s="127" t="s">
        <v>311</v>
      </c>
      <c r="H46" s="128" t="s">
        <v>312</v>
      </c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39" customHeight="1" spans="1:26">
      <c r="A47" s="123">
        <v>37</v>
      </c>
      <c r="B47" s="124" t="s">
        <v>290</v>
      </c>
      <c r="C47" s="124" t="s">
        <v>313</v>
      </c>
      <c r="D47" s="125" t="s">
        <v>314</v>
      </c>
      <c r="E47" s="125" t="s">
        <v>315</v>
      </c>
      <c r="F47" s="126" t="s">
        <v>316</v>
      </c>
      <c r="G47" s="127" t="s">
        <v>317</v>
      </c>
      <c r="H47" s="128" t="s">
        <v>318</v>
      </c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27" customHeight="1" spans="1:26">
      <c r="A48" s="123">
        <v>38</v>
      </c>
      <c r="B48" s="124" t="s">
        <v>290</v>
      </c>
      <c r="C48" s="124" t="s">
        <v>319</v>
      </c>
      <c r="D48" s="125" t="s">
        <v>320</v>
      </c>
      <c r="E48" s="125" t="s">
        <v>321</v>
      </c>
      <c r="F48" s="126" t="s">
        <v>322</v>
      </c>
      <c r="G48" s="127" t="s">
        <v>323</v>
      </c>
      <c r="H48" s="128" t="s">
        <v>324</v>
      </c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27" customHeight="1" spans="1:26">
      <c r="A49" s="123">
        <v>39</v>
      </c>
      <c r="B49" s="124" t="s">
        <v>325</v>
      </c>
      <c r="C49" s="124" t="s">
        <v>326</v>
      </c>
      <c r="D49" s="125" t="s">
        <v>327</v>
      </c>
      <c r="E49" s="125" t="s">
        <v>328</v>
      </c>
      <c r="F49" s="126" t="s">
        <v>329</v>
      </c>
      <c r="G49" s="127" t="s">
        <v>330</v>
      </c>
      <c r="H49" s="128" t="s">
        <v>331</v>
      </c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27" customHeight="1" spans="1:26">
      <c r="A50" s="123">
        <v>40</v>
      </c>
      <c r="B50" s="124" t="s">
        <v>332</v>
      </c>
      <c r="C50" s="124" t="s">
        <v>333</v>
      </c>
      <c r="D50" s="125" t="s">
        <v>334</v>
      </c>
      <c r="E50" s="125" t="s">
        <v>335</v>
      </c>
      <c r="F50" s="126" t="s">
        <v>336</v>
      </c>
      <c r="G50" s="127" t="s">
        <v>337</v>
      </c>
      <c r="H50" s="128" t="s">
        <v>338</v>
      </c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27" customHeight="1" spans="1:26">
      <c r="A51" s="123">
        <v>41</v>
      </c>
      <c r="B51" s="124" t="s">
        <v>339</v>
      </c>
      <c r="C51" s="124" t="s">
        <v>340</v>
      </c>
      <c r="D51" s="125" t="s">
        <v>341</v>
      </c>
      <c r="E51" s="125" t="s">
        <v>342</v>
      </c>
      <c r="F51" s="126" t="s">
        <v>343</v>
      </c>
      <c r="G51" s="127" t="s">
        <v>344</v>
      </c>
      <c r="H51" s="128" t="s">
        <v>345</v>
      </c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27" customHeight="1" spans="1:26">
      <c r="A52" s="123">
        <v>42</v>
      </c>
      <c r="B52" s="124" t="s">
        <v>339</v>
      </c>
      <c r="C52" s="124" t="s">
        <v>346</v>
      </c>
      <c r="D52" s="125" t="s">
        <v>347</v>
      </c>
      <c r="E52" s="125" t="s">
        <v>348</v>
      </c>
      <c r="F52" s="126" t="s">
        <v>349</v>
      </c>
      <c r="G52" s="127" t="s">
        <v>350</v>
      </c>
      <c r="H52" s="128" t="s">
        <v>351</v>
      </c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27" customHeight="1" spans="1:26">
      <c r="A53" s="123">
        <v>43</v>
      </c>
      <c r="B53" s="124" t="s">
        <v>339</v>
      </c>
      <c r="C53" s="124" t="s">
        <v>352</v>
      </c>
      <c r="D53" s="125" t="s">
        <v>353</v>
      </c>
      <c r="E53" s="125" t="s">
        <v>354</v>
      </c>
      <c r="F53" s="126" t="s">
        <v>355</v>
      </c>
      <c r="G53" s="127" t="s">
        <v>356</v>
      </c>
      <c r="H53" s="128" t="s">
        <v>357</v>
      </c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51" customHeight="1" spans="1:26">
      <c r="A54" s="123">
        <v>44</v>
      </c>
      <c r="B54" s="124" t="s">
        <v>339</v>
      </c>
      <c r="C54" s="124" t="s">
        <v>358</v>
      </c>
      <c r="D54" s="125" t="s">
        <v>359</v>
      </c>
      <c r="E54" s="125" t="s">
        <v>360</v>
      </c>
      <c r="F54" s="126" t="s">
        <v>361</v>
      </c>
      <c r="G54" s="127" t="s">
        <v>362</v>
      </c>
      <c r="H54" s="128" t="s">
        <v>363</v>
      </c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27" customHeight="1" spans="1:26">
      <c r="A55" s="123">
        <v>45</v>
      </c>
      <c r="B55" s="124" t="s">
        <v>339</v>
      </c>
      <c r="C55" s="124" t="s">
        <v>364</v>
      </c>
      <c r="D55" s="125" t="s">
        <v>365</v>
      </c>
      <c r="E55" s="125" t="s">
        <v>366</v>
      </c>
      <c r="F55" s="126" t="s">
        <v>367</v>
      </c>
      <c r="G55" s="127" t="s">
        <v>368</v>
      </c>
      <c r="H55" s="128" t="s">
        <v>369</v>
      </c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27" customHeight="1" spans="1:26">
      <c r="A56" s="123">
        <v>46</v>
      </c>
      <c r="B56" s="124" t="s">
        <v>339</v>
      </c>
      <c r="C56" s="124" t="s">
        <v>370</v>
      </c>
      <c r="D56" s="125" t="s">
        <v>371</v>
      </c>
      <c r="E56" s="125" t="s">
        <v>372</v>
      </c>
      <c r="F56" s="126" t="s">
        <v>373</v>
      </c>
      <c r="G56" s="127" t="s">
        <v>374</v>
      </c>
      <c r="H56" s="128" t="s">
        <v>375</v>
      </c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27" customHeight="1" spans="1:26">
      <c r="A57" s="123">
        <v>47</v>
      </c>
      <c r="B57" s="124" t="s">
        <v>339</v>
      </c>
      <c r="C57" s="124" t="s">
        <v>376</v>
      </c>
      <c r="D57" s="125" t="s">
        <v>377</v>
      </c>
      <c r="E57" s="125" t="s">
        <v>378</v>
      </c>
      <c r="F57" s="126" t="s">
        <v>379</v>
      </c>
      <c r="G57" s="127" t="s">
        <v>380</v>
      </c>
      <c r="H57" s="128" t="s">
        <v>357</v>
      </c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27" customHeight="1" spans="1:26">
      <c r="A58" s="123">
        <v>48</v>
      </c>
      <c r="B58" s="124" t="s">
        <v>339</v>
      </c>
      <c r="C58" s="124" t="s">
        <v>381</v>
      </c>
      <c r="D58" s="125" t="s">
        <v>382</v>
      </c>
      <c r="E58" s="125" t="s">
        <v>383</v>
      </c>
      <c r="F58" s="126" t="s">
        <v>384</v>
      </c>
      <c r="G58" s="127" t="s">
        <v>385</v>
      </c>
      <c r="H58" s="128" t="s">
        <v>386</v>
      </c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27" customHeight="1" spans="1:26">
      <c r="A59" s="123">
        <v>49</v>
      </c>
      <c r="B59" s="124" t="s">
        <v>339</v>
      </c>
      <c r="C59" s="124" t="s">
        <v>387</v>
      </c>
      <c r="D59" s="125" t="s">
        <v>388</v>
      </c>
      <c r="E59" s="125" t="s">
        <v>389</v>
      </c>
      <c r="F59" s="126" t="s">
        <v>390</v>
      </c>
      <c r="G59" s="127" t="s">
        <v>391</v>
      </c>
      <c r="H59" s="128" t="s">
        <v>392</v>
      </c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27" customHeight="1" spans="1:26">
      <c r="A60" s="123">
        <v>50</v>
      </c>
      <c r="B60" s="124" t="s">
        <v>339</v>
      </c>
      <c r="C60" s="124" t="s">
        <v>393</v>
      </c>
      <c r="D60" s="125" t="s">
        <v>394</v>
      </c>
      <c r="E60" s="125" t="s">
        <v>395</v>
      </c>
      <c r="F60" s="126" t="s">
        <v>396</v>
      </c>
      <c r="G60" s="127" t="s">
        <v>397</v>
      </c>
      <c r="H60" s="128" t="s">
        <v>398</v>
      </c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27" customHeight="1" spans="1:26">
      <c r="A61" s="123">
        <v>51</v>
      </c>
      <c r="B61" s="124" t="s">
        <v>339</v>
      </c>
      <c r="C61" s="124" t="s">
        <v>399</v>
      </c>
      <c r="D61" s="125" t="s">
        <v>400</v>
      </c>
      <c r="E61" s="125" t="s">
        <v>401</v>
      </c>
      <c r="F61" s="126" t="s">
        <v>402</v>
      </c>
      <c r="G61" s="127" t="s">
        <v>403</v>
      </c>
      <c r="H61" s="128" t="s">
        <v>404</v>
      </c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51" customHeight="1" spans="1:26">
      <c r="A62" s="123">
        <v>52</v>
      </c>
      <c r="B62" s="124" t="s">
        <v>339</v>
      </c>
      <c r="C62" s="124" t="s">
        <v>405</v>
      </c>
      <c r="D62" s="125" t="s">
        <v>406</v>
      </c>
      <c r="E62" s="125" t="s">
        <v>407</v>
      </c>
      <c r="F62" s="126" t="s">
        <v>408</v>
      </c>
      <c r="G62" s="127" t="s">
        <v>409</v>
      </c>
      <c r="H62" s="128" t="s">
        <v>410</v>
      </c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39" customHeight="1" spans="1:26">
      <c r="A63" s="123">
        <v>53</v>
      </c>
      <c r="B63" s="124" t="s">
        <v>339</v>
      </c>
      <c r="C63" s="124" t="s">
        <v>411</v>
      </c>
      <c r="D63" s="125" t="s">
        <v>412</v>
      </c>
      <c r="E63" s="125" t="s">
        <v>413</v>
      </c>
      <c r="F63" s="126" t="s">
        <v>414</v>
      </c>
      <c r="G63" s="127" t="s">
        <v>415</v>
      </c>
      <c r="H63" s="128" t="s">
        <v>416</v>
      </c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27" customHeight="1" spans="1:26">
      <c r="A64" s="123">
        <v>54</v>
      </c>
      <c r="B64" s="124" t="s">
        <v>339</v>
      </c>
      <c r="C64" s="124" t="s">
        <v>417</v>
      </c>
      <c r="D64" s="125" t="s">
        <v>418</v>
      </c>
      <c r="E64" s="125" t="s">
        <v>419</v>
      </c>
      <c r="F64" s="126" t="s">
        <v>420</v>
      </c>
      <c r="G64" s="127" t="s">
        <v>421</v>
      </c>
      <c r="H64" s="128" t="s">
        <v>422</v>
      </c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27" customHeight="1" spans="1:26">
      <c r="A65" s="123">
        <v>55</v>
      </c>
      <c r="B65" s="124" t="s">
        <v>423</v>
      </c>
      <c r="C65" s="124" t="s">
        <v>424</v>
      </c>
      <c r="D65" s="125" t="s">
        <v>425</v>
      </c>
      <c r="E65" s="125" t="s">
        <v>426</v>
      </c>
      <c r="F65" s="126" t="s">
        <v>427</v>
      </c>
      <c r="G65" s="127" t="s">
        <v>428</v>
      </c>
      <c r="H65" s="128" t="s">
        <v>429</v>
      </c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27" customHeight="1" spans="1:26">
      <c r="A66" s="123">
        <v>56</v>
      </c>
      <c r="B66" s="124" t="s">
        <v>423</v>
      </c>
      <c r="C66" s="124" t="s">
        <v>430</v>
      </c>
      <c r="D66" s="125" t="s">
        <v>431</v>
      </c>
      <c r="E66" s="125" t="s">
        <v>432</v>
      </c>
      <c r="F66" s="126" t="s">
        <v>433</v>
      </c>
      <c r="G66" s="127" t="s">
        <v>434</v>
      </c>
      <c r="H66" s="128" t="s">
        <v>435</v>
      </c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27" customHeight="1" spans="1:26">
      <c r="A67" s="123">
        <v>57</v>
      </c>
      <c r="B67" s="124" t="s">
        <v>423</v>
      </c>
      <c r="C67" s="124" t="s">
        <v>430</v>
      </c>
      <c r="D67" s="125" t="s">
        <v>436</v>
      </c>
      <c r="E67" s="125" t="s">
        <v>437</v>
      </c>
      <c r="F67" s="126" t="s">
        <v>438</v>
      </c>
      <c r="G67" s="127" t="s">
        <v>439</v>
      </c>
      <c r="H67" s="128" t="s">
        <v>440</v>
      </c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2.75" customHeight="1" spans="1:26"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2.75" customHeight="1" spans="1:26"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2.75" customHeight="1" spans="1:26"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2.75" customHeight="1" spans="1:26"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2.75" customHeight="1" spans="1:26"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2.75" customHeight="1" spans="1:26"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2.75" customHeight="1" spans="1:26"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2.75" customHeight="1" spans="1:26"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2.75" customHeight="1" spans="1:26"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2.75" customHeight="1" spans="1:26"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2.75" customHeight="1" spans="1:26"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2.75" customHeight="1" spans="1:26"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2.75" customHeight="1" spans="1:26"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2.75" customHeight="1" spans="1:26">
      <c r="A81" s="97"/>
      <c r="B81" s="97"/>
      <c r="C81" s="97"/>
      <c r="D81" s="98"/>
      <c r="E81" s="99"/>
      <c r="F81" s="98"/>
      <c r="G81" s="98"/>
      <c r="H81" s="98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2.75" customHeight="1" spans="1:26">
      <c r="A82" s="97"/>
      <c r="B82" s="97"/>
      <c r="C82" s="97"/>
      <c r="D82" s="98"/>
      <c r="E82" s="99"/>
      <c r="F82" s="98"/>
      <c r="G82" s="98"/>
      <c r="H82" s="98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2.75" customHeight="1" spans="1:26">
      <c r="A83" s="97"/>
      <c r="B83" s="97"/>
      <c r="C83" s="97"/>
      <c r="D83" s="98"/>
      <c r="E83" s="99"/>
      <c r="F83" s="98"/>
      <c r="G83" s="98"/>
      <c r="H83" s="98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2.75" customHeight="1" spans="1:26">
      <c r="A84" s="97"/>
      <c r="B84" s="97"/>
      <c r="C84" s="97"/>
      <c r="D84" s="98"/>
      <c r="E84" s="99"/>
      <c r="F84" s="98"/>
      <c r="G84" s="98"/>
      <c r="H84" s="98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2.75" customHeight="1" spans="1:26">
      <c r="A85" s="97"/>
      <c r="B85" s="97"/>
      <c r="C85" s="97"/>
      <c r="D85" s="98"/>
      <c r="E85" s="99"/>
      <c r="F85" s="98"/>
      <c r="G85" s="98"/>
      <c r="H85" s="98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2.75" customHeight="1" spans="1:26">
      <c r="A86" s="97"/>
      <c r="B86" s="97"/>
      <c r="C86" s="97"/>
      <c r="D86" s="98"/>
      <c r="E86" s="99"/>
      <c r="F86" s="98"/>
      <c r="G86" s="98"/>
      <c r="H86" s="98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2.75" customHeight="1" spans="1:26">
      <c r="A87" s="97"/>
      <c r="B87" s="97"/>
      <c r="C87" s="97"/>
      <c r="D87" s="98"/>
      <c r="E87" s="99"/>
      <c r="F87" s="98"/>
      <c r="G87" s="98"/>
      <c r="H87" s="98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2.75" customHeight="1" spans="1:26">
      <c r="A88" s="97"/>
      <c r="B88" s="97"/>
      <c r="C88" s="97"/>
      <c r="D88" s="98"/>
      <c r="E88" s="99"/>
      <c r="F88" s="98"/>
      <c r="G88" s="98"/>
      <c r="H88" s="98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2.75" customHeight="1" spans="1:26">
      <c r="A89" s="97"/>
      <c r="B89" s="97"/>
      <c r="C89" s="97"/>
      <c r="D89" s="98"/>
      <c r="E89" s="99"/>
      <c r="F89" s="98"/>
      <c r="G89" s="98"/>
      <c r="H89" s="98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2.75" customHeight="1" spans="1:26">
      <c r="A90" s="97"/>
      <c r="B90" s="97"/>
      <c r="C90" s="97"/>
      <c r="D90" s="98"/>
      <c r="E90" s="99"/>
      <c r="F90" s="98"/>
      <c r="G90" s="98"/>
      <c r="H90" s="98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2.75" customHeight="1" spans="1:26">
      <c r="A91" s="97"/>
      <c r="B91" s="97"/>
      <c r="C91" s="97"/>
      <c r="D91" s="98"/>
      <c r="E91" s="99"/>
      <c r="F91" s="98"/>
      <c r="G91" s="98"/>
      <c r="H91" s="98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2.75" customHeight="1" spans="1:26">
      <c r="A92" s="97"/>
      <c r="B92" s="97"/>
      <c r="C92" s="97"/>
      <c r="D92" s="98"/>
      <c r="E92" s="99"/>
      <c r="F92" s="98"/>
      <c r="G92" s="98"/>
      <c r="H92" s="98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2.75" customHeight="1" spans="1:26">
      <c r="A93" s="97"/>
      <c r="B93" s="97"/>
      <c r="C93" s="97"/>
      <c r="D93" s="98"/>
      <c r="E93" s="99"/>
      <c r="F93" s="98"/>
      <c r="G93" s="98"/>
      <c r="H93" s="98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2.75" customHeight="1" spans="1:26">
      <c r="A94" s="97"/>
      <c r="B94" s="97"/>
      <c r="C94" s="97"/>
      <c r="D94" s="98"/>
      <c r="E94" s="99"/>
      <c r="F94" s="98"/>
      <c r="G94" s="98"/>
      <c r="H94" s="98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2.75" customHeight="1" spans="1:26">
      <c r="A95" s="97"/>
      <c r="B95" s="97"/>
      <c r="C95" s="97"/>
      <c r="D95" s="98"/>
      <c r="E95" s="99"/>
      <c r="F95" s="98"/>
      <c r="G95" s="98"/>
      <c r="H95" s="98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2.75" customHeight="1" spans="1:26">
      <c r="A96" s="97"/>
      <c r="B96" s="97"/>
      <c r="C96" s="97"/>
      <c r="D96" s="98"/>
      <c r="E96" s="99"/>
      <c r="F96" s="98"/>
      <c r="G96" s="98"/>
      <c r="H96" s="98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2.75" customHeight="1" spans="1:26">
      <c r="A97" s="97"/>
      <c r="B97" s="97"/>
      <c r="C97" s="97"/>
      <c r="D97" s="98"/>
      <c r="E97" s="99"/>
      <c r="F97" s="98"/>
      <c r="G97" s="98"/>
      <c r="H97" s="98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2.75" customHeight="1" spans="1:26">
      <c r="A98" s="97"/>
      <c r="B98" s="97"/>
      <c r="C98" s="97"/>
      <c r="D98" s="98"/>
      <c r="E98" s="99"/>
      <c r="F98" s="98"/>
      <c r="G98" s="98"/>
      <c r="H98" s="98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2.75" customHeight="1" spans="1:26">
      <c r="A99" s="97"/>
      <c r="B99" s="97"/>
      <c r="C99" s="97"/>
      <c r="D99" s="98"/>
      <c r="E99" s="99"/>
      <c r="F99" s="98"/>
      <c r="G99" s="98"/>
      <c r="H99" s="98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2.75" customHeight="1" spans="1:26">
      <c r="A100" s="97"/>
      <c r="B100" s="97"/>
      <c r="C100" s="97"/>
      <c r="D100" s="98"/>
      <c r="E100" s="99"/>
      <c r="F100" s="98"/>
      <c r="G100" s="98"/>
      <c r="H100" s="98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2.75" customHeight="1" spans="1:26">
      <c r="A101" s="97"/>
      <c r="B101" s="97"/>
      <c r="C101" s="97"/>
      <c r="D101" s="98"/>
      <c r="E101" s="99"/>
      <c r="F101" s="98"/>
      <c r="G101" s="98"/>
      <c r="H101" s="98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2.75" customHeight="1" spans="1:26">
      <c r="A102" s="97"/>
      <c r="B102" s="97"/>
      <c r="C102" s="97"/>
      <c r="D102" s="98"/>
      <c r="E102" s="99"/>
      <c r="F102" s="98"/>
      <c r="G102" s="98"/>
      <c r="H102" s="98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2.75" customHeight="1" spans="1:26">
      <c r="A103" s="97"/>
      <c r="B103" s="97"/>
      <c r="C103" s="97"/>
      <c r="D103" s="98"/>
      <c r="E103" s="99"/>
      <c r="F103" s="98"/>
      <c r="G103" s="98"/>
      <c r="H103" s="98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2.75" customHeight="1" spans="1:26">
      <c r="A104" s="97"/>
      <c r="B104" s="97"/>
      <c r="C104" s="97"/>
      <c r="D104" s="98"/>
      <c r="E104" s="99"/>
      <c r="F104" s="98"/>
      <c r="G104" s="98"/>
      <c r="H104" s="98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2.75" customHeight="1" spans="1:26">
      <c r="A105" s="97"/>
      <c r="B105" s="97"/>
      <c r="C105" s="97"/>
      <c r="D105" s="98"/>
      <c r="E105" s="99"/>
      <c r="F105" s="98"/>
      <c r="G105" s="98"/>
      <c r="H105" s="98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2.75" customHeight="1" spans="1:26">
      <c r="A106" s="97"/>
      <c r="B106" s="97"/>
      <c r="C106" s="97"/>
      <c r="D106" s="98"/>
      <c r="E106" s="99"/>
      <c r="F106" s="98"/>
      <c r="G106" s="98"/>
      <c r="H106" s="98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2.75" customHeight="1" spans="1:26">
      <c r="A107" s="97"/>
      <c r="B107" s="97"/>
      <c r="C107" s="97"/>
      <c r="D107" s="98"/>
      <c r="E107" s="99"/>
      <c r="F107" s="98"/>
      <c r="G107" s="98"/>
      <c r="H107" s="98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2.75" customHeight="1" spans="1:26">
      <c r="A108" s="97"/>
      <c r="B108" s="97"/>
      <c r="C108" s="97"/>
      <c r="D108" s="98"/>
      <c r="E108" s="99"/>
      <c r="F108" s="98"/>
      <c r="G108" s="98"/>
      <c r="H108" s="98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2.75" customHeight="1" spans="1:26">
      <c r="A109" s="97"/>
      <c r="B109" s="97"/>
      <c r="C109" s="97"/>
      <c r="D109" s="98"/>
      <c r="E109" s="99"/>
      <c r="F109" s="98"/>
      <c r="G109" s="98"/>
      <c r="H109" s="98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2.75" customHeight="1" spans="1:26">
      <c r="A110" s="97"/>
      <c r="B110" s="97"/>
      <c r="C110" s="97"/>
      <c r="D110" s="98"/>
      <c r="E110" s="99"/>
      <c r="F110" s="98"/>
      <c r="G110" s="98"/>
      <c r="H110" s="98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2.75" customHeight="1" spans="1:26">
      <c r="A111" s="97"/>
      <c r="B111" s="97"/>
      <c r="C111" s="97"/>
      <c r="D111" s="98"/>
      <c r="E111" s="99"/>
      <c r="F111" s="98"/>
      <c r="G111" s="98"/>
      <c r="H111" s="98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2.75" customHeight="1" spans="1:26">
      <c r="A112" s="97"/>
      <c r="B112" s="97"/>
      <c r="C112" s="97"/>
      <c r="D112" s="98"/>
      <c r="E112" s="99"/>
      <c r="F112" s="98"/>
      <c r="G112" s="98"/>
      <c r="H112" s="98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2.75" customHeight="1" spans="1:26">
      <c r="A113" s="97"/>
      <c r="B113" s="97"/>
      <c r="C113" s="97"/>
      <c r="D113" s="98"/>
      <c r="E113" s="99"/>
      <c r="F113" s="98"/>
      <c r="G113" s="98"/>
      <c r="H113" s="98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2.75" customHeight="1" spans="1:26">
      <c r="A114" s="97"/>
      <c r="B114" s="97"/>
      <c r="C114" s="97"/>
      <c r="D114" s="98"/>
      <c r="E114" s="99"/>
      <c r="F114" s="98"/>
      <c r="G114" s="98"/>
      <c r="H114" s="98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2.75" customHeight="1" spans="1:26">
      <c r="A115" s="97"/>
      <c r="B115" s="97"/>
      <c r="C115" s="97"/>
      <c r="D115" s="98"/>
      <c r="E115" s="99"/>
      <c r="F115" s="98"/>
      <c r="G115" s="98"/>
      <c r="H115" s="98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2.75" customHeight="1" spans="1:26">
      <c r="A116" s="97"/>
      <c r="B116" s="97"/>
      <c r="C116" s="97"/>
      <c r="D116" s="98"/>
      <c r="E116" s="99"/>
      <c r="F116" s="98"/>
      <c r="G116" s="98"/>
      <c r="H116" s="98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2.75" customHeight="1" spans="1:26">
      <c r="A117" s="97"/>
      <c r="B117" s="97"/>
      <c r="C117" s="97"/>
      <c r="D117" s="98"/>
      <c r="E117" s="99"/>
      <c r="F117" s="98"/>
      <c r="G117" s="98"/>
      <c r="H117" s="98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2.75" customHeight="1" spans="1:26">
      <c r="A118" s="97"/>
      <c r="B118" s="97"/>
      <c r="C118" s="97"/>
      <c r="D118" s="98"/>
      <c r="E118" s="99"/>
      <c r="F118" s="98"/>
      <c r="G118" s="98"/>
      <c r="H118" s="98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2.75" customHeight="1" spans="1:26">
      <c r="A119" s="97"/>
      <c r="B119" s="97"/>
      <c r="C119" s="97"/>
      <c r="D119" s="98"/>
      <c r="E119" s="99"/>
      <c r="F119" s="98"/>
      <c r="G119" s="98"/>
      <c r="H119" s="98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2.75" customHeight="1" spans="1:26">
      <c r="A120" s="97"/>
      <c r="B120" s="97"/>
      <c r="C120" s="97"/>
      <c r="D120" s="98"/>
      <c r="E120" s="99"/>
      <c r="F120" s="98"/>
      <c r="G120" s="98"/>
      <c r="H120" s="98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2.75" customHeight="1" spans="1:26">
      <c r="A121" s="97"/>
      <c r="B121" s="97"/>
      <c r="C121" s="97"/>
      <c r="D121" s="98"/>
      <c r="E121" s="99"/>
      <c r="F121" s="98"/>
      <c r="G121" s="98"/>
      <c r="H121" s="98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2.75" customHeight="1" spans="1:26">
      <c r="A122" s="97"/>
      <c r="B122" s="97"/>
      <c r="C122" s="97"/>
      <c r="D122" s="98"/>
      <c r="E122" s="99"/>
      <c r="F122" s="98"/>
      <c r="G122" s="98"/>
      <c r="H122" s="98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2.75" customHeight="1" spans="1:26">
      <c r="A123" s="97"/>
      <c r="B123" s="97"/>
      <c r="C123" s="97"/>
      <c r="D123" s="98"/>
      <c r="E123" s="99"/>
      <c r="F123" s="98"/>
      <c r="G123" s="98"/>
      <c r="H123" s="98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2.75" customHeight="1" spans="1:26">
      <c r="A124" s="97"/>
      <c r="B124" s="97"/>
      <c r="C124" s="97"/>
      <c r="D124" s="98"/>
      <c r="E124" s="99"/>
      <c r="F124" s="98"/>
      <c r="G124" s="98"/>
      <c r="H124" s="98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2.75" customHeight="1" spans="1:26">
      <c r="A125" s="97"/>
      <c r="B125" s="97"/>
      <c r="C125" s="97"/>
      <c r="D125" s="98"/>
      <c r="E125" s="99"/>
      <c r="F125" s="98"/>
      <c r="G125" s="98"/>
      <c r="H125" s="98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2.75" customHeight="1" spans="1:26">
      <c r="A126" s="97"/>
      <c r="B126" s="97"/>
      <c r="C126" s="97"/>
      <c r="D126" s="98"/>
      <c r="E126" s="99"/>
      <c r="F126" s="98"/>
      <c r="G126" s="98"/>
      <c r="H126" s="98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2.75" customHeight="1" spans="1:26">
      <c r="A127" s="97"/>
      <c r="B127" s="97"/>
      <c r="C127" s="97"/>
      <c r="D127" s="98"/>
      <c r="E127" s="99"/>
      <c r="F127" s="98"/>
      <c r="G127" s="98"/>
      <c r="H127" s="98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2.75" customHeight="1" spans="1:26">
      <c r="A128" s="97"/>
      <c r="B128" s="97"/>
      <c r="C128" s="97"/>
      <c r="D128" s="98"/>
      <c r="E128" s="99"/>
      <c r="F128" s="98"/>
      <c r="G128" s="98"/>
      <c r="H128" s="98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2.75" customHeight="1" spans="1:26">
      <c r="A129" s="97"/>
      <c r="B129" s="97"/>
      <c r="C129" s="97"/>
      <c r="D129" s="98"/>
      <c r="E129" s="99"/>
      <c r="F129" s="98"/>
      <c r="G129" s="98"/>
      <c r="H129" s="98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2.75" customHeight="1" spans="1:26">
      <c r="A130" s="97"/>
      <c r="B130" s="97"/>
      <c r="C130" s="97"/>
      <c r="D130" s="98"/>
      <c r="E130" s="99"/>
      <c r="F130" s="98"/>
      <c r="G130" s="98"/>
      <c r="H130" s="98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2.75" customHeight="1" spans="1:26">
      <c r="A131" s="97"/>
      <c r="B131" s="97"/>
      <c r="C131" s="97"/>
      <c r="D131" s="98"/>
      <c r="E131" s="99"/>
      <c r="F131" s="98"/>
      <c r="G131" s="98"/>
      <c r="H131" s="98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2.75" customHeight="1" spans="1:26">
      <c r="A132" s="97"/>
      <c r="B132" s="97"/>
      <c r="C132" s="97"/>
      <c r="D132" s="98"/>
      <c r="E132" s="99"/>
      <c r="F132" s="98"/>
      <c r="G132" s="98"/>
      <c r="H132" s="98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2.75" customHeight="1" spans="1:26">
      <c r="A133" s="97"/>
      <c r="B133" s="97"/>
      <c r="C133" s="97"/>
      <c r="D133" s="98"/>
      <c r="E133" s="99"/>
      <c r="F133" s="98"/>
      <c r="G133" s="98"/>
      <c r="H133" s="98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2.75" customHeight="1" spans="1:26">
      <c r="A134" s="97"/>
      <c r="B134" s="97"/>
      <c r="C134" s="97"/>
      <c r="D134" s="98"/>
      <c r="E134" s="99"/>
      <c r="F134" s="98"/>
      <c r="G134" s="98"/>
      <c r="H134" s="98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2.75" customHeight="1" spans="1:26">
      <c r="A135" s="97"/>
      <c r="B135" s="97"/>
      <c r="C135" s="97"/>
      <c r="D135" s="98"/>
      <c r="E135" s="99"/>
      <c r="F135" s="98"/>
      <c r="G135" s="98"/>
      <c r="H135" s="98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2.75" customHeight="1" spans="1:26">
      <c r="A136" s="97"/>
      <c r="B136" s="97"/>
      <c r="C136" s="97"/>
      <c r="D136" s="98"/>
      <c r="E136" s="99"/>
      <c r="F136" s="98"/>
      <c r="G136" s="98"/>
      <c r="H136" s="98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2.75" customHeight="1" spans="1:26">
      <c r="A137" s="97"/>
      <c r="B137" s="97"/>
      <c r="C137" s="97"/>
      <c r="D137" s="98"/>
      <c r="E137" s="99"/>
      <c r="F137" s="98"/>
      <c r="G137" s="98"/>
      <c r="H137" s="98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2.75" customHeight="1" spans="1:26">
      <c r="A138" s="97"/>
      <c r="B138" s="97"/>
      <c r="C138" s="97"/>
      <c r="D138" s="98"/>
      <c r="E138" s="99"/>
      <c r="F138" s="98"/>
      <c r="G138" s="98"/>
      <c r="H138" s="98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2.75" customHeight="1" spans="1:26">
      <c r="A139" s="97"/>
      <c r="B139" s="97"/>
      <c r="C139" s="97"/>
      <c r="D139" s="98"/>
      <c r="E139" s="99"/>
      <c r="F139" s="98"/>
      <c r="G139" s="98"/>
      <c r="H139" s="98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2.75" customHeight="1" spans="1:26">
      <c r="A140" s="97"/>
      <c r="B140" s="97"/>
      <c r="C140" s="97"/>
      <c r="D140" s="98"/>
      <c r="E140" s="99"/>
      <c r="F140" s="98"/>
      <c r="G140" s="98"/>
      <c r="H140" s="98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2.75" customHeight="1" spans="1:26">
      <c r="A141" s="97"/>
      <c r="B141" s="97"/>
      <c r="C141" s="97"/>
      <c r="D141" s="98"/>
      <c r="E141" s="99"/>
      <c r="F141" s="98"/>
      <c r="G141" s="98"/>
      <c r="H141" s="98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2.75" customHeight="1" spans="1:26">
      <c r="A142" s="97"/>
      <c r="B142" s="97"/>
      <c r="C142" s="97"/>
      <c r="D142" s="98"/>
      <c r="E142" s="99"/>
      <c r="F142" s="98"/>
      <c r="G142" s="98"/>
      <c r="H142" s="98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2.75" customHeight="1" spans="1:26">
      <c r="A143" s="97"/>
      <c r="B143" s="97"/>
      <c r="C143" s="97"/>
      <c r="D143" s="98"/>
      <c r="E143" s="99"/>
      <c r="F143" s="98"/>
      <c r="G143" s="98"/>
      <c r="H143" s="98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2.75" customHeight="1" spans="1:26">
      <c r="A144" s="97"/>
      <c r="B144" s="97"/>
      <c r="C144" s="97"/>
      <c r="D144" s="98"/>
      <c r="E144" s="99"/>
      <c r="F144" s="98"/>
      <c r="G144" s="98"/>
      <c r="H144" s="98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2.75" customHeight="1" spans="1:26">
      <c r="A145" s="97"/>
      <c r="B145" s="97"/>
      <c r="C145" s="97"/>
      <c r="D145" s="98"/>
      <c r="E145" s="99"/>
      <c r="F145" s="98"/>
      <c r="G145" s="98"/>
      <c r="H145" s="98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2.75" customHeight="1" spans="1:26">
      <c r="A146" s="97"/>
      <c r="B146" s="97"/>
      <c r="C146" s="97"/>
      <c r="D146" s="98"/>
      <c r="E146" s="99"/>
      <c r="F146" s="98"/>
      <c r="G146" s="98"/>
      <c r="H146" s="98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2.75" customHeight="1" spans="1:26">
      <c r="A147" s="97"/>
      <c r="B147" s="97"/>
      <c r="C147" s="97"/>
      <c r="D147" s="98"/>
      <c r="E147" s="99"/>
      <c r="F147" s="98"/>
      <c r="G147" s="98"/>
      <c r="H147" s="98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2.75" customHeight="1" spans="1:26">
      <c r="A148" s="97"/>
      <c r="B148" s="97"/>
      <c r="C148" s="97"/>
      <c r="D148" s="98"/>
      <c r="E148" s="99"/>
      <c r="F148" s="98"/>
      <c r="G148" s="98"/>
      <c r="H148" s="98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2.75" customHeight="1" spans="1:26">
      <c r="A149" s="97"/>
      <c r="B149" s="97"/>
      <c r="C149" s="97"/>
      <c r="D149" s="98"/>
      <c r="E149" s="99"/>
      <c r="F149" s="98"/>
      <c r="G149" s="98"/>
      <c r="H149" s="98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2.75" customHeight="1" spans="1:26">
      <c r="A150" s="97"/>
      <c r="B150" s="97"/>
      <c r="C150" s="97"/>
      <c r="D150" s="98"/>
      <c r="E150" s="99"/>
      <c r="F150" s="98"/>
      <c r="G150" s="98"/>
      <c r="H150" s="98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2.75" customHeight="1" spans="1:26">
      <c r="A151" s="97"/>
      <c r="B151" s="97"/>
      <c r="C151" s="97"/>
      <c r="D151" s="98"/>
      <c r="E151" s="99"/>
      <c r="F151" s="98"/>
      <c r="G151" s="98"/>
      <c r="H151" s="98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2.75" customHeight="1" spans="1:26">
      <c r="A152" s="97"/>
      <c r="B152" s="97"/>
      <c r="C152" s="97"/>
      <c r="D152" s="98"/>
      <c r="E152" s="99"/>
      <c r="F152" s="98"/>
      <c r="G152" s="98"/>
      <c r="H152" s="98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2.75" customHeight="1" spans="1:26">
      <c r="A153" s="97"/>
      <c r="B153" s="97"/>
      <c r="C153" s="97"/>
      <c r="D153" s="98"/>
      <c r="E153" s="99"/>
      <c r="F153" s="98"/>
      <c r="G153" s="98"/>
      <c r="H153" s="98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2.75" customHeight="1" spans="1:26">
      <c r="A154" s="97"/>
      <c r="B154" s="97"/>
      <c r="C154" s="97"/>
      <c r="D154" s="98"/>
      <c r="E154" s="99"/>
      <c r="F154" s="98"/>
      <c r="G154" s="98"/>
      <c r="H154" s="98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2.75" customHeight="1" spans="1:26">
      <c r="A155" s="97"/>
      <c r="B155" s="97"/>
      <c r="C155" s="97"/>
      <c r="D155" s="98"/>
      <c r="E155" s="99"/>
      <c r="F155" s="98"/>
      <c r="G155" s="98"/>
      <c r="H155" s="98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2.75" customHeight="1" spans="1:26">
      <c r="A156" s="97"/>
      <c r="B156" s="97"/>
      <c r="C156" s="97"/>
      <c r="D156" s="98"/>
      <c r="E156" s="99"/>
      <c r="F156" s="98"/>
      <c r="G156" s="98"/>
      <c r="H156" s="98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2.75" customHeight="1" spans="1:26">
      <c r="A157" s="97"/>
      <c r="B157" s="97"/>
      <c r="C157" s="97"/>
      <c r="D157" s="98"/>
      <c r="E157" s="99"/>
      <c r="F157" s="98"/>
      <c r="G157" s="98"/>
      <c r="H157" s="98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2.75" customHeight="1" spans="1:26">
      <c r="A158" s="97"/>
      <c r="B158" s="97"/>
      <c r="C158" s="97"/>
      <c r="D158" s="98"/>
      <c r="E158" s="99"/>
      <c r="F158" s="98"/>
      <c r="G158" s="98"/>
      <c r="H158" s="98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2.75" customHeight="1" spans="1:26">
      <c r="A159" s="97"/>
      <c r="B159" s="97"/>
      <c r="C159" s="97"/>
      <c r="D159" s="98"/>
      <c r="E159" s="99"/>
      <c r="F159" s="98"/>
      <c r="G159" s="98"/>
      <c r="H159" s="98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2.75" customHeight="1" spans="1:26">
      <c r="A160" s="97"/>
      <c r="B160" s="97"/>
      <c r="C160" s="97"/>
      <c r="D160" s="98"/>
      <c r="E160" s="99"/>
      <c r="F160" s="98"/>
      <c r="G160" s="98"/>
      <c r="H160" s="98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2.75" customHeight="1" spans="1:26">
      <c r="A161" s="97"/>
      <c r="B161" s="97"/>
      <c r="C161" s="97"/>
      <c r="D161" s="98"/>
      <c r="E161" s="99"/>
      <c r="F161" s="98"/>
      <c r="G161" s="98"/>
      <c r="H161" s="98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2.75" customHeight="1" spans="1:26">
      <c r="A162" s="97"/>
      <c r="B162" s="97"/>
      <c r="C162" s="97"/>
      <c r="D162" s="98"/>
      <c r="E162" s="99"/>
      <c r="F162" s="98"/>
      <c r="G162" s="98"/>
      <c r="H162" s="98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2.75" customHeight="1" spans="1:26">
      <c r="A163" s="97"/>
      <c r="B163" s="97"/>
      <c r="C163" s="97"/>
      <c r="D163" s="98"/>
      <c r="E163" s="99"/>
      <c r="F163" s="98"/>
      <c r="G163" s="98"/>
      <c r="H163" s="98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2.75" customHeight="1" spans="1:26">
      <c r="A164" s="97"/>
      <c r="B164" s="97"/>
      <c r="C164" s="97"/>
      <c r="D164" s="98"/>
      <c r="E164" s="99"/>
      <c r="F164" s="98"/>
      <c r="G164" s="98"/>
      <c r="H164" s="98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2.75" customHeight="1" spans="1:26">
      <c r="A165" s="97"/>
      <c r="B165" s="97"/>
      <c r="C165" s="97"/>
      <c r="D165" s="98"/>
      <c r="E165" s="99"/>
      <c r="F165" s="98"/>
      <c r="G165" s="98"/>
      <c r="H165" s="98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2.75" customHeight="1" spans="1:26">
      <c r="A166" s="97"/>
      <c r="B166" s="97"/>
      <c r="C166" s="97"/>
      <c r="D166" s="98"/>
      <c r="E166" s="99"/>
      <c r="F166" s="98"/>
      <c r="G166" s="98"/>
      <c r="H166" s="98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2.75" customHeight="1" spans="1:26">
      <c r="A167" s="97"/>
      <c r="B167" s="97"/>
      <c r="C167" s="97"/>
      <c r="D167" s="98"/>
      <c r="E167" s="99"/>
      <c r="F167" s="98"/>
      <c r="G167" s="98"/>
      <c r="H167" s="98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2.75" customHeight="1" spans="1:26">
      <c r="A168" s="97"/>
      <c r="B168" s="97"/>
      <c r="C168" s="97"/>
      <c r="D168" s="98"/>
      <c r="E168" s="99"/>
      <c r="F168" s="98"/>
      <c r="G168" s="98"/>
      <c r="H168" s="98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2.75" customHeight="1" spans="1:26">
      <c r="A169" s="97"/>
      <c r="B169" s="97"/>
      <c r="C169" s="97"/>
      <c r="D169" s="98"/>
      <c r="E169" s="99"/>
      <c r="F169" s="98"/>
      <c r="G169" s="98"/>
      <c r="H169" s="98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2.75" customHeight="1" spans="1:26">
      <c r="A170" s="97"/>
      <c r="B170" s="97"/>
      <c r="C170" s="97"/>
      <c r="D170" s="98"/>
      <c r="E170" s="99"/>
      <c r="F170" s="98"/>
      <c r="G170" s="98"/>
      <c r="H170" s="98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2.75" customHeight="1" spans="1:26">
      <c r="A171" s="97"/>
      <c r="B171" s="97"/>
      <c r="C171" s="97"/>
      <c r="D171" s="98"/>
      <c r="E171" s="99"/>
      <c r="F171" s="98"/>
      <c r="G171" s="98"/>
      <c r="H171" s="98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2.75" customHeight="1" spans="1:26">
      <c r="A172" s="97"/>
      <c r="B172" s="97"/>
      <c r="C172" s="97"/>
      <c r="D172" s="98"/>
      <c r="E172" s="99"/>
      <c r="F172" s="98"/>
      <c r="G172" s="98"/>
      <c r="H172" s="98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2.75" customHeight="1" spans="1:26">
      <c r="A173" s="97"/>
      <c r="B173" s="97"/>
      <c r="C173" s="97"/>
      <c r="D173" s="98"/>
      <c r="E173" s="99"/>
      <c r="F173" s="98"/>
      <c r="G173" s="98"/>
      <c r="H173" s="98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2.75" customHeight="1" spans="1:26">
      <c r="A174" s="97"/>
      <c r="B174" s="97"/>
      <c r="C174" s="97"/>
      <c r="D174" s="98"/>
      <c r="E174" s="99"/>
      <c r="F174" s="98"/>
      <c r="G174" s="98"/>
      <c r="H174" s="98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2.75" customHeight="1" spans="1:26">
      <c r="A175" s="97"/>
      <c r="B175" s="97"/>
      <c r="C175" s="97"/>
      <c r="D175" s="98"/>
      <c r="E175" s="99"/>
      <c r="F175" s="98"/>
      <c r="G175" s="98"/>
      <c r="H175" s="98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2.75" customHeight="1" spans="1:26">
      <c r="A176" s="97"/>
      <c r="B176" s="97"/>
      <c r="C176" s="97"/>
      <c r="D176" s="98"/>
      <c r="E176" s="99"/>
      <c r="F176" s="98"/>
      <c r="G176" s="98"/>
      <c r="H176" s="98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2.75" customHeight="1" spans="1:26">
      <c r="A177" s="97"/>
      <c r="B177" s="97"/>
      <c r="C177" s="97"/>
      <c r="D177" s="98"/>
      <c r="E177" s="99"/>
      <c r="F177" s="98"/>
      <c r="G177" s="98"/>
      <c r="H177" s="98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2.75" customHeight="1" spans="1:26">
      <c r="A178" s="97"/>
      <c r="B178" s="97"/>
      <c r="C178" s="97"/>
      <c r="D178" s="98"/>
      <c r="E178" s="99"/>
      <c r="F178" s="98"/>
      <c r="G178" s="98"/>
      <c r="H178" s="98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2.75" customHeight="1" spans="1:26">
      <c r="A179" s="97"/>
      <c r="B179" s="97"/>
      <c r="C179" s="97"/>
      <c r="D179" s="98"/>
      <c r="E179" s="99"/>
      <c r="F179" s="98"/>
      <c r="G179" s="98"/>
      <c r="H179" s="98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2.75" customHeight="1" spans="1:26">
      <c r="A180" s="97"/>
      <c r="B180" s="97"/>
      <c r="C180" s="97"/>
      <c r="D180" s="98"/>
      <c r="E180" s="99"/>
      <c r="F180" s="98"/>
      <c r="G180" s="98"/>
      <c r="H180" s="98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2.75" customHeight="1" spans="1:26">
      <c r="A181" s="97"/>
      <c r="B181" s="97"/>
      <c r="C181" s="97"/>
      <c r="D181" s="98"/>
      <c r="E181" s="99"/>
      <c r="F181" s="98"/>
      <c r="G181" s="98"/>
      <c r="H181" s="98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2.75" customHeight="1" spans="1:26">
      <c r="A182" s="97"/>
      <c r="B182" s="97"/>
      <c r="C182" s="97"/>
      <c r="D182" s="98"/>
      <c r="E182" s="99"/>
      <c r="F182" s="98"/>
      <c r="G182" s="98"/>
      <c r="H182" s="98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2.75" customHeight="1" spans="1:26">
      <c r="A183" s="97"/>
      <c r="B183" s="97"/>
      <c r="C183" s="97"/>
      <c r="D183" s="98"/>
      <c r="E183" s="99"/>
      <c r="F183" s="98"/>
      <c r="G183" s="98"/>
      <c r="H183" s="98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2.75" customHeight="1" spans="1:26">
      <c r="A184" s="97"/>
      <c r="B184" s="97"/>
      <c r="C184" s="97"/>
      <c r="D184" s="98"/>
      <c r="E184" s="99"/>
      <c r="F184" s="98"/>
      <c r="G184" s="98"/>
      <c r="H184" s="98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2.75" customHeight="1" spans="1:26">
      <c r="A185" s="97"/>
      <c r="B185" s="97"/>
      <c r="C185" s="97"/>
      <c r="D185" s="98"/>
      <c r="E185" s="99"/>
      <c r="F185" s="98"/>
      <c r="G185" s="98"/>
      <c r="H185" s="98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2.75" customHeight="1" spans="1:26">
      <c r="A186" s="97"/>
      <c r="B186" s="97"/>
      <c r="C186" s="97"/>
      <c r="D186" s="98"/>
      <c r="E186" s="99"/>
      <c r="F186" s="98"/>
      <c r="G186" s="98"/>
      <c r="H186" s="98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2.75" customHeight="1" spans="1:26">
      <c r="A187" s="97"/>
      <c r="B187" s="97"/>
      <c r="C187" s="97"/>
      <c r="D187" s="98"/>
      <c r="E187" s="99"/>
      <c r="F187" s="98"/>
      <c r="G187" s="98"/>
      <c r="H187" s="98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2.75" customHeight="1" spans="1:26">
      <c r="A188" s="97"/>
      <c r="B188" s="97"/>
      <c r="C188" s="97"/>
      <c r="D188" s="98"/>
      <c r="E188" s="99"/>
      <c r="F188" s="98"/>
      <c r="G188" s="98"/>
      <c r="H188" s="98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2.75" customHeight="1" spans="1:26">
      <c r="A189" s="97"/>
      <c r="B189" s="97"/>
      <c r="C189" s="97"/>
      <c r="D189" s="98"/>
      <c r="E189" s="99"/>
      <c r="F189" s="98"/>
      <c r="G189" s="98"/>
      <c r="H189" s="98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2.75" customHeight="1" spans="1:26">
      <c r="A190" s="97"/>
      <c r="B190" s="97"/>
      <c r="C190" s="97"/>
      <c r="D190" s="98"/>
      <c r="E190" s="99"/>
      <c r="F190" s="98"/>
      <c r="G190" s="98"/>
      <c r="H190" s="98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2.75" customHeight="1" spans="1:26">
      <c r="A191" s="97"/>
      <c r="B191" s="97"/>
      <c r="C191" s="97"/>
      <c r="D191" s="98"/>
      <c r="E191" s="99"/>
      <c r="F191" s="98"/>
      <c r="G191" s="98"/>
      <c r="H191" s="98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2.75" customHeight="1" spans="1:26">
      <c r="A192" s="97"/>
      <c r="B192" s="97"/>
      <c r="C192" s="97"/>
      <c r="D192" s="98"/>
      <c r="E192" s="99"/>
      <c r="F192" s="98"/>
      <c r="G192" s="98"/>
      <c r="H192" s="98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2.75" customHeight="1" spans="1:26">
      <c r="A193" s="97"/>
      <c r="B193" s="97"/>
      <c r="C193" s="97"/>
      <c r="D193" s="98"/>
      <c r="E193" s="99"/>
      <c r="F193" s="98"/>
      <c r="G193" s="98"/>
      <c r="H193" s="98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2.75" customHeight="1" spans="1:26">
      <c r="A194" s="97"/>
      <c r="B194" s="97"/>
      <c r="C194" s="97"/>
      <c r="D194" s="98"/>
      <c r="E194" s="99"/>
      <c r="F194" s="98"/>
      <c r="G194" s="98"/>
      <c r="H194" s="98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2.75" customHeight="1" spans="1:26">
      <c r="A195" s="97"/>
      <c r="B195" s="97"/>
      <c r="C195" s="97"/>
      <c r="D195" s="98"/>
      <c r="E195" s="99"/>
      <c r="F195" s="98"/>
      <c r="G195" s="98"/>
      <c r="H195" s="98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2.75" customHeight="1" spans="1:26">
      <c r="A196" s="97"/>
      <c r="B196" s="97"/>
      <c r="C196" s="97"/>
      <c r="D196" s="98"/>
      <c r="E196" s="99"/>
      <c r="F196" s="98"/>
      <c r="G196" s="98"/>
      <c r="H196" s="98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2.75" customHeight="1" spans="1:26">
      <c r="A197" s="97"/>
      <c r="B197" s="97"/>
      <c r="C197" s="97"/>
      <c r="D197" s="98"/>
      <c r="E197" s="99"/>
      <c r="F197" s="98"/>
      <c r="G197" s="98"/>
      <c r="H197" s="98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2.75" customHeight="1" spans="1:26">
      <c r="A198" s="97"/>
      <c r="B198" s="97"/>
      <c r="C198" s="97"/>
      <c r="D198" s="98"/>
      <c r="E198" s="99"/>
      <c r="F198" s="98"/>
      <c r="G198" s="98"/>
      <c r="H198" s="98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2.75" customHeight="1" spans="1:26">
      <c r="A199" s="97"/>
      <c r="B199" s="97"/>
      <c r="C199" s="97"/>
      <c r="D199" s="98"/>
      <c r="E199" s="99"/>
      <c r="F199" s="98"/>
      <c r="G199" s="98"/>
      <c r="H199" s="98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2.75" customHeight="1" spans="1:26">
      <c r="A200" s="97"/>
      <c r="B200" s="97"/>
      <c r="C200" s="97"/>
      <c r="D200" s="98"/>
      <c r="E200" s="99"/>
      <c r="F200" s="98"/>
      <c r="G200" s="98"/>
      <c r="H200" s="98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2.75" customHeight="1" spans="1:26">
      <c r="A201" s="97"/>
      <c r="B201" s="97"/>
      <c r="C201" s="97"/>
      <c r="D201" s="98"/>
      <c r="E201" s="99"/>
      <c r="F201" s="98"/>
      <c r="G201" s="98"/>
      <c r="H201" s="98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2.75" customHeight="1" spans="1:26">
      <c r="A202" s="97"/>
      <c r="B202" s="97"/>
      <c r="C202" s="97"/>
      <c r="D202" s="98"/>
      <c r="E202" s="99"/>
      <c r="F202" s="98"/>
      <c r="G202" s="98"/>
      <c r="H202" s="98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2.75" customHeight="1" spans="1:26">
      <c r="A203" s="97"/>
      <c r="B203" s="97"/>
      <c r="C203" s="97"/>
      <c r="D203" s="98"/>
      <c r="E203" s="99"/>
      <c r="F203" s="98"/>
      <c r="G203" s="98"/>
      <c r="H203" s="98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2.75" customHeight="1" spans="1:26">
      <c r="A204" s="97"/>
      <c r="B204" s="97"/>
      <c r="C204" s="97"/>
      <c r="D204" s="98"/>
      <c r="E204" s="99"/>
      <c r="F204" s="98"/>
      <c r="G204" s="98"/>
      <c r="H204" s="98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2.75" customHeight="1" spans="1:26">
      <c r="A205" s="97"/>
      <c r="B205" s="97"/>
      <c r="C205" s="97"/>
      <c r="D205" s="98"/>
      <c r="E205" s="99"/>
      <c r="F205" s="98"/>
      <c r="G205" s="98"/>
      <c r="H205" s="98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2.75" customHeight="1" spans="1:26">
      <c r="A206" s="97"/>
      <c r="B206" s="97"/>
      <c r="C206" s="97"/>
      <c r="D206" s="98"/>
      <c r="E206" s="99"/>
      <c r="F206" s="98"/>
      <c r="G206" s="98"/>
      <c r="H206" s="98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2.75" customHeight="1" spans="1:26">
      <c r="A207" s="97"/>
      <c r="B207" s="97"/>
      <c r="C207" s="97"/>
      <c r="D207" s="98"/>
      <c r="E207" s="99"/>
      <c r="F207" s="98"/>
      <c r="G207" s="98"/>
      <c r="H207" s="98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2.75" customHeight="1" spans="1:26">
      <c r="A208" s="97"/>
      <c r="B208" s="97"/>
      <c r="C208" s="97"/>
      <c r="D208" s="98"/>
      <c r="E208" s="99"/>
      <c r="F208" s="98"/>
      <c r="G208" s="98"/>
      <c r="H208" s="98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2.75" customHeight="1" spans="1:26">
      <c r="A209" s="97"/>
      <c r="B209" s="97"/>
      <c r="C209" s="97"/>
      <c r="D209" s="98"/>
      <c r="E209" s="99"/>
      <c r="F209" s="98"/>
      <c r="G209" s="98"/>
      <c r="H209" s="98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2.75" customHeight="1" spans="1:26">
      <c r="A210" s="97"/>
      <c r="B210" s="97"/>
      <c r="C210" s="97"/>
      <c r="D210" s="98"/>
      <c r="E210" s="99"/>
      <c r="F210" s="98"/>
      <c r="G210" s="98"/>
      <c r="H210" s="98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2.75" customHeight="1" spans="1:26">
      <c r="A211" s="97"/>
      <c r="B211" s="97"/>
      <c r="C211" s="97"/>
      <c r="D211" s="98"/>
      <c r="E211" s="99"/>
      <c r="F211" s="98"/>
      <c r="G211" s="98"/>
      <c r="H211" s="98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2.75" customHeight="1" spans="1:26">
      <c r="A212" s="97"/>
      <c r="B212" s="97"/>
      <c r="C212" s="97"/>
      <c r="D212" s="98"/>
      <c r="E212" s="99"/>
      <c r="F212" s="98"/>
      <c r="G212" s="98"/>
      <c r="H212" s="98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2.75" customHeight="1" spans="1:26">
      <c r="A213" s="97"/>
      <c r="B213" s="97"/>
      <c r="C213" s="97"/>
      <c r="D213" s="98"/>
      <c r="E213" s="99"/>
      <c r="F213" s="98"/>
      <c r="G213" s="98"/>
      <c r="H213" s="98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2.75" customHeight="1" spans="1:26">
      <c r="A214" s="97"/>
      <c r="B214" s="97"/>
      <c r="C214" s="97"/>
      <c r="D214" s="98"/>
      <c r="E214" s="99"/>
      <c r="F214" s="98"/>
      <c r="G214" s="98"/>
      <c r="H214" s="98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2.75" customHeight="1" spans="1:26">
      <c r="A215" s="97"/>
      <c r="B215" s="97"/>
      <c r="C215" s="97"/>
      <c r="D215" s="98"/>
      <c r="E215" s="99"/>
      <c r="F215" s="98"/>
      <c r="G215" s="98"/>
      <c r="H215" s="98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2.75" customHeight="1" spans="1:26">
      <c r="A216" s="97"/>
      <c r="B216" s="97"/>
      <c r="C216" s="97"/>
      <c r="D216" s="98"/>
      <c r="E216" s="99"/>
      <c r="F216" s="98"/>
      <c r="G216" s="98"/>
      <c r="H216" s="98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2.75" customHeight="1" spans="1:26">
      <c r="A217" s="97"/>
      <c r="B217" s="97"/>
      <c r="C217" s="97"/>
      <c r="D217" s="98"/>
      <c r="E217" s="99"/>
      <c r="F217" s="98"/>
      <c r="G217" s="98"/>
      <c r="H217" s="98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2.75" customHeight="1" spans="1:26">
      <c r="A218" s="97"/>
      <c r="B218" s="97"/>
      <c r="C218" s="97"/>
      <c r="D218" s="98"/>
      <c r="E218" s="99"/>
      <c r="F218" s="98"/>
      <c r="G218" s="98"/>
      <c r="H218" s="98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2.75" customHeight="1" spans="1:26">
      <c r="A219" s="97"/>
      <c r="B219" s="97"/>
      <c r="C219" s="97"/>
      <c r="D219" s="98"/>
      <c r="E219" s="99"/>
      <c r="F219" s="98"/>
      <c r="G219" s="98"/>
      <c r="H219" s="98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2.75" customHeight="1" spans="1:26">
      <c r="A220" s="97"/>
      <c r="B220" s="97"/>
      <c r="C220" s="97"/>
      <c r="D220" s="98"/>
      <c r="E220" s="99"/>
      <c r="F220" s="98"/>
      <c r="G220" s="98"/>
      <c r="H220" s="98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2.75" customHeight="1" spans="1:26">
      <c r="A221" s="97"/>
      <c r="B221" s="97"/>
      <c r="C221" s="97"/>
      <c r="D221" s="98"/>
      <c r="E221" s="99"/>
      <c r="F221" s="98"/>
      <c r="G221" s="98"/>
      <c r="H221" s="98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2.75" customHeight="1" spans="1:26">
      <c r="A222" s="97"/>
      <c r="B222" s="97"/>
      <c r="C222" s="97"/>
      <c r="D222" s="98"/>
      <c r="E222" s="99"/>
      <c r="F222" s="98"/>
      <c r="G222" s="98"/>
      <c r="H222" s="98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2.75" customHeight="1" spans="1:26">
      <c r="A223" s="97"/>
      <c r="B223" s="97"/>
      <c r="C223" s="97"/>
      <c r="D223" s="98"/>
      <c r="E223" s="99"/>
      <c r="F223" s="98"/>
      <c r="G223" s="98"/>
      <c r="H223" s="98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2.75" customHeight="1" spans="1:26">
      <c r="A224" s="97"/>
      <c r="B224" s="97"/>
      <c r="C224" s="97"/>
      <c r="D224" s="98"/>
      <c r="E224" s="99"/>
      <c r="F224" s="98"/>
      <c r="G224" s="98"/>
      <c r="H224" s="98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2.75" customHeight="1" spans="1:26">
      <c r="A225" s="97"/>
      <c r="B225" s="97"/>
      <c r="C225" s="97"/>
      <c r="D225" s="98"/>
      <c r="E225" s="99"/>
      <c r="F225" s="98"/>
      <c r="G225" s="98"/>
      <c r="H225" s="98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2.75" customHeight="1" spans="1:26">
      <c r="A226" s="97"/>
      <c r="B226" s="97"/>
      <c r="C226" s="97"/>
      <c r="D226" s="98"/>
      <c r="E226" s="99"/>
      <c r="F226" s="98"/>
      <c r="G226" s="98"/>
      <c r="H226" s="98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2.75" customHeight="1" spans="1:26">
      <c r="A227" s="97"/>
      <c r="B227" s="97"/>
      <c r="C227" s="97"/>
      <c r="D227" s="98"/>
      <c r="E227" s="99"/>
      <c r="F227" s="98"/>
      <c r="G227" s="98"/>
      <c r="H227" s="98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2.75" customHeight="1" spans="1:26">
      <c r="A228" s="97"/>
      <c r="B228" s="97"/>
      <c r="C228" s="97"/>
      <c r="D228" s="98"/>
      <c r="E228" s="99"/>
      <c r="F228" s="98"/>
      <c r="G228" s="98"/>
      <c r="H228" s="98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2.75" customHeight="1" spans="1:26">
      <c r="A229" s="97"/>
      <c r="B229" s="97"/>
      <c r="C229" s="97"/>
      <c r="D229" s="98"/>
      <c r="E229" s="99"/>
      <c r="F229" s="98"/>
      <c r="G229" s="98"/>
      <c r="H229" s="98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2.75" customHeight="1" spans="1:26">
      <c r="A230" s="97"/>
      <c r="B230" s="97"/>
      <c r="C230" s="97"/>
      <c r="D230" s="98"/>
      <c r="E230" s="99"/>
      <c r="F230" s="98"/>
      <c r="G230" s="98"/>
      <c r="H230" s="98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2.75" customHeight="1" spans="1:26">
      <c r="A231" s="97"/>
      <c r="B231" s="97"/>
      <c r="C231" s="97"/>
      <c r="D231" s="98"/>
      <c r="E231" s="99"/>
      <c r="F231" s="98"/>
      <c r="G231" s="98"/>
      <c r="H231" s="98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2.75" customHeight="1" spans="1:26">
      <c r="A232" s="97"/>
      <c r="B232" s="97"/>
      <c r="C232" s="97"/>
      <c r="D232" s="98"/>
      <c r="E232" s="99"/>
      <c r="F232" s="98"/>
      <c r="G232" s="98"/>
      <c r="H232" s="98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2.75" customHeight="1" spans="1:26">
      <c r="A233" s="97"/>
      <c r="B233" s="97"/>
      <c r="C233" s="97"/>
      <c r="D233" s="98"/>
      <c r="E233" s="99"/>
      <c r="F233" s="98"/>
      <c r="G233" s="98"/>
      <c r="H233" s="98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2.75" customHeight="1" spans="1:26">
      <c r="A234" s="97"/>
      <c r="B234" s="97"/>
      <c r="C234" s="97"/>
      <c r="D234" s="98"/>
      <c r="E234" s="99"/>
      <c r="F234" s="98"/>
      <c r="G234" s="98"/>
      <c r="H234" s="98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2.75" customHeight="1" spans="1:26">
      <c r="A235" s="97"/>
      <c r="B235" s="97"/>
      <c r="C235" s="97"/>
      <c r="D235" s="98"/>
      <c r="E235" s="99"/>
      <c r="F235" s="98"/>
      <c r="G235" s="98"/>
      <c r="H235" s="98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12.75" customHeight="1" spans="1:26">
      <c r="A236" s="97"/>
      <c r="B236" s="97"/>
      <c r="C236" s="97"/>
      <c r="D236" s="98"/>
      <c r="E236" s="99"/>
      <c r="F236" s="98"/>
      <c r="G236" s="98"/>
      <c r="H236" s="98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12.75" customHeight="1" spans="1:26">
      <c r="A237" s="97"/>
      <c r="B237" s="97"/>
      <c r="C237" s="97"/>
      <c r="D237" s="98"/>
      <c r="E237" s="99"/>
      <c r="F237" s="98"/>
      <c r="G237" s="98"/>
      <c r="H237" s="98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12.75" customHeight="1" spans="1:26">
      <c r="A238" s="97"/>
      <c r="B238" s="97"/>
      <c r="C238" s="97"/>
      <c r="D238" s="98"/>
      <c r="E238" s="99"/>
      <c r="F238" s="98"/>
      <c r="G238" s="98"/>
      <c r="H238" s="98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4:D4"/>
    <mergeCell ref="E4:H4"/>
    <mergeCell ref="A5:D5"/>
    <mergeCell ref="E5:H5"/>
    <mergeCell ref="A6:D6"/>
    <mergeCell ref="A7:D7"/>
    <mergeCell ref="E7:H7"/>
  </mergeCells>
  <hyperlinks>
    <hyperlink ref="F11" r:id="rId1" location="#'FE-AuthInterceptor'!A1" display="FE-AuthInterceptor"/>
    <hyperlink ref="F12" r:id="rId2" location="#'FE-ExtractErrorMessage'!A1" display="FE-ExtractErrorMessage"/>
    <hyperlink ref="F13" r:id="rId3" location="#'FE-AuthState'!A1" display="FE-AuthState"/>
    <hyperlink ref="F14" r:id="rId4" location="#'FE-RoleRedirectExtractRole'!A1" display="FE-RoleRedirectExtractRole"/>
    <hyperlink ref="F15" r:id="rId5" location="#'FE-CitationDisplay'!A1" display="FE-CitationDisplay"/>
    <hyperlink ref="F16" r:id="rId6" location="#'FE-InferTemplate-Detect'!A1" display="FE-InferTemplate-Detect"/>
    <hyperlink ref="F17" r:id="rId7" location="#'FE-InferTemplate-Snippet'!A1" display="FE-InferTemplate-Snippet"/>
    <hyperlink ref="F18" r:id="rId8" location="#'FE-InferGeneratedTemplate'!A1" display="FE-InferGeneratedTemplate"/>
    <hyperlink ref="F19" r:id="rId9" location="#'FE-GamificationFormatters'!A1" display="FE-GamificationFormatters"/>
    <hyperlink ref="F20" r:id="rId10" location="#'FE-TimeAgo'!A1" display="FE-TimeAgo"/>
    <hyperlink ref="F21" r:id="rId11" location="#'FE-ComputeStreakDays'!A1" display="FE-ComputeStreakDays"/>
    <hyperlink ref="F22" r:id="rId12" location="#'FE-LabelsCompanyScore'!A1" display="FE-LabelsCompanyScore"/>
    <hyperlink ref="F23" r:id="rId13" location="#'FE-AdminUserDisplay'!A1" display="FE-AdminUserDisplay"/>
    <hyperlink ref="F24" r:id="rId14" location="#'FE-GreetingLoginWelcome'!A1" display="FE-GreetingLoginWelcome"/>
    <hyperlink ref="F25" r:id="rId15" location="#'FE-FormatRelativeTime'!A1" display="FE-FormatRelativeTime"/>
    <hyperlink ref="F26" r:id="rId16" location="#'FE-NavUserDisplay'!A1" display="FE-NavUserDisplay"/>
    <hyperlink ref="F27" r:id="rId17" location="#'FE-UrlAvatarMessages'!A1" display="FE-UrlAvatarMessages"/>
    <hyperlink ref="F28" r:id="rId18" location="#'FE-SubscriptionRealtime'!A1" display="FE-SubscriptionRealtime"/>
    <hyperlink ref="F29" r:id="rId19" location="#'FE-CandidatePlanCache'!A1" display="FE-CandidatePlanCache"/>
    <hyperlink ref="F30" r:id="rId20" location="#'BE-CvCoachPromptBuilder'!A1" display="BE-CvCoachPromptBuilder"/>
    <hyperlink ref="F31" r:id="rId21" location="#'BE-SkillPlanResolveStatus'!A1" display="BE-SkillPlanResolveStatus"/>
    <hyperlink ref="F32" r:id="rId22" location="#'BE-SkillMatchHelper'!A1" display="BE-SkillMatchHelper"/>
    <hyperlink ref="F33" r:id="rId23" location="#'BE-AchievementRules'!A1" display="BE-AchievementRules"/>
    <hyperlink ref="F34" r:id="rId24" location="#'BE-LevelCalculator-Level'!A1" display="BE-LevelCalculator-Level"/>
    <hyperlink ref="F35" r:id="rId25" location="#'BE-LevelCalculator-Xp'!A1" display="BE-LevelCalculator-Xp"/>
    <hyperlink ref="F36" r:id="rId26" location="#'BE-StreakCalculator'!A1" display="BE-StreakCalculator"/>
    <hyperlink ref="F37" r:id="rId27" location="#'BE-UserLocalDateProvider'!A1" display="BE-UserLocalDateProvider"/>
    <hyperlink ref="F38" r:id="rId28" location="#'BE-XpRewardPolicy-Score'!A1" display="BE-XpRewardPolicy-Score"/>
    <hyperlink ref="F39" r:id="rId29" location="#'BE-XpRewardPolicy-Bonus'!A1" display="BE-XpRewardPolicy-Bonus"/>
    <hyperlink ref="F40" r:id="rId30" location="#'BE-PublishQuestionSelection'!A1" display="BE-PublishQuestionSelection"/>
    <hyperlink ref="F41" r:id="rId31" location="#'BE-RubricNormalizer'!A1" display="BE-RubricNormalizer"/>
    <hyperlink ref="F42" r:id="rId32" location="#'BE-CitationSourceScope'!A1" display="BE-CitationSourceScope"/>
    <hyperlink ref="F43" r:id="rId33" location="#'BE-JdFitReviewMapper'!A1" display="BE-JdFitReviewMapper"/>
    <hyperlink ref="F44" r:id="rId34" location="#'BE-JdFitContentHash'!A1" display="BE-JdFitContentHash"/>
    <hyperlink ref="F45" r:id="rId35" location="#'BE-PracticeFeedbackMapper'!A1" display="BE-PracticeFeedbackMapper"/>
    <hyperlink ref="F46" r:id="rId36" location="#'BE-SkillFitCalculator'!A1" display="BE-SkillFitCalculator"/>
    <hyperlink ref="F47" r:id="rId37" location="#'BE-RecommendationP1Rules'!A1" display="BE-RecommendationP1Rules"/>
    <hyperlink ref="F48" r:id="rId38" location="#'BE-RecommendationIntakeScore'!A1" display="BE-RecommendationIntakeScore"/>
    <hyperlink ref="F49" r:id="rId39" location="#'BE-KnowledgeDocumentType'!A1" display="BE-KnowledgeDocumentType"/>
    <hyperlink ref="F50" r:id="rId40" location="#'BE-ProfileDtoValidator'!A1" display="BE-ProfileDtoValidator"/>
    <hyperlink ref="F51" r:id="rId41" location="#'BE-JobDescriptionValidator'!A1" display="BE-JobDescriptionValidator"/>
    <hyperlink ref="F52" r:id="rId42" location="#'BE-PlanMergeService'!A1" display="BE-PlanMergeService"/>
    <hyperlink ref="F53" r:id="rId43" location="#'BE-FocusAreaWeightHelper'!A1" display="BE-FocusAreaWeightHelper"/>
    <hyperlink ref="F54" r:id="rId44" location="#'BE-FocusWeightOutline'!A1" display="BE-FocusWeightOutline"/>
    <hyperlink ref="F55" r:id="rId45" location="#'BE-HrSkillsHelper'!A1" display="BE-HrSkillsHelper"/>
    <hyperlink ref="F56" r:id="rId46" location="#'BE-JdClassifyGate'!A1" display="BE-JdClassifyGate"/>
    <hyperlink ref="F57" r:id="rId47" location="#'BE-JdSeniority'!A1" display="BE-JdSeniority"/>
    <hyperlink ref="F58" r:id="rId48" location="#'BE-RagPlanHrNoteBuilder'!A1" display="BE-RagPlanHrNoteBuilder"/>
    <hyperlink ref="F59" r:id="rId49" location="#'BE-PlanFocusJdCompleter'!A1" display="BE-PlanFocusJdCompleter"/>
    <hyperlink ref="F60" r:id="rId50" location="#'BE-PlanSettingsPatcher'!A1" display="BE-PlanSettingsPatcher"/>
    <hyperlink ref="F61" r:id="rId51" location="#'BE-PlanSettingsSnapshot'!A1" display="BE-PlanSettingsSnapshot"/>
    <hyperlink ref="F62" r:id="rId52" location="#'BE-QuestionRegenHelper'!A1" display="BE-QuestionRegenHelper"/>
    <hyperlink ref="F63" r:id="rId53" location="#'BE-QuestionTaxonomyMapper'!A1" display="BE-QuestionTaxonomyMapper"/>
    <hyperlink ref="F64" r:id="rId54" location="#'BE-RagQuestionMapper'!A1" display="BE-RagQuestionMapper"/>
    <hyperlink ref="F65" r:id="rId55" location="#'BE-HrGenerateWindow'!A1" display="BE-HrGenerateWindow"/>
    <hyperlink ref="F66" r:id="rId56" location="#'BE-GateHrGenerateRegen'!A1" display="BE-GateHrGenerateRegen"/>
    <hyperlink ref="F67" r:id="rId57" location="#'BE-GateCandidateCoach'!A1" display="BE-GateCandidateCoach"/>
  </hyperlinks>
  <pageMargins left="0.7" right="0.7" top="0.75" bottom="0.75" header="0" footer="0"/>
  <pageSetup paperSize="1" orientation="landscape" useFirstPageNumber="1"/>
  <headerFooter>
    <oddFooter>&amp;L 02ae-BM/PM/HDCV/FSOFT v2/1&amp;CInternal use&amp;R&amp;P/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2.6271186440678" defaultRowHeight="13.05"/>
  <cols>
    <col min="1" max="1" width="15.3813559322034" customWidth="1"/>
    <col min="2" max="2" width="26.6271186440678" customWidth="1"/>
    <col min="3" max="3" width="12.1271186440678" customWidth="1"/>
    <col min="4" max="4" width="9.6271186440678" customWidth="1"/>
    <col min="5" max="5" width="9.88135593220339" customWidth="1"/>
    <col min="6" max="8" width="5.1271186440678" customWidth="1"/>
    <col min="9" max="9" width="21" customWidth="1"/>
    <col min="10" max="26" width="10" customWidth="1"/>
  </cols>
  <sheetData>
    <row r="1" ht="12.75" customHeight="1" spans="1:26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25.5" customHeight="1" spans="1:26">
      <c r="A2" s="67" t="s">
        <v>441</v>
      </c>
      <c r="B2" s="68"/>
      <c r="C2" s="68"/>
      <c r="D2" s="68"/>
      <c r="E2" s="68"/>
      <c r="F2" s="68"/>
      <c r="G2" s="68"/>
      <c r="H2" s="68"/>
      <c r="I2" s="68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14.25" customHeight="1" spans="1:26">
      <c r="A3" s="69"/>
      <c r="B3" s="66"/>
      <c r="C3" s="66"/>
      <c r="D3" s="66"/>
      <c r="E3" s="66"/>
      <c r="F3" s="66"/>
      <c r="G3" s="66"/>
      <c r="H3" s="66"/>
      <c r="I3" s="70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13.5" customHeight="1" spans="1:26">
      <c r="A4" s="71" t="s">
        <v>46</v>
      </c>
      <c r="B4" s="72" t="str">
        <f>Cover!B4</f>
        <v>IQGS – AI-Powered Interview Question Generation System Using RAG and LLM – A Dual-Sided Platform for HR and Job Seekers</v>
      </c>
      <c r="C4" s="73"/>
      <c r="D4" s="74" t="s">
        <v>48</v>
      </c>
      <c r="E4" s="73"/>
      <c r="F4" s="75" t="s">
        <v>49</v>
      </c>
      <c r="G4" s="76"/>
      <c r="H4" s="76"/>
      <c r="I4" s="73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3.5" customHeight="1" spans="1:26">
      <c r="A5" s="71" t="s">
        <v>50</v>
      </c>
      <c r="B5" s="72" t="str">
        <f>Cover!B5</f>
        <v>SU26SE102</v>
      </c>
      <c r="C5" s="73"/>
      <c r="D5" s="74" t="s">
        <v>442</v>
      </c>
      <c r="E5" s="73"/>
      <c r="F5" s="77" t="s">
        <v>65</v>
      </c>
      <c r="G5" s="76"/>
      <c r="H5" s="76"/>
      <c r="I5" s="73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2.75" customHeight="1" spans="1:26">
      <c r="A6" s="78" t="s">
        <v>54</v>
      </c>
      <c r="B6" s="72" t="str">
        <f>B5&amp;"_"&amp;"Unit Test Report"&amp;"_"&amp;"v0.3.0"</f>
        <v>SU26SE102_Unit Test Report_v0.3.0</v>
      </c>
      <c r="C6" s="73"/>
      <c r="D6" s="74" t="s">
        <v>52</v>
      </c>
      <c r="E6" s="73"/>
      <c r="F6" s="79" t="s">
        <v>53</v>
      </c>
      <c r="G6" s="76"/>
      <c r="H6" s="76"/>
      <c r="I6" s="73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40" customHeight="1" spans="1:26">
      <c r="A7" s="78" t="s">
        <v>443</v>
      </c>
      <c r="B7" s="80" t="s">
        <v>444</v>
      </c>
      <c r="C7" s="76"/>
      <c r="D7" s="76"/>
      <c r="E7" s="76"/>
      <c r="F7" s="76"/>
      <c r="G7" s="76"/>
      <c r="H7" s="76"/>
      <c r="I7" s="73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14.25" customHeight="1" spans="1:26">
      <c r="A8" s="81"/>
      <c r="B8" s="82"/>
      <c r="C8" s="66"/>
      <c r="D8" s="66"/>
      <c r="E8" s="66"/>
      <c r="F8" s="66"/>
      <c r="G8" s="66"/>
      <c r="H8" s="66"/>
      <c r="I8" s="70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12.75" customHeight="1" spans="1:26">
      <c r="A9" s="81"/>
      <c r="B9" s="82"/>
      <c r="C9" s="66"/>
      <c r="D9" s="66"/>
      <c r="E9" s="66"/>
      <c r="F9" s="66"/>
      <c r="G9" s="66"/>
      <c r="H9" s="66"/>
      <c r="I9" s="70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2.75" customHeight="1" spans="1:26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4.25" customHeight="1" spans="1:26">
      <c r="A11" s="83" t="s">
        <v>97</v>
      </c>
      <c r="B11" s="84" t="s">
        <v>445</v>
      </c>
      <c r="C11" s="85" t="s">
        <v>446</v>
      </c>
      <c r="D11" s="84" t="s">
        <v>447</v>
      </c>
      <c r="E11" s="86" t="s">
        <v>448</v>
      </c>
      <c r="F11" s="86" t="s">
        <v>449</v>
      </c>
      <c r="G11" s="86" t="s">
        <v>66</v>
      </c>
      <c r="H11" s="86" t="s">
        <v>450</v>
      </c>
      <c r="I11" s="87" t="s">
        <v>451</v>
      </c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2.75" customHeight="1" spans="1:26">
      <c r="A12" s="88">
        <v>1</v>
      </c>
      <c r="B12" s="89" t="s">
        <v>108</v>
      </c>
      <c r="C12" s="90">
        <f>'FE-AuthInterceptor'!A7</f>
        <v>11</v>
      </c>
      <c r="D12" s="90">
        <f>'FE-AuthInterceptor'!C7</f>
        <v>0</v>
      </c>
      <c r="E12" s="90">
        <f>'FE-AuthInterceptor'!F7</f>
        <v>0</v>
      </c>
      <c r="F12" s="90">
        <f>'FE-AuthInterceptor'!L7</f>
        <v>3</v>
      </c>
      <c r="G12" s="90">
        <f>'FE-AuthInterceptor'!M7</f>
        <v>6</v>
      </c>
      <c r="H12" s="90">
        <f>'FE-AuthInterceptor'!N7</f>
        <v>2</v>
      </c>
      <c r="I12" s="91">
        <f>'FE-AuthInterceptor'!O7</f>
        <v>11</v>
      </c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12.75" customHeight="1" spans="1:26">
      <c r="A13" s="88">
        <v>2</v>
      </c>
      <c r="B13" s="89" t="s">
        <v>114</v>
      </c>
      <c r="C13" s="90">
        <f>'FE-ExtractErrorMessage'!A7</f>
        <v>4</v>
      </c>
      <c r="D13" s="90">
        <f>'FE-ExtractErrorMessage'!C7</f>
        <v>0</v>
      </c>
      <c r="E13" s="90">
        <f>'FE-ExtractErrorMessage'!F7</f>
        <v>0</v>
      </c>
      <c r="F13" s="90">
        <f>'FE-ExtractErrorMessage'!L7</f>
        <v>2</v>
      </c>
      <c r="G13" s="90">
        <f>'FE-ExtractErrorMessage'!M7</f>
        <v>1</v>
      </c>
      <c r="H13" s="90">
        <f>'FE-ExtractErrorMessage'!N7</f>
        <v>1</v>
      </c>
      <c r="I13" s="91">
        <f>'FE-ExtractErrorMessage'!O7</f>
        <v>4</v>
      </c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12.75" customHeight="1" spans="1:26">
      <c r="A14" s="88">
        <v>3</v>
      </c>
      <c r="B14" s="89" t="s">
        <v>120</v>
      </c>
      <c r="C14" s="90">
        <f>'FE-AuthState'!A7</f>
        <v>4</v>
      </c>
      <c r="D14" s="90">
        <f>'FE-AuthState'!C7</f>
        <v>0</v>
      </c>
      <c r="E14" s="90">
        <f>'FE-AuthState'!F7</f>
        <v>0</v>
      </c>
      <c r="F14" s="90">
        <f>'FE-AuthState'!L7</f>
        <v>4</v>
      </c>
      <c r="G14" s="90">
        <f>'FE-AuthState'!M7</f>
        <v>0</v>
      </c>
      <c r="H14" s="90">
        <f>'FE-AuthState'!N7</f>
        <v>0</v>
      </c>
      <c r="I14" s="91">
        <f>'FE-AuthState'!O7</f>
        <v>4</v>
      </c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12.75" customHeight="1" spans="1:26">
      <c r="A15" s="88">
        <v>4</v>
      </c>
      <c r="B15" s="89" t="s">
        <v>125</v>
      </c>
      <c r="C15" s="90">
        <f>'FE-RoleRedirectExtractRole'!A7</f>
        <v>11</v>
      </c>
      <c r="D15" s="90">
        <f>'FE-RoleRedirectExtractRole'!C7</f>
        <v>0</v>
      </c>
      <c r="E15" s="90">
        <f>'FE-RoleRedirectExtractRole'!F7</f>
        <v>0</v>
      </c>
      <c r="F15" s="90">
        <f>'FE-RoleRedirectExtractRole'!L7</f>
        <v>7</v>
      </c>
      <c r="G15" s="90">
        <f>'FE-RoleRedirectExtractRole'!M7</f>
        <v>2</v>
      </c>
      <c r="H15" s="90">
        <f>'FE-RoleRedirectExtractRole'!N7</f>
        <v>2</v>
      </c>
      <c r="I15" s="91">
        <f>'FE-RoleRedirectExtractRole'!O7</f>
        <v>11</v>
      </c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12.75" customHeight="1" spans="1:26">
      <c r="A16" s="88">
        <v>5</v>
      </c>
      <c r="B16" s="89" t="s">
        <v>132</v>
      </c>
      <c r="C16" s="90">
        <f>'FE-CitationDisplay'!A7</f>
        <v>7</v>
      </c>
      <c r="D16" s="90">
        <f>'FE-CitationDisplay'!C7</f>
        <v>0</v>
      </c>
      <c r="E16" s="90">
        <f>'FE-CitationDisplay'!F7</f>
        <v>0</v>
      </c>
      <c r="F16" s="90">
        <f>'FE-CitationDisplay'!L7</f>
        <v>5</v>
      </c>
      <c r="G16" s="90">
        <f>'FE-CitationDisplay'!M7</f>
        <v>0</v>
      </c>
      <c r="H16" s="90">
        <f>'FE-CitationDisplay'!N7</f>
        <v>2</v>
      </c>
      <c r="I16" s="91">
        <f>'FE-CitationDisplay'!O7</f>
        <v>7</v>
      </c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12.75" customHeight="1" spans="1:26">
      <c r="A17" s="88">
        <v>6</v>
      </c>
      <c r="B17" s="89" t="s">
        <v>137</v>
      </c>
      <c r="C17" s="90">
        <f>'FE-InferTemplate-Detect'!A7</f>
        <v>13</v>
      </c>
      <c r="D17" s="90">
        <f>'FE-InferTemplate-Detect'!C7</f>
        <v>0</v>
      </c>
      <c r="E17" s="90">
        <f>'FE-InferTemplate-Detect'!F7</f>
        <v>0</v>
      </c>
      <c r="F17" s="90">
        <f>'FE-InferTemplate-Detect'!L7</f>
        <v>10</v>
      </c>
      <c r="G17" s="90">
        <f>'FE-InferTemplate-Detect'!M7</f>
        <v>1</v>
      </c>
      <c r="H17" s="90">
        <f>'FE-InferTemplate-Detect'!N7</f>
        <v>2</v>
      </c>
      <c r="I17" s="91">
        <f>'FE-InferTemplate-Detect'!O7</f>
        <v>13</v>
      </c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12.75" customHeight="1" spans="1:26">
      <c r="A18" s="88">
        <v>7</v>
      </c>
      <c r="B18" s="89" t="s">
        <v>142</v>
      </c>
      <c r="C18" s="90">
        <f>'FE-InferTemplate-Snippet'!A7</f>
        <v>12</v>
      </c>
      <c r="D18" s="90">
        <f>'FE-InferTemplate-Snippet'!C7</f>
        <v>0</v>
      </c>
      <c r="E18" s="90">
        <f>'FE-InferTemplate-Snippet'!F7</f>
        <v>0</v>
      </c>
      <c r="F18" s="90">
        <f>'FE-InferTemplate-Snippet'!L7</f>
        <v>6</v>
      </c>
      <c r="G18" s="90">
        <f>'FE-InferTemplate-Snippet'!M7</f>
        <v>3</v>
      </c>
      <c r="H18" s="90">
        <f>'FE-InferTemplate-Snippet'!N7</f>
        <v>3</v>
      </c>
      <c r="I18" s="91">
        <f>'FE-InferTemplate-Snippet'!O7</f>
        <v>12</v>
      </c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12.75" customHeight="1" spans="1:26">
      <c r="A19" s="88">
        <v>8</v>
      </c>
      <c r="B19" s="89" t="s">
        <v>147</v>
      </c>
      <c r="C19" s="90">
        <f>'FE-InferGeneratedTemplate'!A7</f>
        <v>3</v>
      </c>
      <c r="D19" s="90">
        <f>'FE-InferGeneratedTemplate'!C7</f>
        <v>0</v>
      </c>
      <c r="E19" s="90">
        <f>'FE-InferGeneratedTemplate'!F7</f>
        <v>0</v>
      </c>
      <c r="F19" s="90">
        <f>'FE-InferGeneratedTemplate'!L7</f>
        <v>2</v>
      </c>
      <c r="G19" s="90">
        <f>'FE-InferGeneratedTemplate'!M7</f>
        <v>0</v>
      </c>
      <c r="H19" s="90">
        <f>'FE-InferGeneratedTemplate'!N7</f>
        <v>1</v>
      </c>
      <c r="I19" s="91">
        <f>'FE-InferGeneratedTemplate'!O7</f>
        <v>3</v>
      </c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12.75" customHeight="1" spans="1:26">
      <c r="A20" s="88">
        <v>9</v>
      </c>
      <c r="B20" s="89" t="s">
        <v>153</v>
      </c>
      <c r="C20" s="90">
        <f>'FE-GamificationFormatters'!A7</f>
        <v>14</v>
      </c>
      <c r="D20" s="90">
        <f>'FE-GamificationFormatters'!C7</f>
        <v>0</v>
      </c>
      <c r="E20" s="90">
        <f>'FE-GamificationFormatters'!F7</f>
        <v>0</v>
      </c>
      <c r="F20" s="90">
        <f>'FE-GamificationFormatters'!L7</f>
        <v>2</v>
      </c>
      <c r="G20" s="90">
        <f>'FE-GamificationFormatters'!M7</f>
        <v>0</v>
      </c>
      <c r="H20" s="90">
        <f>'FE-GamificationFormatters'!N7</f>
        <v>12</v>
      </c>
      <c r="I20" s="91">
        <f>'FE-GamificationFormatters'!O7</f>
        <v>14</v>
      </c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2.75" customHeight="1" spans="1:26">
      <c r="A21" s="88">
        <v>10</v>
      </c>
      <c r="B21" s="89" t="s">
        <v>157</v>
      </c>
      <c r="C21" s="90">
        <f>'FE-TimeAgo'!A7</f>
        <v>10</v>
      </c>
      <c r="D21" s="90">
        <f>'FE-TimeAgo'!C7</f>
        <v>0</v>
      </c>
      <c r="E21" s="90">
        <f>'FE-TimeAgo'!F7</f>
        <v>0</v>
      </c>
      <c r="F21" s="90">
        <f>'FE-TimeAgo'!L7</f>
        <v>8</v>
      </c>
      <c r="G21" s="90">
        <f>'FE-TimeAgo'!M7</f>
        <v>0</v>
      </c>
      <c r="H21" s="90">
        <f>'FE-TimeAgo'!N7</f>
        <v>2</v>
      </c>
      <c r="I21" s="91">
        <f>'FE-TimeAgo'!O7</f>
        <v>10</v>
      </c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2.75" customHeight="1" spans="1:26">
      <c r="A22" s="88">
        <v>11</v>
      </c>
      <c r="B22" s="89" t="s">
        <v>164</v>
      </c>
      <c r="C22" s="90">
        <f>'FE-ComputeStreakDays'!A7</f>
        <v>8</v>
      </c>
      <c r="D22" s="90">
        <f>'FE-ComputeStreakDays'!C7</f>
        <v>0</v>
      </c>
      <c r="E22" s="90">
        <f>'FE-ComputeStreakDays'!F7</f>
        <v>0</v>
      </c>
      <c r="F22" s="90">
        <f>'FE-ComputeStreakDays'!L7</f>
        <v>2</v>
      </c>
      <c r="G22" s="90">
        <f>'FE-ComputeStreakDays'!M7</f>
        <v>3</v>
      </c>
      <c r="H22" s="90">
        <f>'FE-ComputeStreakDays'!N7</f>
        <v>3</v>
      </c>
      <c r="I22" s="91">
        <f>'FE-ComputeStreakDays'!O7</f>
        <v>8</v>
      </c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2.75" customHeight="1" spans="1:26">
      <c r="A23" s="88">
        <v>12</v>
      </c>
      <c r="B23" s="89" t="s">
        <v>170</v>
      </c>
      <c r="C23" s="90">
        <f>'FE-LabelsCompanyScore'!A7</f>
        <v>9</v>
      </c>
      <c r="D23" s="90">
        <f>'FE-LabelsCompanyScore'!C7</f>
        <v>0</v>
      </c>
      <c r="E23" s="90">
        <f>'FE-LabelsCompanyScore'!F7</f>
        <v>0</v>
      </c>
      <c r="F23" s="90">
        <f>'FE-LabelsCompanyScore'!L7</f>
        <v>5</v>
      </c>
      <c r="G23" s="90">
        <f>'FE-LabelsCompanyScore'!M7</f>
        <v>1</v>
      </c>
      <c r="H23" s="90">
        <f>'FE-LabelsCompanyScore'!N7</f>
        <v>3</v>
      </c>
      <c r="I23" s="91">
        <f>'FE-LabelsCompanyScore'!O7</f>
        <v>9</v>
      </c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2.75" customHeight="1" spans="1:26">
      <c r="A24" s="88">
        <v>13</v>
      </c>
      <c r="B24" s="89" t="s">
        <v>176</v>
      </c>
      <c r="C24" s="90">
        <f>'FE-AdminUserDisplay'!A7</f>
        <v>13</v>
      </c>
      <c r="D24" s="90">
        <f>'FE-AdminUserDisplay'!C7</f>
        <v>0</v>
      </c>
      <c r="E24" s="90">
        <f>'FE-AdminUserDisplay'!F7</f>
        <v>0</v>
      </c>
      <c r="F24" s="90">
        <f>'FE-AdminUserDisplay'!L7</f>
        <v>8</v>
      </c>
      <c r="G24" s="90">
        <f>'FE-AdminUserDisplay'!M7</f>
        <v>2</v>
      </c>
      <c r="H24" s="90">
        <f>'FE-AdminUserDisplay'!N7</f>
        <v>3</v>
      </c>
      <c r="I24" s="91">
        <f>'FE-AdminUserDisplay'!O7</f>
        <v>13</v>
      </c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2.75" customHeight="1" spans="1:26">
      <c r="A25" s="88">
        <v>14</v>
      </c>
      <c r="B25" s="89" t="s">
        <v>182</v>
      </c>
      <c r="C25" s="90">
        <f>'FE-GreetingLoginWelcome'!A7</f>
        <v>8</v>
      </c>
      <c r="D25" s="90">
        <f>'FE-GreetingLoginWelcome'!C7</f>
        <v>0</v>
      </c>
      <c r="E25" s="90">
        <f>'FE-GreetingLoginWelcome'!F7</f>
        <v>0</v>
      </c>
      <c r="F25" s="90">
        <f>'FE-GreetingLoginWelcome'!L7</f>
        <v>2</v>
      </c>
      <c r="G25" s="90">
        <f>'FE-GreetingLoginWelcome'!M7</f>
        <v>1</v>
      </c>
      <c r="H25" s="90">
        <f>'FE-GreetingLoginWelcome'!N7</f>
        <v>5</v>
      </c>
      <c r="I25" s="91">
        <f>'FE-GreetingLoginWelcome'!O7</f>
        <v>8</v>
      </c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2.75" customHeight="1" spans="1:26">
      <c r="A26" s="88">
        <v>15</v>
      </c>
      <c r="B26" s="89" t="s">
        <v>188</v>
      </c>
      <c r="C26" s="90">
        <f>'FE-FormatRelativeTime'!A7</f>
        <v>9</v>
      </c>
      <c r="D26" s="90">
        <f>'FE-FormatRelativeTime'!C7</f>
        <v>0</v>
      </c>
      <c r="E26" s="90">
        <f>'FE-FormatRelativeTime'!F7</f>
        <v>0</v>
      </c>
      <c r="F26" s="90">
        <f>'FE-FormatRelativeTime'!L7</f>
        <v>6</v>
      </c>
      <c r="G26" s="90">
        <f>'FE-FormatRelativeTime'!M7</f>
        <v>1</v>
      </c>
      <c r="H26" s="90">
        <f>'FE-FormatRelativeTime'!N7</f>
        <v>2</v>
      </c>
      <c r="I26" s="91">
        <f>'FE-FormatRelativeTime'!O7</f>
        <v>9</v>
      </c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2.75" customHeight="1" spans="1:26">
      <c r="A27" s="88">
        <v>16</v>
      </c>
      <c r="B27" s="89" t="s">
        <v>193</v>
      </c>
      <c r="C27" s="90">
        <f>'FE-NavUserDisplay'!A7</f>
        <v>8</v>
      </c>
      <c r="D27" s="90">
        <f>'FE-NavUserDisplay'!C7</f>
        <v>0</v>
      </c>
      <c r="E27" s="90">
        <f>'FE-NavUserDisplay'!F7</f>
        <v>0</v>
      </c>
      <c r="F27" s="90">
        <f>'FE-NavUserDisplay'!L7</f>
        <v>4</v>
      </c>
      <c r="G27" s="90">
        <f>'FE-NavUserDisplay'!M7</f>
        <v>2</v>
      </c>
      <c r="H27" s="90">
        <f>'FE-NavUserDisplay'!N7</f>
        <v>2</v>
      </c>
      <c r="I27" s="91">
        <f>'FE-NavUserDisplay'!O7</f>
        <v>8</v>
      </c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2.75" customHeight="1" spans="1:26">
      <c r="A28" s="88">
        <v>17</v>
      </c>
      <c r="B28" s="89" t="s">
        <v>198</v>
      </c>
      <c r="C28" s="90">
        <f>'FE-UrlAvatarMessages'!A7</f>
        <v>7</v>
      </c>
      <c r="D28" s="90">
        <f>'FE-UrlAvatarMessages'!C7</f>
        <v>0</v>
      </c>
      <c r="E28" s="90">
        <f>'FE-UrlAvatarMessages'!F7</f>
        <v>0</v>
      </c>
      <c r="F28" s="90">
        <f>'FE-UrlAvatarMessages'!L7</f>
        <v>3</v>
      </c>
      <c r="G28" s="90">
        <f>'FE-UrlAvatarMessages'!M7</f>
        <v>3</v>
      </c>
      <c r="H28" s="90">
        <f>'FE-UrlAvatarMessages'!N7</f>
        <v>1</v>
      </c>
      <c r="I28" s="91">
        <f>'FE-UrlAvatarMessages'!O7</f>
        <v>7</v>
      </c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2.75" customHeight="1" spans="1:26">
      <c r="A29" s="88">
        <v>18</v>
      </c>
      <c r="B29" s="89" t="s">
        <v>204</v>
      </c>
      <c r="C29" s="90">
        <f>'FE-SubscriptionRealtime'!A7</f>
        <v>6</v>
      </c>
      <c r="D29" s="90">
        <f>'FE-SubscriptionRealtime'!C7</f>
        <v>0</v>
      </c>
      <c r="E29" s="90">
        <f>'FE-SubscriptionRealtime'!F7</f>
        <v>0</v>
      </c>
      <c r="F29" s="90">
        <f>'FE-SubscriptionRealtime'!L7</f>
        <v>3</v>
      </c>
      <c r="G29" s="90">
        <f>'FE-SubscriptionRealtime'!M7</f>
        <v>2</v>
      </c>
      <c r="H29" s="90">
        <f>'FE-SubscriptionRealtime'!N7</f>
        <v>1</v>
      </c>
      <c r="I29" s="91">
        <f>'FE-SubscriptionRealtime'!O7</f>
        <v>6</v>
      </c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2.75" customHeight="1" spans="1:26">
      <c r="A30" s="88">
        <v>19</v>
      </c>
      <c r="B30" s="89" t="s">
        <v>210</v>
      </c>
      <c r="C30" s="90">
        <f>'FE-CandidatePlanCache'!A7</f>
        <v>4</v>
      </c>
      <c r="D30" s="90">
        <f>'FE-CandidatePlanCache'!C7</f>
        <v>0</v>
      </c>
      <c r="E30" s="90">
        <f>'FE-CandidatePlanCache'!F7</f>
        <v>0</v>
      </c>
      <c r="F30" s="90">
        <f>'FE-CandidatePlanCache'!L7</f>
        <v>2</v>
      </c>
      <c r="G30" s="90">
        <f>'FE-CandidatePlanCache'!M7</f>
        <v>1</v>
      </c>
      <c r="H30" s="90">
        <f>'FE-CandidatePlanCache'!N7</f>
        <v>1</v>
      </c>
      <c r="I30" s="91">
        <f>'FE-CandidatePlanCache'!O7</f>
        <v>4</v>
      </c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2.75" customHeight="1" spans="1:26">
      <c r="A31" s="88">
        <v>20</v>
      </c>
      <c r="B31" s="89" t="s">
        <v>217</v>
      </c>
      <c r="C31" s="90">
        <f>'BE-CvCoachPromptBuilder'!A7</f>
        <v>3</v>
      </c>
      <c r="D31" s="90">
        <f>'BE-CvCoachPromptBuilder'!C7</f>
        <v>0</v>
      </c>
      <c r="E31" s="90">
        <f>'BE-CvCoachPromptBuilder'!F7</f>
        <v>0</v>
      </c>
      <c r="F31" s="90">
        <f>'BE-CvCoachPromptBuilder'!L7</f>
        <v>3</v>
      </c>
      <c r="G31" s="90">
        <f>'BE-CvCoachPromptBuilder'!M7</f>
        <v>0</v>
      </c>
      <c r="H31" s="90">
        <f>'BE-CvCoachPromptBuilder'!N7</f>
        <v>0</v>
      </c>
      <c r="I31" s="91">
        <f>'BE-CvCoachPromptBuilder'!O7</f>
        <v>3</v>
      </c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2.75" customHeight="1" spans="1:26">
      <c r="A32" s="88">
        <v>21</v>
      </c>
      <c r="B32" s="89" t="s">
        <v>223</v>
      </c>
      <c r="C32" s="90">
        <f>'BE-SkillPlanResolveStatus'!A7</f>
        <v>1</v>
      </c>
      <c r="D32" s="90">
        <f>'BE-SkillPlanResolveStatus'!C7</f>
        <v>0</v>
      </c>
      <c r="E32" s="90">
        <f>'BE-SkillPlanResolveStatus'!F7</f>
        <v>0</v>
      </c>
      <c r="F32" s="90">
        <f>'BE-SkillPlanResolveStatus'!L7</f>
        <v>0</v>
      </c>
      <c r="G32" s="90">
        <f>'BE-SkillPlanResolveStatus'!M7</f>
        <v>0</v>
      </c>
      <c r="H32" s="90">
        <f>'BE-SkillPlanResolveStatus'!N7</f>
        <v>1</v>
      </c>
      <c r="I32" s="91">
        <f>'BE-SkillPlanResolveStatus'!O7</f>
        <v>1</v>
      </c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2.75" customHeight="1" spans="1:26">
      <c r="A33" s="88">
        <v>22</v>
      </c>
      <c r="B33" s="89" t="s">
        <v>229</v>
      </c>
      <c r="C33" s="90">
        <f>'BE-SkillMatchHelper'!A7</f>
        <v>3</v>
      </c>
      <c r="D33" s="90">
        <f>'BE-SkillMatchHelper'!C7</f>
        <v>0</v>
      </c>
      <c r="E33" s="90">
        <f>'BE-SkillMatchHelper'!F7</f>
        <v>0</v>
      </c>
      <c r="F33" s="90">
        <f>'BE-SkillMatchHelper'!L7</f>
        <v>2</v>
      </c>
      <c r="G33" s="90">
        <f>'BE-SkillMatchHelper'!M7</f>
        <v>0</v>
      </c>
      <c r="H33" s="90">
        <f>'BE-SkillMatchHelper'!N7</f>
        <v>1</v>
      </c>
      <c r="I33" s="91">
        <f>'BE-SkillMatchHelper'!O7</f>
        <v>3</v>
      </c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2.75" customHeight="1" spans="1:26">
      <c r="A34" s="88">
        <v>23</v>
      </c>
      <c r="B34" s="89" t="s">
        <v>236</v>
      </c>
      <c r="C34" s="90">
        <f>'BE-AchievementRules'!A7</f>
        <v>9</v>
      </c>
      <c r="D34" s="90">
        <f>'BE-AchievementRules'!C7</f>
        <v>0</v>
      </c>
      <c r="E34" s="90">
        <f>'BE-AchievementRules'!F7</f>
        <v>0</v>
      </c>
      <c r="F34" s="90">
        <f>'BE-AchievementRules'!L7</f>
        <v>1</v>
      </c>
      <c r="G34" s="90">
        <f>'BE-AchievementRules'!M7</f>
        <v>0</v>
      </c>
      <c r="H34" s="90">
        <f>'BE-AchievementRules'!N7</f>
        <v>8</v>
      </c>
      <c r="I34" s="91">
        <f>'BE-AchievementRules'!O7</f>
        <v>9</v>
      </c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2.75" customHeight="1" spans="1:26">
      <c r="A35" s="88">
        <v>24</v>
      </c>
      <c r="B35" s="89" t="s">
        <v>242</v>
      </c>
      <c r="C35" s="90">
        <f>'BE-LevelCalculator-Level'!A7</f>
        <v>15</v>
      </c>
      <c r="D35" s="90">
        <f>'BE-LevelCalculator-Level'!C7</f>
        <v>0</v>
      </c>
      <c r="E35" s="90">
        <f>'BE-LevelCalculator-Level'!F7</f>
        <v>0</v>
      </c>
      <c r="F35" s="90">
        <f>'BE-LevelCalculator-Level'!L7</f>
        <v>0</v>
      </c>
      <c r="G35" s="90">
        <f>'BE-LevelCalculator-Level'!M7</f>
        <v>0</v>
      </c>
      <c r="H35" s="90">
        <f>'BE-LevelCalculator-Level'!N7</f>
        <v>15</v>
      </c>
      <c r="I35" s="91">
        <f>'BE-LevelCalculator-Level'!O7</f>
        <v>15</v>
      </c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2.75" customHeight="1" spans="1:26">
      <c r="A36" s="88">
        <v>25</v>
      </c>
      <c r="B36" s="89" t="s">
        <v>247</v>
      </c>
      <c r="C36" s="90">
        <f>'BE-LevelCalculator-Xp'!A7</f>
        <v>15</v>
      </c>
      <c r="D36" s="90">
        <f>'BE-LevelCalculator-Xp'!C7</f>
        <v>0</v>
      </c>
      <c r="E36" s="90">
        <f>'BE-LevelCalculator-Xp'!F7</f>
        <v>0</v>
      </c>
      <c r="F36" s="90">
        <f>'BE-LevelCalculator-Xp'!L7</f>
        <v>13</v>
      </c>
      <c r="G36" s="90">
        <f>'BE-LevelCalculator-Xp'!M7</f>
        <v>0</v>
      </c>
      <c r="H36" s="90">
        <f>'BE-LevelCalculator-Xp'!N7</f>
        <v>2</v>
      </c>
      <c r="I36" s="91">
        <f>'BE-LevelCalculator-Xp'!O7</f>
        <v>15</v>
      </c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2.75" customHeight="1" spans="1:26">
      <c r="A37" s="88">
        <v>26</v>
      </c>
      <c r="B37" s="89" t="s">
        <v>252</v>
      </c>
      <c r="C37" s="90">
        <f>'BE-StreakCalculator'!A7</f>
        <v>6</v>
      </c>
      <c r="D37" s="90">
        <f>'BE-StreakCalculator'!C7</f>
        <v>0</v>
      </c>
      <c r="E37" s="90">
        <f>'BE-StreakCalculator'!F7</f>
        <v>0</v>
      </c>
      <c r="F37" s="90">
        <f>'BE-StreakCalculator'!L7</f>
        <v>3</v>
      </c>
      <c r="G37" s="90">
        <f>'BE-StreakCalculator'!M7</f>
        <v>1</v>
      </c>
      <c r="H37" s="90">
        <f>'BE-StreakCalculator'!N7</f>
        <v>2</v>
      </c>
      <c r="I37" s="91">
        <f>'BE-StreakCalculator'!O7</f>
        <v>6</v>
      </c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2.75" customHeight="1" spans="1:26">
      <c r="A38" s="88">
        <v>27</v>
      </c>
      <c r="B38" s="89" t="s">
        <v>258</v>
      </c>
      <c r="C38" s="90">
        <f>'BE-UserLocalDateProvider'!A7</f>
        <v>4</v>
      </c>
      <c r="D38" s="90">
        <f>'BE-UserLocalDateProvider'!C7</f>
        <v>0</v>
      </c>
      <c r="E38" s="90">
        <f>'BE-UserLocalDateProvider'!F7</f>
        <v>0</v>
      </c>
      <c r="F38" s="90">
        <f>'BE-UserLocalDateProvider'!L7</f>
        <v>1</v>
      </c>
      <c r="G38" s="90">
        <f>'BE-UserLocalDateProvider'!M7</f>
        <v>3</v>
      </c>
      <c r="H38" s="90">
        <f>'BE-UserLocalDateProvider'!N7</f>
        <v>0</v>
      </c>
      <c r="I38" s="91">
        <f>'BE-UserLocalDateProvider'!O7</f>
        <v>4</v>
      </c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2.75" customHeight="1" spans="1:26">
      <c r="A39" s="88">
        <v>28</v>
      </c>
      <c r="B39" s="89" t="s">
        <v>264</v>
      </c>
      <c r="C39" s="90">
        <f>'BE-XpRewardPolicy-Score'!A7</f>
        <v>10</v>
      </c>
      <c r="D39" s="90">
        <f>'BE-XpRewardPolicy-Score'!C7</f>
        <v>0</v>
      </c>
      <c r="E39" s="90">
        <f>'BE-XpRewardPolicy-Score'!F7</f>
        <v>0</v>
      </c>
      <c r="F39" s="90">
        <f>'BE-XpRewardPolicy-Score'!L7</f>
        <v>0</v>
      </c>
      <c r="G39" s="90">
        <f>'BE-XpRewardPolicy-Score'!M7</f>
        <v>2</v>
      </c>
      <c r="H39" s="90">
        <f>'BE-XpRewardPolicy-Score'!N7</f>
        <v>8</v>
      </c>
      <c r="I39" s="91">
        <f>'BE-XpRewardPolicy-Score'!O7</f>
        <v>10</v>
      </c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3.5" customHeight="1" spans="1:26">
      <c r="A40" s="88">
        <v>29</v>
      </c>
      <c r="B40" s="89" t="s">
        <v>269</v>
      </c>
      <c r="C40" s="90">
        <f>'BE-XpRewardPolicy-Bonus'!A7</f>
        <v>11</v>
      </c>
      <c r="D40" s="90">
        <f>'BE-XpRewardPolicy-Bonus'!C7</f>
        <v>0</v>
      </c>
      <c r="E40" s="90">
        <f>'BE-XpRewardPolicy-Bonus'!F7</f>
        <v>0</v>
      </c>
      <c r="F40" s="90">
        <f>'BE-XpRewardPolicy-Bonus'!L7</f>
        <v>8</v>
      </c>
      <c r="G40" s="90">
        <f>'BE-XpRewardPolicy-Bonus'!M7</f>
        <v>0</v>
      </c>
      <c r="H40" s="90">
        <f>'BE-XpRewardPolicy-Bonus'!N7</f>
        <v>3</v>
      </c>
      <c r="I40" s="91">
        <f>'BE-XpRewardPolicy-Bonus'!O7</f>
        <v>11</v>
      </c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2.75" customHeight="1" spans="1:26">
      <c r="A41" s="88">
        <v>30</v>
      </c>
      <c r="B41" s="89" t="s">
        <v>275</v>
      </c>
      <c r="C41" s="90">
        <f>'BE-PublishQuestionSelection'!A7</f>
        <v>4</v>
      </c>
      <c r="D41" s="90">
        <f>'BE-PublishQuestionSelection'!C7</f>
        <v>0</v>
      </c>
      <c r="E41" s="90">
        <f>'BE-PublishQuestionSelection'!F7</f>
        <v>0</v>
      </c>
      <c r="F41" s="90">
        <f>'BE-PublishQuestionSelection'!L7</f>
        <v>2</v>
      </c>
      <c r="G41" s="90">
        <f>'BE-PublishQuestionSelection'!M7</f>
        <v>1</v>
      </c>
      <c r="H41" s="90">
        <f>'BE-PublishQuestionSelection'!N7</f>
        <v>1</v>
      </c>
      <c r="I41" s="91">
        <f>'BE-PublishQuestionSelection'!O7</f>
        <v>4</v>
      </c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2.75" customHeight="1" spans="1:26">
      <c r="A42" s="88">
        <v>31</v>
      </c>
      <c r="B42" s="89" t="s">
        <v>281</v>
      </c>
      <c r="C42" s="90">
        <f>'BE-RubricNormalizer'!A7</f>
        <v>4</v>
      </c>
      <c r="D42" s="90">
        <f>'BE-RubricNormalizer'!C7</f>
        <v>0</v>
      </c>
      <c r="E42" s="90">
        <f>'BE-RubricNormalizer'!F7</f>
        <v>0</v>
      </c>
      <c r="F42" s="90">
        <f>'BE-RubricNormalizer'!L7</f>
        <v>4</v>
      </c>
      <c r="G42" s="90">
        <f>'BE-RubricNormalizer'!M7</f>
        <v>0</v>
      </c>
      <c r="H42" s="90">
        <f>'BE-RubricNormalizer'!N7</f>
        <v>0</v>
      </c>
      <c r="I42" s="91">
        <f>'BE-RubricNormalizer'!O7</f>
        <v>4</v>
      </c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2.75" customHeight="1" spans="1:26">
      <c r="A43" s="88">
        <v>32</v>
      </c>
      <c r="B43" s="89" t="s">
        <v>286</v>
      </c>
      <c r="C43" s="90">
        <f>'BE-CitationSourceScope'!A7</f>
        <v>3</v>
      </c>
      <c r="D43" s="90">
        <f>'BE-CitationSourceScope'!C7</f>
        <v>0</v>
      </c>
      <c r="E43" s="90">
        <f>'BE-CitationSourceScope'!F7</f>
        <v>0</v>
      </c>
      <c r="F43" s="90">
        <f>'BE-CitationSourceScope'!L7</f>
        <v>3</v>
      </c>
      <c r="G43" s="90">
        <f>'BE-CitationSourceScope'!M7</f>
        <v>0</v>
      </c>
      <c r="H43" s="90">
        <f>'BE-CitationSourceScope'!N7</f>
        <v>0</v>
      </c>
      <c r="I43" s="91">
        <f>'BE-CitationSourceScope'!O7</f>
        <v>3</v>
      </c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2.75" customHeight="1" spans="1:26">
      <c r="A44" s="88">
        <v>33</v>
      </c>
      <c r="B44" s="89" t="s">
        <v>293</v>
      </c>
      <c r="C44" s="90">
        <f>'BE-JdFitReviewMapper'!A7</f>
        <v>8</v>
      </c>
      <c r="D44" s="90">
        <f>'BE-JdFitReviewMapper'!C7</f>
        <v>0</v>
      </c>
      <c r="E44" s="90">
        <f>'BE-JdFitReviewMapper'!F7</f>
        <v>0</v>
      </c>
      <c r="F44" s="90">
        <f>'BE-JdFitReviewMapper'!L7</f>
        <v>6</v>
      </c>
      <c r="G44" s="90">
        <f>'BE-JdFitReviewMapper'!M7</f>
        <v>2</v>
      </c>
      <c r="H44" s="90">
        <f>'BE-JdFitReviewMapper'!N7</f>
        <v>0</v>
      </c>
      <c r="I44" s="91">
        <f>'BE-JdFitReviewMapper'!O7</f>
        <v>8</v>
      </c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2.75" customHeight="1" spans="1:26">
      <c r="A45" s="88">
        <v>34</v>
      </c>
      <c r="B45" s="89" t="s">
        <v>298</v>
      </c>
      <c r="C45" s="90">
        <f>'BE-JdFitContentHash'!A7</f>
        <v>1</v>
      </c>
      <c r="D45" s="90">
        <f>'BE-JdFitContentHash'!C7</f>
        <v>0</v>
      </c>
      <c r="E45" s="90">
        <f>'BE-JdFitContentHash'!F7</f>
        <v>0</v>
      </c>
      <c r="F45" s="90">
        <f>'BE-JdFitContentHash'!L7</f>
        <v>1</v>
      </c>
      <c r="G45" s="90">
        <f>'BE-JdFitContentHash'!M7</f>
        <v>0</v>
      </c>
      <c r="H45" s="90">
        <f>'BE-JdFitContentHash'!N7</f>
        <v>0</v>
      </c>
      <c r="I45" s="91">
        <f>'BE-JdFitContentHash'!O7</f>
        <v>1</v>
      </c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2.75" customHeight="1" spans="1:26">
      <c r="A46" s="88">
        <v>35</v>
      </c>
      <c r="B46" s="89" t="s">
        <v>304</v>
      </c>
      <c r="C46" s="90">
        <f>'BE-PracticeFeedbackMapper'!A7</f>
        <v>2</v>
      </c>
      <c r="D46" s="90">
        <f>'BE-PracticeFeedbackMapper'!C7</f>
        <v>0</v>
      </c>
      <c r="E46" s="90">
        <f>'BE-PracticeFeedbackMapper'!F7</f>
        <v>0</v>
      </c>
      <c r="F46" s="90">
        <f>'BE-PracticeFeedbackMapper'!L7</f>
        <v>2</v>
      </c>
      <c r="G46" s="90">
        <f>'BE-PracticeFeedbackMapper'!M7</f>
        <v>0</v>
      </c>
      <c r="H46" s="90">
        <f>'BE-PracticeFeedbackMapper'!N7</f>
        <v>0</v>
      </c>
      <c r="I46" s="91">
        <f>'BE-PracticeFeedbackMapper'!O7</f>
        <v>2</v>
      </c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5.75" customHeight="1" spans="1:26">
      <c r="A47" s="88">
        <v>36</v>
      </c>
      <c r="B47" s="89" t="s">
        <v>309</v>
      </c>
      <c r="C47" s="90">
        <f>'BE-SkillFitCalculator'!A7</f>
        <v>2</v>
      </c>
      <c r="D47" s="90">
        <f>'BE-SkillFitCalculator'!C7</f>
        <v>0</v>
      </c>
      <c r="E47" s="90">
        <f>'BE-SkillFitCalculator'!F7</f>
        <v>0</v>
      </c>
      <c r="F47" s="90">
        <f>'BE-SkillFitCalculator'!L7</f>
        <v>2</v>
      </c>
      <c r="G47" s="90">
        <f>'BE-SkillFitCalculator'!M7</f>
        <v>0</v>
      </c>
      <c r="H47" s="90">
        <f>'BE-SkillFitCalculator'!N7</f>
        <v>0</v>
      </c>
      <c r="I47" s="91">
        <f>'BE-SkillFitCalculator'!O7</f>
        <v>2</v>
      </c>
    </row>
    <row r="48" ht="15.75" customHeight="1" spans="1:26">
      <c r="A48" s="88">
        <v>37</v>
      </c>
      <c r="B48" s="89" t="s">
        <v>315</v>
      </c>
      <c r="C48" s="90">
        <f>'BE-RecommendationP1Rules'!A7</f>
        <v>6</v>
      </c>
      <c r="D48" s="90">
        <f>'BE-RecommendationP1Rules'!C7</f>
        <v>0</v>
      </c>
      <c r="E48" s="90">
        <f>'BE-RecommendationP1Rules'!F7</f>
        <v>0</v>
      </c>
      <c r="F48" s="90">
        <f>'BE-RecommendationP1Rules'!L7</f>
        <v>2</v>
      </c>
      <c r="G48" s="90">
        <f>'BE-RecommendationP1Rules'!M7</f>
        <v>3</v>
      </c>
      <c r="H48" s="90">
        <f>'BE-RecommendationP1Rules'!N7</f>
        <v>1</v>
      </c>
      <c r="I48" s="91">
        <f>'BE-RecommendationP1Rules'!O7</f>
        <v>6</v>
      </c>
    </row>
    <row r="49" ht="15.75" customHeight="1" spans="1:9">
      <c r="A49" s="88">
        <v>38</v>
      </c>
      <c r="B49" s="89" t="s">
        <v>321</v>
      </c>
      <c r="C49" s="90">
        <f>'BE-RecommendationIntakeScore'!A7</f>
        <v>6</v>
      </c>
      <c r="D49" s="90">
        <f>'BE-RecommendationIntakeScore'!C7</f>
        <v>0</v>
      </c>
      <c r="E49" s="90">
        <f>'BE-RecommendationIntakeScore'!F7</f>
        <v>0</v>
      </c>
      <c r="F49" s="90">
        <f>'BE-RecommendationIntakeScore'!L7</f>
        <v>2</v>
      </c>
      <c r="G49" s="90">
        <f>'BE-RecommendationIntakeScore'!M7</f>
        <v>2</v>
      </c>
      <c r="H49" s="90">
        <f>'BE-RecommendationIntakeScore'!N7</f>
        <v>2</v>
      </c>
      <c r="I49" s="91">
        <f>'BE-RecommendationIntakeScore'!O7</f>
        <v>6</v>
      </c>
    </row>
    <row r="50" ht="15.75" customHeight="1" spans="1:9">
      <c r="A50" s="88">
        <v>39</v>
      </c>
      <c r="B50" s="89" t="s">
        <v>328</v>
      </c>
      <c r="C50" s="90">
        <f>'BE-KnowledgeDocumentType'!A7</f>
        <v>12</v>
      </c>
      <c r="D50" s="90">
        <f>'BE-KnowledgeDocumentType'!C7</f>
        <v>0</v>
      </c>
      <c r="E50" s="90">
        <f>'BE-KnowledgeDocumentType'!F7</f>
        <v>0</v>
      </c>
      <c r="F50" s="90">
        <f>'BE-KnowledgeDocumentType'!L7</f>
        <v>6</v>
      </c>
      <c r="G50" s="90">
        <f>'BE-KnowledgeDocumentType'!M7</f>
        <v>3</v>
      </c>
      <c r="H50" s="90">
        <f>'BE-KnowledgeDocumentType'!N7</f>
        <v>3</v>
      </c>
      <c r="I50" s="91">
        <f>'BE-KnowledgeDocumentType'!O7</f>
        <v>12</v>
      </c>
    </row>
    <row r="51" ht="15.75" customHeight="1" spans="1:9">
      <c r="A51" s="88">
        <v>40</v>
      </c>
      <c r="B51" s="89" t="s">
        <v>335</v>
      </c>
      <c r="C51" s="90">
        <f>'BE-ProfileDtoValidator'!A7</f>
        <v>8</v>
      </c>
      <c r="D51" s="90">
        <f>'BE-ProfileDtoValidator'!C7</f>
        <v>0</v>
      </c>
      <c r="E51" s="90">
        <f>'BE-ProfileDtoValidator'!F7</f>
        <v>0</v>
      </c>
      <c r="F51" s="90">
        <f>'BE-ProfileDtoValidator'!L7</f>
        <v>3</v>
      </c>
      <c r="G51" s="90">
        <f>'BE-ProfileDtoValidator'!M7</f>
        <v>3</v>
      </c>
      <c r="H51" s="90">
        <f>'BE-ProfileDtoValidator'!N7</f>
        <v>2</v>
      </c>
      <c r="I51" s="91">
        <f>'BE-ProfileDtoValidator'!O7</f>
        <v>8</v>
      </c>
    </row>
    <row r="52" ht="15.75" customHeight="1" spans="1:9">
      <c r="A52" s="88">
        <v>41</v>
      </c>
      <c r="B52" s="89" t="s">
        <v>342</v>
      </c>
      <c r="C52" s="90">
        <f>'BE-JobDescriptionValidator'!A7</f>
        <v>3</v>
      </c>
      <c r="D52" s="90">
        <f>'BE-JobDescriptionValidator'!C7</f>
        <v>0</v>
      </c>
      <c r="E52" s="90">
        <f>'BE-JobDescriptionValidator'!F7</f>
        <v>0</v>
      </c>
      <c r="F52" s="90">
        <f>'BE-JobDescriptionValidator'!L7</f>
        <v>1</v>
      </c>
      <c r="G52" s="90">
        <f>'BE-JobDescriptionValidator'!M7</f>
        <v>2</v>
      </c>
      <c r="H52" s="90">
        <f>'BE-JobDescriptionValidator'!N7</f>
        <v>0</v>
      </c>
      <c r="I52" s="91">
        <f>'BE-JobDescriptionValidator'!O7</f>
        <v>3</v>
      </c>
    </row>
    <row r="53" ht="15.75" customHeight="1" spans="1:9">
      <c r="A53" s="88">
        <v>42</v>
      </c>
      <c r="B53" s="89" t="s">
        <v>348</v>
      </c>
      <c r="C53" s="90">
        <f>'BE-PlanMergeService'!A7</f>
        <v>2</v>
      </c>
      <c r="D53" s="90">
        <f>'BE-PlanMergeService'!C7</f>
        <v>0</v>
      </c>
      <c r="E53" s="90">
        <f>'BE-PlanMergeService'!F7</f>
        <v>0</v>
      </c>
      <c r="F53" s="90">
        <f>'BE-PlanMergeService'!L7</f>
        <v>2</v>
      </c>
      <c r="G53" s="90">
        <f>'BE-PlanMergeService'!M7</f>
        <v>0</v>
      </c>
      <c r="H53" s="90">
        <f>'BE-PlanMergeService'!N7</f>
        <v>0</v>
      </c>
      <c r="I53" s="91">
        <f>'BE-PlanMergeService'!O7</f>
        <v>2</v>
      </c>
    </row>
    <row r="54" ht="15.75" customHeight="1" spans="1:9">
      <c r="A54" s="88">
        <v>43</v>
      </c>
      <c r="B54" s="89" t="s">
        <v>354</v>
      </c>
      <c r="C54" s="90">
        <f>'BE-FocusAreaWeightHelper'!A7</f>
        <v>6</v>
      </c>
      <c r="D54" s="90">
        <f>'BE-FocusAreaWeightHelper'!C7</f>
        <v>0</v>
      </c>
      <c r="E54" s="90">
        <f>'BE-FocusAreaWeightHelper'!F7</f>
        <v>0</v>
      </c>
      <c r="F54" s="90">
        <f>'BE-FocusAreaWeightHelper'!L7</f>
        <v>4</v>
      </c>
      <c r="G54" s="90">
        <f>'BE-FocusAreaWeightHelper'!M7</f>
        <v>0</v>
      </c>
      <c r="H54" s="90">
        <f>'BE-FocusAreaWeightHelper'!N7</f>
        <v>2</v>
      </c>
      <c r="I54" s="91">
        <f>'BE-FocusAreaWeightHelper'!O7</f>
        <v>6</v>
      </c>
    </row>
    <row r="55" ht="15.75" customHeight="1" spans="1:9">
      <c r="A55" s="88">
        <v>44</v>
      </c>
      <c r="B55" s="89" t="s">
        <v>360</v>
      </c>
      <c r="C55" s="90">
        <f>'BE-FocusWeightOutline'!A7</f>
        <v>4</v>
      </c>
      <c r="D55" s="90">
        <f>'BE-FocusWeightOutline'!C7</f>
        <v>0</v>
      </c>
      <c r="E55" s="90">
        <f>'BE-FocusWeightOutline'!F7</f>
        <v>0</v>
      </c>
      <c r="F55" s="90">
        <f>'BE-FocusWeightOutline'!L7</f>
        <v>3</v>
      </c>
      <c r="G55" s="90">
        <f>'BE-FocusWeightOutline'!M7</f>
        <v>0</v>
      </c>
      <c r="H55" s="90">
        <f>'BE-FocusWeightOutline'!N7</f>
        <v>1</v>
      </c>
      <c r="I55" s="91">
        <f>'BE-FocusWeightOutline'!O7</f>
        <v>4</v>
      </c>
    </row>
    <row r="56" ht="15.75" customHeight="1" spans="1:9">
      <c r="A56" s="88">
        <v>45</v>
      </c>
      <c r="B56" s="89" t="s">
        <v>366</v>
      </c>
      <c r="C56" s="90">
        <f>'BE-HrSkillsHelper'!A7</f>
        <v>3</v>
      </c>
      <c r="D56" s="90">
        <f>'BE-HrSkillsHelper'!C7</f>
        <v>0</v>
      </c>
      <c r="E56" s="90">
        <f>'BE-HrSkillsHelper'!F7</f>
        <v>0</v>
      </c>
      <c r="F56" s="90">
        <f>'BE-HrSkillsHelper'!L7</f>
        <v>1</v>
      </c>
      <c r="G56" s="90">
        <f>'BE-HrSkillsHelper'!M7</f>
        <v>0</v>
      </c>
      <c r="H56" s="90">
        <f>'BE-HrSkillsHelper'!N7</f>
        <v>2</v>
      </c>
      <c r="I56" s="91">
        <f>'BE-HrSkillsHelper'!O7</f>
        <v>3</v>
      </c>
    </row>
    <row r="57" ht="15.75" customHeight="1" spans="1:9">
      <c r="A57" s="88">
        <v>46</v>
      </c>
      <c r="B57" s="89" t="s">
        <v>372</v>
      </c>
      <c r="C57" s="90">
        <f>'BE-JdClassifyGate'!A7</f>
        <v>13</v>
      </c>
      <c r="D57" s="90">
        <f>'BE-JdClassifyGate'!C7</f>
        <v>0</v>
      </c>
      <c r="E57" s="90">
        <f>'BE-JdClassifyGate'!F7</f>
        <v>0</v>
      </c>
      <c r="F57" s="90">
        <f>'BE-JdClassifyGate'!L7</f>
        <v>4</v>
      </c>
      <c r="G57" s="90">
        <f>'BE-JdClassifyGate'!M7</f>
        <v>8</v>
      </c>
      <c r="H57" s="90">
        <f>'BE-JdClassifyGate'!N7</f>
        <v>1</v>
      </c>
      <c r="I57" s="91">
        <f>'BE-JdClassifyGate'!O7</f>
        <v>13</v>
      </c>
    </row>
    <row r="58" ht="15.75" customHeight="1" spans="1:9">
      <c r="A58" s="88">
        <v>47</v>
      </c>
      <c r="B58" s="89" t="s">
        <v>378</v>
      </c>
      <c r="C58" s="90">
        <f>'BE-JdSeniority'!A7</f>
        <v>10</v>
      </c>
      <c r="D58" s="90">
        <f>'BE-JdSeniority'!C7</f>
        <v>0</v>
      </c>
      <c r="E58" s="90">
        <f>'BE-JdSeniority'!F7</f>
        <v>0</v>
      </c>
      <c r="F58" s="90">
        <f>'BE-JdSeniority'!L7</f>
        <v>6</v>
      </c>
      <c r="G58" s="90">
        <f>'BE-JdSeniority'!M7</f>
        <v>2</v>
      </c>
      <c r="H58" s="90">
        <f>'BE-JdSeniority'!N7</f>
        <v>2</v>
      </c>
      <c r="I58" s="91">
        <f>'BE-JdSeniority'!O7</f>
        <v>10</v>
      </c>
    </row>
    <row r="59" ht="15.75" customHeight="1" spans="1:9">
      <c r="A59" s="88">
        <v>48</v>
      </c>
      <c r="B59" s="89" t="s">
        <v>383</v>
      </c>
      <c r="C59" s="90">
        <f>'BE-RagPlanHrNoteBuilder'!A7</f>
        <v>1</v>
      </c>
      <c r="D59" s="90">
        <f>'BE-RagPlanHrNoteBuilder'!C7</f>
        <v>0</v>
      </c>
      <c r="E59" s="90">
        <f>'BE-RagPlanHrNoteBuilder'!F7</f>
        <v>0</v>
      </c>
      <c r="F59" s="90">
        <f>'BE-RagPlanHrNoteBuilder'!L7</f>
        <v>1</v>
      </c>
      <c r="G59" s="90">
        <f>'BE-RagPlanHrNoteBuilder'!M7</f>
        <v>0</v>
      </c>
      <c r="H59" s="90">
        <f>'BE-RagPlanHrNoteBuilder'!N7</f>
        <v>0</v>
      </c>
      <c r="I59" s="91">
        <f>'BE-RagPlanHrNoteBuilder'!O7</f>
        <v>1</v>
      </c>
    </row>
    <row r="60" ht="15.75" customHeight="1" spans="1:9">
      <c r="A60" s="88">
        <v>49</v>
      </c>
      <c r="B60" s="89" t="s">
        <v>389</v>
      </c>
      <c r="C60" s="90">
        <f>'BE-PlanFocusJdCompleter'!A7</f>
        <v>3</v>
      </c>
      <c r="D60" s="90">
        <f>'BE-PlanFocusJdCompleter'!C7</f>
        <v>0</v>
      </c>
      <c r="E60" s="90">
        <f>'BE-PlanFocusJdCompleter'!F7</f>
        <v>0</v>
      </c>
      <c r="F60" s="90">
        <f>'BE-PlanFocusJdCompleter'!L7</f>
        <v>2</v>
      </c>
      <c r="G60" s="90">
        <f>'BE-PlanFocusJdCompleter'!M7</f>
        <v>0</v>
      </c>
      <c r="H60" s="90">
        <f>'BE-PlanFocusJdCompleter'!N7</f>
        <v>1</v>
      </c>
      <c r="I60" s="91">
        <f>'BE-PlanFocusJdCompleter'!O7</f>
        <v>3</v>
      </c>
    </row>
    <row r="61" ht="15.75" customHeight="1" spans="1:9">
      <c r="A61" s="88">
        <v>50</v>
      </c>
      <c r="B61" s="89" t="s">
        <v>395</v>
      </c>
      <c r="C61" s="90">
        <f>'BE-PlanSettingsPatcher'!A7</f>
        <v>9</v>
      </c>
      <c r="D61" s="90">
        <f>'BE-PlanSettingsPatcher'!C7</f>
        <v>0</v>
      </c>
      <c r="E61" s="90">
        <f>'BE-PlanSettingsPatcher'!F7</f>
        <v>0</v>
      </c>
      <c r="F61" s="90">
        <f>'BE-PlanSettingsPatcher'!L7</f>
        <v>7</v>
      </c>
      <c r="G61" s="90">
        <f>'BE-PlanSettingsPatcher'!M7</f>
        <v>0</v>
      </c>
      <c r="H61" s="90">
        <f>'BE-PlanSettingsPatcher'!N7</f>
        <v>2</v>
      </c>
      <c r="I61" s="91">
        <f>'BE-PlanSettingsPatcher'!O7</f>
        <v>9</v>
      </c>
    </row>
    <row r="62" ht="15.75" customHeight="1" spans="1:9">
      <c r="A62" s="88">
        <v>51</v>
      </c>
      <c r="B62" s="89" t="s">
        <v>401</v>
      </c>
      <c r="C62" s="90">
        <f>'BE-PlanSettingsSnapshot'!A7</f>
        <v>4</v>
      </c>
      <c r="D62" s="90">
        <f>'BE-PlanSettingsSnapshot'!C7</f>
        <v>0</v>
      </c>
      <c r="E62" s="90">
        <f>'BE-PlanSettingsSnapshot'!F7</f>
        <v>0</v>
      </c>
      <c r="F62" s="90">
        <f>'BE-PlanSettingsSnapshot'!L7</f>
        <v>4</v>
      </c>
      <c r="G62" s="90">
        <f>'BE-PlanSettingsSnapshot'!M7</f>
        <v>0</v>
      </c>
      <c r="H62" s="90">
        <f>'BE-PlanSettingsSnapshot'!N7</f>
        <v>0</v>
      </c>
      <c r="I62" s="91">
        <f>'BE-PlanSettingsSnapshot'!O7</f>
        <v>4</v>
      </c>
    </row>
    <row r="63" ht="15.75" customHeight="1" spans="1:9">
      <c r="A63" s="88">
        <v>52</v>
      </c>
      <c r="B63" s="89" t="s">
        <v>407</v>
      </c>
      <c r="C63" s="90">
        <f>'BE-QuestionRegenHelper'!A7</f>
        <v>7</v>
      </c>
      <c r="D63" s="90">
        <f>'BE-QuestionRegenHelper'!C7</f>
        <v>0</v>
      </c>
      <c r="E63" s="90">
        <f>'BE-QuestionRegenHelper'!F7</f>
        <v>0</v>
      </c>
      <c r="F63" s="90">
        <f>'BE-QuestionRegenHelper'!L7</f>
        <v>4</v>
      </c>
      <c r="G63" s="90">
        <f>'BE-QuestionRegenHelper'!M7</f>
        <v>0</v>
      </c>
      <c r="H63" s="90">
        <f>'BE-QuestionRegenHelper'!N7</f>
        <v>3</v>
      </c>
      <c r="I63" s="91">
        <f>'BE-QuestionRegenHelper'!O7</f>
        <v>7</v>
      </c>
    </row>
    <row r="64" ht="15.75" customHeight="1" spans="1:9">
      <c r="A64" s="88">
        <v>53</v>
      </c>
      <c r="B64" s="89" t="s">
        <v>413</v>
      </c>
      <c r="C64" s="90">
        <f>'BE-QuestionTaxonomyMapper'!A7</f>
        <v>8</v>
      </c>
      <c r="D64" s="90">
        <f>'BE-QuestionTaxonomyMapper'!C7</f>
        <v>0</v>
      </c>
      <c r="E64" s="90">
        <f>'BE-QuestionTaxonomyMapper'!F7</f>
        <v>0</v>
      </c>
      <c r="F64" s="90">
        <f>'BE-QuestionTaxonomyMapper'!L7</f>
        <v>6</v>
      </c>
      <c r="G64" s="90">
        <f>'BE-QuestionTaxonomyMapper'!M7</f>
        <v>1</v>
      </c>
      <c r="H64" s="90">
        <f>'BE-QuestionTaxonomyMapper'!N7</f>
        <v>1</v>
      </c>
      <c r="I64" s="91">
        <f>'BE-QuestionTaxonomyMapper'!O7</f>
        <v>8</v>
      </c>
    </row>
    <row r="65" ht="15.75" customHeight="1" spans="1:9">
      <c r="A65" s="88">
        <v>54</v>
      </c>
      <c r="B65" s="89" t="s">
        <v>419</v>
      </c>
      <c r="C65" s="90">
        <f>'BE-RagQuestionMapper'!A7</f>
        <v>4</v>
      </c>
      <c r="D65" s="90">
        <f>'BE-RagQuestionMapper'!C7</f>
        <v>0</v>
      </c>
      <c r="E65" s="90">
        <f>'BE-RagQuestionMapper'!F7</f>
        <v>0</v>
      </c>
      <c r="F65" s="90">
        <f>'BE-RagQuestionMapper'!L7</f>
        <v>2</v>
      </c>
      <c r="G65" s="90">
        <f>'BE-RagQuestionMapper'!M7</f>
        <v>1</v>
      </c>
      <c r="H65" s="90">
        <f>'BE-RagQuestionMapper'!N7</f>
        <v>1</v>
      </c>
      <c r="I65" s="91">
        <f>'BE-RagQuestionMapper'!O7</f>
        <v>4</v>
      </c>
    </row>
    <row r="66" ht="15.75" customHeight="1" spans="1:9">
      <c r="A66" s="88">
        <v>55</v>
      </c>
      <c r="B66" s="89" t="s">
        <v>426</v>
      </c>
      <c r="C66" s="90">
        <f>'BE-HrGenerateWindow'!A7</f>
        <v>8</v>
      </c>
      <c r="D66" s="90">
        <f>'BE-HrGenerateWindow'!C7</f>
        <v>0</v>
      </c>
      <c r="E66" s="90">
        <f>'BE-HrGenerateWindow'!F7</f>
        <v>0</v>
      </c>
      <c r="F66" s="90">
        <f>'BE-HrGenerateWindow'!L7</f>
        <v>4</v>
      </c>
      <c r="G66" s="90">
        <f>'BE-HrGenerateWindow'!M7</f>
        <v>1</v>
      </c>
      <c r="H66" s="90">
        <f>'BE-HrGenerateWindow'!N7</f>
        <v>3</v>
      </c>
      <c r="I66" s="91">
        <f>'BE-HrGenerateWindow'!O7</f>
        <v>8</v>
      </c>
    </row>
    <row r="67" ht="15.75" customHeight="1" spans="1:9">
      <c r="A67" s="88">
        <v>56</v>
      </c>
      <c r="B67" s="89" t="s">
        <v>432</v>
      </c>
      <c r="C67" s="90">
        <f>'BE-GateHrGenerateRegen'!A7</f>
        <v>10</v>
      </c>
      <c r="D67" s="90">
        <f>'BE-GateHrGenerateRegen'!C7</f>
        <v>0</v>
      </c>
      <c r="E67" s="90">
        <f>'BE-GateHrGenerateRegen'!F7</f>
        <v>0</v>
      </c>
      <c r="F67" s="90">
        <f>'BE-GateHrGenerateRegen'!L7</f>
        <v>4</v>
      </c>
      <c r="G67" s="90">
        <f>'BE-GateHrGenerateRegen'!M7</f>
        <v>2</v>
      </c>
      <c r="H67" s="90">
        <f>'BE-GateHrGenerateRegen'!N7</f>
        <v>4</v>
      </c>
      <c r="I67" s="91">
        <f>'BE-GateHrGenerateRegen'!O7</f>
        <v>10</v>
      </c>
    </row>
    <row r="68" ht="15.75" customHeight="1" spans="1:9">
      <c r="A68" s="88">
        <v>57</v>
      </c>
      <c r="B68" s="89" t="s">
        <v>437</v>
      </c>
      <c r="C68" s="90">
        <f>'BE-GateCandidateCoach'!A7</f>
        <v>4</v>
      </c>
      <c r="D68" s="90">
        <f>'BE-GateCandidateCoach'!C7</f>
        <v>0</v>
      </c>
      <c r="E68" s="90">
        <f>'BE-GateCandidateCoach'!F7</f>
        <v>0</v>
      </c>
      <c r="F68" s="90">
        <f>'BE-GateCandidateCoach'!L7</f>
        <v>0</v>
      </c>
      <c r="G68" s="90">
        <f>'BE-GateCandidateCoach'!M7</f>
        <v>2</v>
      </c>
      <c r="H68" s="90">
        <f>'BE-GateCandidateCoach'!N7</f>
        <v>2</v>
      </c>
      <c r="I68" s="91">
        <f>'BE-GateCandidateCoach'!O7</f>
        <v>4</v>
      </c>
    </row>
    <row r="69" ht="15.75" customHeight="1" spans="1:9">
      <c r="A69" s="92"/>
      <c r="B69" s="93" t="s">
        <v>452</v>
      </c>
      <c r="C69" s="94">
        <f t="shared" ref="C69:I69" si="0">SUM(C12:C68)</f>
        <v>393</v>
      </c>
      <c r="D69" s="94">
        <f t="shared" si="0"/>
        <v>0</v>
      </c>
      <c r="E69" s="94">
        <f t="shared" si="0"/>
        <v>0</v>
      </c>
      <c r="F69" s="94">
        <f t="shared" si="0"/>
        <v>203</v>
      </c>
      <c r="G69" s="94">
        <f t="shared" si="0"/>
        <v>68</v>
      </c>
      <c r="H69" s="94">
        <f t="shared" si="0"/>
        <v>122</v>
      </c>
      <c r="I69" s="94">
        <f t="shared" si="0"/>
        <v>393</v>
      </c>
    </row>
    <row r="70" ht="15.75" customHeight="1"/>
    <row r="71" ht="15.75" customHeight="1" spans="1:9">
      <c r="A71" s="66"/>
      <c r="B71" s="95" t="s">
        <v>453</v>
      </c>
      <c r="C71" s="66"/>
      <c r="D71" s="96">
        <f>(C69+D69)*100/(I69)</f>
        <v>100</v>
      </c>
      <c r="E71" s="66" t="s">
        <v>454</v>
      </c>
      <c r="F71" s="66"/>
    </row>
    <row r="72" ht="15.75" customHeight="1" spans="1:9">
      <c r="A72" s="66"/>
      <c r="B72" s="95" t="s">
        <v>455</v>
      </c>
      <c r="C72" s="66"/>
      <c r="D72" s="96">
        <f>C69*100/(I69)</f>
        <v>100</v>
      </c>
      <c r="E72" s="66" t="s">
        <v>454</v>
      </c>
      <c r="F72" s="66"/>
    </row>
    <row r="73" ht="15.75" customHeight="1" spans="1:9">
      <c r="A73" s="66"/>
      <c r="B73" s="95" t="s">
        <v>456</v>
      </c>
      <c r="C73" s="66"/>
      <c r="D73" s="96">
        <f>F69*100/I69</f>
        <v>51.6539440203562</v>
      </c>
      <c r="E73" s="66" t="s">
        <v>454</v>
      </c>
      <c r="F73" s="66"/>
    </row>
    <row r="74" ht="15.75" customHeight="1" spans="1:9">
      <c r="A74" s="66"/>
      <c r="B74" s="95" t="s">
        <v>457</v>
      </c>
      <c r="C74" s="66"/>
      <c r="D74" s="96">
        <f>G69*100/I69</f>
        <v>17.3027989821883</v>
      </c>
      <c r="E74" s="66" t="s">
        <v>454</v>
      </c>
      <c r="F74" s="66"/>
    </row>
    <row r="75" ht="15.75" customHeight="1" spans="1:9">
      <c r="A75" s="66"/>
      <c r="B75" s="95" t="s">
        <v>458</v>
      </c>
      <c r="C75" s="66"/>
      <c r="D75" s="96">
        <f>H69*100/I69</f>
        <v>31.0432569974555</v>
      </c>
      <c r="E75" s="66" t="s">
        <v>454</v>
      </c>
      <c r="F75" s="66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:I2"/>
    <mergeCell ref="B4:C4"/>
    <mergeCell ref="D4:E4"/>
    <mergeCell ref="F4:I4"/>
    <mergeCell ref="B5:C5"/>
    <mergeCell ref="D5:E5"/>
    <mergeCell ref="F5:I5"/>
    <mergeCell ref="B6:C6"/>
    <mergeCell ref="D6:E6"/>
    <mergeCell ref="F6:I6"/>
    <mergeCell ref="B7:I7"/>
  </mergeCells>
  <printOptions horizontalCentered="1"/>
  <pageMargins left="0.7" right="0.7" top="0.75" bottom="0.75" header="0" footer="0"/>
  <pageSetup paperSize="3" orientation="portrait" useFirstPageNumber="1"/>
  <headerFooter>
    <oddFooter>&amp;L 02ae-BM/PM/HDCV/FSOFT v2/1&amp;CInternal use&amp;R&amp;P/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0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Functions!E11</f>
        <v>FE-AUTH-01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Functions!D11</f>
        <v>attachAuthInterceptor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461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44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-6.6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25" customHeight="1" spans="1:22">
      <c r="A5" s="10" t="s">
        <v>465</v>
      </c>
      <c r="B5" s="10"/>
      <c r="C5" s="16" t="s">
        <v>110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COUNTIF(F37:T37,"P")</f>
        <v>11</v>
      </c>
      <c r="B7" s="20"/>
      <c r="C7" s="21">
        <f>COUNTIF(F37:T37,"F")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COUNTIF(F36:T36,"N")</f>
        <v>3</v>
      </c>
      <c r="M7" s="21">
        <f>COUNTIF(F36:T36,"A")</f>
        <v>6</v>
      </c>
      <c r="N7" s="21">
        <f>COUNTIF(F36:T36,"B")</f>
        <v>2</v>
      </c>
      <c r="O7" s="21">
        <f>COUNTA(F9:T9)</f>
        <v>11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 t="s">
        <v>474</v>
      </c>
      <c r="N9" s="28" t="s">
        <v>475</v>
      </c>
      <c r="O9" s="28" t="s">
        <v>476</v>
      </c>
      <c r="P9" s="28" t="s">
        <v>477</v>
      </c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480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 t="s">
        <v>481</v>
      </c>
      <c r="N11" s="40" t="s">
        <v>481</v>
      </c>
      <c r="O11" s="40" t="s">
        <v>481</v>
      </c>
      <c r="P11" s="40" t="s">
        <v>481</v>
      </c>
      <c r="Q11" s="40"/>
      <c r="R11" s="40"/>
      <c r="S11" s="40"/>
      <c r="T11" s="41"/>
      <c r="U11" s="3"/>
      <c r="V11" s="9"/>
    </row>
    <row r="12" ht="25" customHeight="1" spans="1:22">
      <c r="A12" s="38"/>
      <c r="B12" s="39" t="s">
        <v>482</v>
      </c>
      <c r="C12" s="39"/>
      <c r="D12" s="39"/>
      <c r="E12" s="35"/>
      <c r="F12" s="40" t="s">
        <v>481</v>
      </c>
      <c r="G12" s="40" t="s">
        <v>481</v>
      </c>
      <c r="H12" s="40" t="s">
        <v>481</v>
      </c>
      <c r="I12" s="40" t="s">
        <v>481</v>
      </c>
      <c r="J12" s="40" t="s">
        <v>481</v>
      </c>
      <c r="K12" s="40" t="s">
        <v>481</v>
      </c>
      <c r="L12" s="40" t="s">
        <v>481</v>
      </c>
      <c r="M12" s="40" t="s">
        <v>481</v>
      </c>
      <c r="N12" s="40" t="s">
        <v>481</v>
      </c>
      <c r="O12" s="40" t="s">
        <v>481</v>
      </c>
      <c r="P12" s="40" t="s">
        <v>481</v>
      </c>
      <c r="Q12" s="40"/>
      <c r="R12" s="40"/>
      <c r="S12" s="40"/>
      <c r="T12" s="41"/>
      <c r="U12" s="3"/>
      <c r="V12" s="9"/>
    </row>
    <row r="13" ht="13.5" customHeight="1" spans="1:22">
      <c r="A13" s="31"/>
      <c r="B13" s="32" t="s">
        <v>483</v>
      </c>
      <c r="C13" s="33"/>
      <c r="D13" s="34"/>
      <c r="E13" s="35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7"/>
      <c r="U13" s="3"/>
      <c r="V13" s="3"/>
    </row>
    <row r="14" ht="14" customHeight="1" spans="1:22">
      <c r="A14" s="38"/>
      <c r="B14" s="39" t="s">
        <v>484</v>
      </c>
      <c r="C14" s="39"/>
      <c r="D14" s="39"/>
      <c r="E14" s="35"/>
      <c r="F14" s="40" t="s">
        <v>481</v>
      </c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485</v>
      </c>
      <c r="C15" s="39"/>
      <c r="D15" s="39"/>
      <c r="E15" s="35"/>
      <c r="F15" s="40"/>
      <c r="G15" s="40" t="s">
        <v>481</v>
      </c>
      <c r="H15" s="40"/>
      <c r="I15" s="40"/>
      <c r="J15" s="40"/>
      <c r="K15" s="40"/>
      <c r="L15" s="40"/>
      <c r="M15" s="40"/>
      <c r="N15" s="40" t="s">
        <v>481</v>
      </c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486</v>
      </c>
      <c r="C16" s="39"/>
      <c r="D16" s="39"/>
      <c r="E16" s="35"/>
      <c r="F16" s="40"/>
      <c r="G16" s="40"/>
      <c r="H16" s="40" t="s">
        <v>481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487</v>
      </c>
      <c r="C17" s="39"/>
      <c r="D17" s="39"/>
      <c r="E17" s="35"/>
      <c r="F17" s="40"/>
      <c r="G17" s="40"/>
      <c r="H17" s="40"/>
      <c r="I17" s="40" t="s">
        <v>481</v>
      </c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488</v>
      </c>
      <c r="C18" s="39"/>
      <c r="D18" s="39"/>
      <c r="E18" s="35"/>
      <c r="F18" s="40"/>
      <c r="G18" s="40"/>
      <c r="H18" s="40"/>
      <c r="I18" s="40"/>
      <c r="J18" s="40" t="s">
        <v>481</v>
      </c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489</v>
      </c>
      <c r="C19" s="39"/>
      <c r="D19" s="39"/>
      <c r="E19" s="35"/>
      <c r="F19" s="40"/>
      <c r="G19" s="40"/>
      <c r="H19" s="40"/>
      <c r="I19" s="40"/>
      <c r="J19" s="40"/>
      <c r="K19" s="40" t="s">
        <v>481</v>
      </c>
      <c r="L19" s="40"/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4" customHeight="1" spans="1:22">
      <c r="A20" s="38"/>
      <c r="B20" s="39" t="s">
        <v>490</v>
      </c>
      <c r="C20" s="39"/>
      <c r="D20" s="39"/>
      <c r="E20" s="35"/>
      <c r="F20" s="40"/>
      <c r="G20" s="40"/>
      <c r="H20" s="40"/>
      <c r="I20" s="40"/>
      <c r="J20" s="40"/>
      <c r="K20" s="40"/>
      <c r="L20" s="40" t="s">
        <v>481</v>
      </c>
      <c r="M20" s="40"/>
      <c r="N20" s="40"/>
      <c r="O20" s="40"/>
      <c r="P20" s="40"/>
      <c r="Q20" s="40"/>
      <c r="R20" s="40"/>
      <c r="S20" s="40"/>
      <c r="T20" s="41"/>
      <c r="U20" s="3"/>
      <c r="V20" s="9"/>
    </row>
    <row r="21" ht="14" customHeight="1" spans="1:22">
      <c r="A21" s="38"/>
      <c r="B21" s="39" t="s">
        <v>491</v>
      </c>
      <c r="C21" s="39"/>
      <c r="D21" s="39"/>
      <c r="E21" s="35"/>
      <c r="F21" s="40"/>
      <c r="G21" s="40"/>
      <c r="H21" s="40"/>
      <c r="I21" s="40"/>
      <c r="J21" s="40"/>
      <c r="K21" s="40"/>
      <c r="L21" s="40"/>
      <c r="M21" s="40" t="s">
        <v>481</v>
      </c>
      <c r="N21" s="40"/>
      <c r="O21" s="40"/>
      <c r="P21" s="40"/>
      <c r="Q21" s="40"/>
      <c r="R21" s="40"/>
      <c r="S21" s="40"/>
      <c r="T21" s="41"/>
      <c r="U21" s="3"/>
      <c r="V21" s="9"/>
    </row>
    <row r="22" ht="14" customHeight="1" spans="1:22">
      <c r="A22" s="38"/>
      <c r="B22" s="39" t="s">
        <v>492</v>
      </c>
      <c r="C22" s="39"/>
      <c r="D22" s="39"/>
      <c r="E22" s="35"/>
      <c r="F22" s="40"/>
      <c r="G22" s="40"/>
      <c r="H22" s="40"/>
      <c r="I22" s="40"/>
      <c r="J22" s="40"/>
      <c r="K22" s="40"/>
      <c r="L22" s="40"/>
      <c r="M22" s="40"/>
      <c r="N22" s="40"/>
      <c r="O22" s="40" t="s">
        <v>481</v>
      </c>
      <c r="P22" s="40"/>
      <c r="Q22" s="40"/>
      <c r="R22" s="40"/>
      <c r="S22" s="40"/>
      <c r="T22" s="41"/>
      <c r="U22" s="3"/>
      <c r="V22" s="9"/>
    </row>
    <row r="23" ht="14" customHeight="1" spans="1:22">
      <c r="A23" s="38"/>
      <c r="B23" s="39" t="s">
        <v>493</v>
      </c>
      <c r="C23" s="39"/>
      <c r="D23" s="39"/>
      <c r="E23" s="35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 t="s">
        <v>481</v>
      </c>
      <c r="Q23" s="40"/>
      <c r="R23" s="40"/>
      <c r="S23" s="40"/>
      <c r="T23" s="41"/>
      <c r="U23" s="3"/>
      <c r="V23" s="9"/>
    </row>
    <row r="24" ht="13.5" customHeight="1" spans="1:22">
      <c r="A24" s="42" t="s">
        <v>494</v>
      </c>
      <c r="B24" s="43" t="s">
        <v>495</v>
      </c>
      <c r="C24" s="44"/>
      <c r="D24" s="45"/>
      <c r="E24" s="4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7"/>
      <c r="U24" s="3"/>
      <c r="V24" s="3"/>
    </row>
    <row r="25" ht="14" customHeight="1" spans="1:22">
      <c r="A25" s="47"/>
      <c r="B25" s="39" t="s">
        <v>496</v>
      </c>
      <c r="C25" s="39"/>
      <c r="D25" s="39"/>
      <c r="E25" s="48"/>
      <c r="F25" s="40" t="s">
        <v>481</v>
      </c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1"/>
      <c r="U25" s="3"/>
      <c r="V25" s="3"/>
    </row>
    <row r="26" ht="14" customHeight="1" spans="1:22">
      <c r="A26" s="47"/>
      <c r="B26" s="39" t="s">
        <v>497</v>
      </c>
      <c r="C26" s="39"/>
      <c r="D26" s="39"/>
      <c r="E26" s="48"/>
      <c r="F26" s="40"/>
      <c r="G26" s="40" t="s">
        <v>481</v>
      </c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1"/>
      <c r="U26" s="3"/>
      <c r="V26" s="3"/>
    </row>
    <row r="27" ht="14" customHeight="1" spans="1:22">
      <c r="A27" s="47"/>
      <c r="B27" s="39" t="s">
        <v>498</v>
      </c>
      <c r="C27" s="39"/>
      <c r="D27" s="39"/>
      <c r="E27" s="48"/>
      <c r="F27" s="40"/>
      <c r="G27" s="40"/>
      <c r="H27" s="40" t="s">
        <v>481</v>
      </c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1"/>
      <c r="U27" s="3"/>
      <c r="V27" s="3"/>
    </row>
    <row r="28" ht="14" customHeight="1" spans="1:22">
      <c r="A28" s="47"/>
      <c r="B28" s="39" t="s">
        <v>499</v>
      </c>
      <c r="C28" s="39"/>
      <c r="D28" s="39"/>
      <c r="E28" s="48"/>
      <c r="F28" s="40"/>
      <c r="G28" s="40"/>
      <c r="H28" s="40"/>
      <c r="I28" s="40" t="s">
        <v>481</v>
      </c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1"/>
      <c r="U28" s="3"/>
      <c r="V28" s="3"/>
    </row>
    <row r="29" ht="14" customHeight="1" spans="1:22">
      <c r="A29" s="47"/>
      <c r="B29" s="39" t="s">
        <v>500</v>
      </c>
      <c r="C29" s="39"/>
      <c r="D29" s="39"/>
      <c r="E29" s="48"/>
      <c r="F29" s="40"/>
      <c r="G29" s="40"/>
      <c r="H29" s="40"/>
      <c r="I29" s="40"/>
      <c r="J29" s="40" t="s">
        <v>481</v>
      </c>
      <c r="K29" s="40"/>
      <c r="L29" s="40"/>
      <c r="M29" s="40"/>
      <c r="N29" s="40"/>
      <c r="O29" s="40"/>
      <c r="P29" s="40"/>
      <c r="Q29" s="40"/>
      <c r="R29" s="40"/>
      <c r="S29" s="40"/>
      <c r="T29" s="41"/>
      <c r="U29" s="3"/>
      <c r="V29" s="3"/>
    </row>
    <row r="30" ht="14" customHeight="1" spans="1:22">
      <c r="A30" s="47"/>
      <c r="B30" s="39" t="s">
        <v>501</v>
      </c>
      <c r="C30" s="39"/>
      <c r="D30" s="39"/>
      <c r="E30" s="48"/>
      <c r="F30" s="40"/>
      <c r="G30" s="40"/>
      <c r="H30" s="40"/>
      <c r="I30" s="40"/>
      <c r="J30" s="40"/>
      <c r="K30" s="40" t="s">
        <v>481</v>
      </c>
      <c r="L30" s="40"/>
      <c r="M30" s="40"/>
      <c r="N30" s="40"/>
      <c r="O30" s="40"/>
      <c r="P30" s="40"/>
      <c r="Q30" s="40"/>
      <c r="R30" s="40"/>
      <c r="S30" s="40"/>
      <c r="T30" s="41"/>
      <c r="U30" s="3"/>
      <c r="V30" s="3"/>
    </row>
    <row r="31" ht="14" customHeight="1" spans="1:22">
      <c r="A31" s="47"/>
      <c r="B31" s="39" t="s">
        <v>502</v>
      </c>
      <c r="C31" s="39"/>
      <c r="D31" s="39"/>
      <c r="E31" s="48"/>
      <c r="F31" s="40"/>
      <c r="G31" s="40"/>
      <c r="H31" s="40"/>
      <c r="I31" s="40"/>
      <c r="J31" s="40"/>
      <c r="K31" s="40"/>
      <c r="L31" s="40" t="s">
        <v>481</v>
      </c>
      <c r="M31" s="40"/>
      <c r="N31" s="40"/>
      <c r="O31" s="40"/>
      <c r="P31" s="40"/>
      <c r="Q31" s="40"/>
      <c r="R31" s="40"/>
      <c r="S31" s="40"/>
      <c r="T31" s="41"/>
      <c r="U31" s="3"/>
      <c r="V31" s="3"/>
    </row>
    <row r="32" ht="14" customHeight="1" spans="1:22">
      <c r="A32" s="47"/>
      <c r="B32" s="39" t="s">
        <v>503</v>
      </c>
      <c r="C32" s="39"/>
      <c r="D32" s="39"/>
      <c r="E32" s="48"/>
      <c r="F32" s="40"/>
      <c r="G32" s="40"/>
      <c r="H32" s="40"/>
      <c r="I32" s="40"/>
      <c r="J32" s="40"/>
      <c r="K32" s="40"/>
      <c r="L32" s="40"/>
      <c r="M32" s="40" t="s">
        <v>481</v>
      </c>
      <c r="N32" s="40"/>
      <c r="O32" s="40"/>
      <c r="P32" s="40"/>
      <c r="Q32" s="40"/>
      <c r="R32" s="40"/>
      <c r="S32" s="40"/>
      <c r="T32" s="41"/>
      <c r="U32" s="3"/>
      <c r="V32" s="3"/>
    </row>
    <row r="33" ht="14" customHeight="1" spans="1:22">
      <c r="A33" s="47"/>
      <c r="B33" s="39" t="s">
        <v>504</v>
      </c>
      <c r="C33" s="39"/>
      <c r="D33" s="39"/>
      <c r="E33" s="48"/>
      <c r="F33" s="40"/>
      <c r="G33" s="40"/>
      <c r="H33" s="40"/>
      <c r="I33" s="40"/>
      <c r="J33" s="40"/>
      <c r="K33" s="40"/>
      <c r="L33" s="40"/>
      <c r="M33" s="40"/>
      <c r="N33" s="40" t="s">
        <v>481</v>
      </c>
      <c r="O33" s="40"/>
      <c r="P33" s="40"/>
      <c r="Q33" s="40"/>
      <c r="R33" s="40"/>
      <c r="S33" s="40"/>
      <c r="T33" s="41"/>
      <c r="U33" s="3"/>
      <c r="V33" s="3"/>
    </row>
    <row r="34" ht="14" customHeight="1" spans="1:22">
      <c r="A34" s="47"/>
      <c r="B34" s="39" t="s">
        <v>505</v>
      </c>
      <c r="C34" s="39"/>
      <c r="D34" s="39"/>
      <c r="E34" s="48"/>
      <c r="F34" s="40"/>
      <c r="G34" s="40"/>
      <c r="H34" s="40"/>
      <c r="I34" s="40"/>
      <c r="J34" s="40"/>
      <c r="K34" s="40"/>
      <c r="L34" s="40"/>
      <c r="M34" s="40"/>
      <c r="N34" s="40"/>
      <c r="O34" s="40" t="s">
        <v>481</v>
      </c>
      <c r="P34" s="40"/>
      <c r="Q34" s="40"/>
      <c r="R34" s="40"/>
      <c r="S34" s="40"/>
      <c r="T34" s="41"/>
      <c r="U34" s="3"/>
      <c r="V34" s="3"/>
    </row>
    <row r="35" ht="14" customHeight="1" spans="1:22">
      <c r="A35" s="47"/>
      <c r="B35" s="39" t="s">
        <v>506</v>
      </c>
      <c r="C35" s="39"/>
      <c r="D35" s="39"/>
      <c r="E35" s="48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 t="s">
        <v>481</v>
      </c>
      <c r="Q35" s="40"/>
      <c r="R35" s="40"/>
      <c r="S35" s="40"/>
      <c r="T35" s="41"/>
      <c r="U35" s="3"/>
      <c r="V35" s="3"/>
    </row>
    <row r="36" ht="13.5" customHeight="1" spans="1:22">
      <c r="A36" s="42" t="s">
        <v>507</v>
      </c>
      <c r="B36" s="49" t="s">
        <v>508</v>
      </c>
      <c r="C36" s="49"/>
      <c r="D36" s="49"/>
      <c r="E36" s="50"/>
      <c r="F36" s="51" t="s">
        <v>449</v>
      </c>
      <c r="G36" s="51" t="s">
        <v>66</v>
      </c>
      <c r="H36" s="51" t="s">
        <v>66</v>
      </c>
      <c r="I36" s="51" t="s">
        <v>66</v>
      </c>
      <c r="J36" s="51" t="s">
        <v>66</v>
      </c>
      <c r="K36" s="51" t="s">
        <v>66</v>
      </c>
      <c r="L36" s="51" t="s">
        <v>450</v>
      </c>
      <c r="M36" s="51" t="s">
        <v>449</v>
      </c>
      <c r="N36" s="51" t="s">
        <v>66</v>
      </c>
      <c r="O36" s="51" t="s">
        <v>449</v>
      </c>
      <c r="P36" s="51" t="s">
        <v>450</v>
      </c>
      <c r="Q36" s="51"/>
      <c r="R36" s="51"/>
      <c r="S36" s="51"/>
      <c r="T36" s="52"/>
      <c r="U36" s="3"/>
      <c r="V36" s="3"/>
    </row>
    <row r="37" ht="13.5" customHeight="1" spans="1:22">
      <c r="A37" s="47"/>
      <c r="B37" s="53" t="s">
        <v>509</v>
      </c>
      <c r="C37" s="53"/>
      <c r="D37" s="53"/>
      <c r="E37" s="54"/>
      <c r="F37" s="55" t="s">
        <v>510</v>
      </c>
      <c r="G37" s="55" t="s">
        <v>510</v>
      </c>
      <c r="H37" s="55" t="s">
        <v>510</v>
      </c>
      <c r="I37" s="55" t="s">
        <v>510</v>
      </c>
      <c r="J37" s="55" t="s">
        <v>510</v>
      </c>
      <c r="K37" s="55" t="s">
        <v>510</v>
      </c>
      <c r="L37" s="55" t="s">
        <v>510</v>
      </c>
      <c r="M37" s="55" t="s">
        <v>510</v>
      </c>
      <c r="N37" s="55" t="s">
        <v>510</v>
      </c>
      <c r="O37" s="55" t="s">
        <v>510</v>
      </c>
      <c r="P37" s="55" t="s">
        <v>510</v>
      </c>
      <c r="Q37" s="55"/>
      <c r="R37" s="55"/>
      <c r="S37" s="55"/>
      <c r="T37" s="56"/>
      <c r="U37" s="3"/>
      <c r="V37" s="3"/>
    </row>
    <row r="38" ht="105" customHeight="1" spans="1:22">
      <c r="A38" s="47"/>
      <c r="B38" s="57" t="s">
        <v>511</v>
      </c>
      <c r="C38" s="57"/>
      <c r="D38" s="57"/>
      <c r="E38" s="58"/>
      <c r="F38" s="59" t="s">
        <v>53</v>
      </c>
      <c r="G38" s="59" t="s">
        <v>53</v>
      </c>
      <c r="H38" s="59" t="s">
        <v>53</v>
      </c>
      <c r="I38" s="59" t="s">
        <v>53</v>
      </c>
      <c r="J38" s="59" t="s">
        <v>53</v>
      </c>
      <c r="K38" s="59" t="s">
        <v>53</v>
      </c>
      <c r="L38" s="59" t="s">
        <v>53</v>
      </c>
      <c r="M38" s="59" t="s">
        <v>53</v>
      </c>
      <c r="N38" s="59" t="s">
        <v>53</v>
      </c>
      <c r="O38" s="59" t="s">
        <v>53</v>
      </c>
      <c r="P38" s="59" t="s">
        <v>53</v>
      </c>
      <c r="Q38" s="59"/>
      <c r="R38" s="59"/>
      <c r="S38" s="59"/>
      <c r="T38" s="60"/>
      <c r="U38" s="3"/>
      <c r="V38" s="3"/>
    </row>
    <row r="39" ht="20" customHeight="1" spans="1:22">
      <c r="A39" s="61"/>
      <c r="B39" s="62" t="s">
        <v>512</v>
      </c>
      <c r="C39" s="62"/>
      <c r="D39" s="62"/>
      <c r="E39" s="63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5"/>
      <c r="U39" s="3"/>
      <c r="V39" s="3"/>
    </row>
    <row r="40" ht="13.8"/>
  </sheetData>
  <mergeCells count="50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2:D12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</mergeCells>
  <dataValidations count="2">
    <dataValidation type="list" allowBlank="1" sqref="F36:P36">
      <formula1>"N,A,B"</formula1>
    </dataValidation>
    <dataValidation type="list" allowBlank="1" sqref="F37:P37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6"/>
  <sheetViews>
    <sheetView workbookViewId="0">
      <pane ySplit="9" topLeftCell="A10" activePane="bottomLeft" state="frozen"/>
      <selection/>
      <selection pane="bottomLeft" activeCell="B15" sqref="B15:D15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Functions!E12</f>
        <v>FE-AUTH-02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Functions!D12</f>
        <v>extractErrorMessage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461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28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-1.2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25" customHeight="1" spans="1:22">
      <c r="A5" s="10" t="s">
        <v>465</v>
      </c>
      <c r="B5" s="10"/>
      <c r="C5" s="16" t="s">
        <v>116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COUNTIF(F23:T23,"P")</f>
        <v>4</v>
      </c>
      <c r="B7" s="20"/>
      <c r="C7" s="21">
        <f>COUNTIF(F23:T23,"F")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COUNTIF(F22:T22,"N")</f>
        <v>2</v>
      </c>
      <c r="M7" s="21">
        <f>COUNTIF(F22:T22,"A")</f>
        <v>1</v>
      </c>
      <c r="N7" s="21">
        <f>COUNTIF(F22:T22,"B")</f>
        <v>1</v>
      </c>
      <c r="O7" s="21">
        <f>COUNTA(F9:T9)</f>
        <v>4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117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513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514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515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516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3.5" customHeight="1" spans="1:22">
      <c r="A17" s="42" t="s">
        <v>494</v>
      </c>
      <c r="B17" s="43" t="s">
        <v>495</v>
      </c>
      <c r="C17" s="44"/>
      <c r="D17" s="45"/>
      <c r="E17" s="4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7"/>
      <c r="U17" s="3"/>
      <c r="V17" s="3"/>
    </row>
    <row r="18" ht="25" customHeight="1" spans="1:22">
      <c r="A18" s="47"/>
      <c r="B18" s="39" t="s">
        <v>517</v>
      </c>
      <c r="C18" s="39"/>
      <c r="D18" s="39"/>
      <c r="E18" s="48"/>
      <c r="F18" s="40" t="s">
        <v>481</v>
      </c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3"/>
    </row>
    <row r="19" ht="14" customHeight="1" spans="1:22">
      <c r="A19" s="47"/>
      <c r="B19" s="39" t="s">
        <v>518</v>
      </c>
      <c r="C19" s="39"/>
      <c r="D19" s="39"/>
      <c r="E19" s="48"/>
      <c r="F19" s="40"/>
      <c r="G19" s="40" t="s">
        <v>481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1"/>
      <c r="U19" s="3"/>
      <c r="V19" s="3"/>
    </row>
    <row r="20" ht="14" customHeight="1" spans="1:22">
      <c r="A20" s="47"/>
      <c r="B20" s="39" t="s">
        <v>519</v>
      </c>
      <c r="C20" s="39"/>
      <c r="D20" s="39"/>
      <c r="E20" s="48"/>
      <c r="F20" s="40"/>
      <c r="G20" s="40"/>
      <c r="H20" s="40" t="s">
        <v>481</v>
      </c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1"/>
      <c r="U20" s="3"/>
      <c r="V20" s="3"/>
    </row>
    <row r="21" ht="14" customHeight="1" spans="1:22">
      <c r="A21" s="47"/>
      <c r="B21" s="39" t="s">
        <v>520</v>
      </c>
      <c r="C21" s="39"/>
      <c r="D21" s="39"/>
      <c r="E21" s="48"/>
      <c r="F21" s="40"/>
      <c r="G21" s="40"/>
      <c r="H21" s="40"/>
      <c r="I21" s="40" t="s">
        <v>481</v>
      </c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1"/>
      <c r="U21" s="3"/>
      <c r="V21" s="3"/>
    </row>
    <row r="22" ht="13.5" customHeight="1" spans="1:22">
      <c r="A22" s="42" t="s">
        <v>507</v>
      </c>
      <c r="B22" s="49" t="s">
        <v>508</v>
      </c>
      <c r="C22" s="49"/>
      <c r="D22" s="49"/>
      <c r="E22" s="50"/>
      <c r="F22" s="51" t="s">
        <v>66</v>
      </c>
      <c r="G22" s="51" t="s">
        <v>449</v>
      </c>
      <c r="H22" s="51" t="s">
        <v>449</v>
      </c>
      <c r="I22" s="51" t="s">
        <v>450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2"/>
      <c r="U22" s="3"/>
      <c r="V22" s="3"/>
    </row>
    <row r="23" ht="13.5" customHeight="1" spans="1:22">
      <c r="A23" s="47"/>
      <c r="B23" s="53" t="s">
        <v>509</v>
      </c>
      <c r="C23" s="53"/>
      <c r="D23" s="53"/>
      <c r="E23" s="54"/>
      <c r="F23" s="55" t="s">
        <v>510</v>
      </c>
      <c r="G23" s="55" t="s">
        <v>510</v>
      </c>
      <c r="H23" s="55" t="s">
        <v>510</v>
      </c>
      <c r="I23" s="55" t="s">
        <v>510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6"/>
      <c r="U23" s="3"/>
      <c r="V23" s="3"/>
    </row>
    <row r="24" ht="105" customHeight="1" spans="1:22">
      <c r="A24" s="47"/>
      <c r="B24" s="57" t="s">
        <v>511</v>
      </c>
      <c r="C24" s="57"/>
      <c r="D24" s="57"/>
      <c r="E24" s="58"/>
      <c r="F24" s="59" t="s">
        <v>53</v>
      </c>
      <c r="G24" s="59" t="s">
        <v>53</v>
      </c>
      <c r="H24" s="59" t="s">
        <v>53</v>
      </c>
      <c r="I24" s="59" t="s">
        <v>53</v>
      </c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60"/>
      <c r="U24" s="3"/>
      <c r="V24" s="3"/>
    </row>
    <row r="25" ht="20" customHeight="1" spans="1:22">
      <c r="A25" s="61"/>
      <c r="B25" s="62" t="s">
        <v>512</v>
      </c>
      <c r="C25" s="62"/>
      <c r="D25" s="62"/>
      <c r="E25" s="63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5"/>
      <c r="U25" s="3"/>
      <c r="V25" s="3"/>
    </row>
    <row r="26" ht="13.8"/>
  </sheetData>
  <mergeCells count="36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8:D18"/>
    <mergeCell ref="B19:D19"/>
    <mergeCell ref="B20:D20"/>
    <mergeCell ref="B21:D21"/>
    <mergeCell ref="B22:D22"/>
    <mergeCell ref="B23:D23"/>
    <mergeCell ref="B24:D24"/>
    <mergeCell ref="B25:D25"/>
  </mergeCells>
  <dataValidations count="2">
    <dataValidation type="list" allowBlank="1" sqref="F22:I22">
      <formula1>"N,A,B"</formula1>
    </dataValidation>
    <dataValidation type="list" allowBlank="1" sqref="F23:I23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6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Functions!E13</f>
        <v>FE-AUTH-03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Functions!D13</f>
        <v>setAuth / isAuthenticated / clearAuth / setUserRole / getUserRole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461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23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-1.7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122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COUNTIF(F23:T23,"P")</f>
        <v>4</v>
      </c>
      <c r="B7" s="20"/>
      <c r="C7" s="21">
        <f>COUNTIF(F23:T23,"F")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COUNTIF(F22:T22,"N")</f>
        <v>4</v>
      </c>
      <c r="M7" s="21">
        <f>COUNTIF(F22:T22,"A")</f>
        <v>0</v>
      </c>
      <c r="N7" s="21">
        <f>COUNTIF(F22:T22,"B")</f>
        <v>0</v>
      </c>
      <c r="O7" s="21">
        <f>COUNTA(F9:T9)</f>
        <v>4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123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521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522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523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524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3.5" customHeight="1" spans="1:22">
      <c r="A17" s="42" t="s">
        <v>494</v>
      </c>
      <c r="B17" s="43" t="s">
        <v>495</v>
      </c>
      <c r="C17" s="44"/>
      <c r="D17" s="45"/>
      <c r="E17" s="4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7"/>
      <c r="U17" s="3"/>
      <c r="V17" s="3"/>
    </row>
    <row r="18" ht="14" customHeight="1" spans="1:22">
      <c r="A18" s="47"/>
      <c r="B18" s="39" t="s">
        <v>525</v>
      </c>
      <c r="C18" s="39"/>
      <c r="D18" s="39"/>
      <c r="E18" s="48"/>
      <c r="F18" s="40" t="s">
        <v>481</v>
      </c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3"/>
    </row>
    <row r="19" ht="14" customHeight="1" spans="1:22">
      <c r="A19" s="47"/>
      <c r="B19" s="39" t="s">
        <v>526</v>
      </c>
      <c r="C19" s="39"/>
      <c r="D19" s="39"/>
      <c r="E19" s="48"/>
      <c r="F19" s="40"/>
      <c r="G19" s="40" t="s">
        <v>481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1"/>
      <c r="U19" s="3"/>
      <c r="V19" s="3"/>
    </row>
    <row r="20" ht="14" customHeight="1" spans="1:22">
      <c r="A20" s="47"/>
      <c r="B20" s="39" t="s">
        <v>527</v>
      </c>
      <c r="C20" s="39"/>
      <c r="D20" s="39"/>
      <c r="E20" s="48"/>
      <c r="F20" s="40"/>
      <c r="G20" s="40"/>
      <c r="H20" s="40" t="s">
        <v>481</v>
      </c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1"/>
      <c r="U20" s="3"/>
      <c r="V20" s="3"/>
    </row>
    <row r="21" ht="14" customHeight="1" spans="1:22">
      <c r="A21" s="47"/>
      <c r="B21" s="39" t="s">
        <v>528</v>
      </c>
      <c r="C21" s="39"/>
      <c r="D21" s="39"/>
      <c r="E21" s="48"/>
      <c r="F21" s="40"/>
      <c r="G21" s="40"/>
      <c r="H21" s="40"/>
      <c r="I21" s="40" t="s">
        <v>481</v>
      </c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1"/>
      <c r="U21" s="3"/>
      <c r="V21" s="3"/>
    </row>
    <row r="22" ht="13.5" customHeight="1" spans="1:22">
      <c r="A22" s="42" t="s">
        <v>507</v>
      </c>
      <c r="B22" s="49" t="s">
        <v>508</v>
      </c>
      <c r="C22" s="49"/>
      <c r="D22" s="49"/>
      <c r="E22" s="50"/>
      <c r="F22" s="51" t="s">
        <v>449</v>
      </c>
      <c r="G22" s="51" t="s">
        <v>449</v>
      </c>
      <c r="H22" s="51" t="s">
        <v>449</v>
      </c>
      <c r="I22" s="51" t="s">
        <v>449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2"/>
      <c r="U22" s="3"/>
      <c r="V22" s="3"/>
    </row>
    <row r="23" ht="13.5" customHeight="1" spans="1:22">
      <c r="A23" s="47"/>
      <c r="B23" s="53" t="s">
        <v>509</v>
      </c>
      <c r="C23" s="53"/>
      <c r="D23" s="53"/>
      <c r="E23" s="54"/>
      <c r="F23" s="55" t="s">
        <v>510</v>
      </c>
      <c r="G23" s="55" t="s">
        <v>510</v>
      </c>
      <c r="H23" s="55" t="s">
        <v>510</v>
      </c>
      <c r="I23" s="55" t="s">
        <v>510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6"/>
      <c r="U23" s="3"/>
      <c r="V23" s="3"/>
    </row>
    <row r="24" ht="105" customHeight="1" spans="1:22">
      <c r="A24" s="47"/>
      <c r="B24" s="57" t="s">
        <v>511</v>
      </c>
      <c r="C24" s="57"/>
      <c r="D24" s="57"/>
      <c r="E24" s="58"/>
      <c r="F24" s="59" t="s">
        <v>53</v>
      </c>
      <c r="G24" s="59" t="s">
        <v>53</v>
      </c>
      <c r="H24" s="59" t="s">
        <v>53</v>
      </c>
      <c r="I24" s="59" t="s">
        <v>53</v>
      </c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60"/>
      <c r="U24" s="3"/>
      <c r="V24" s="3"/>
    </row>
    <row r="25" ht="20" customHeight="1" spans="1:22">
      <c r="A25" s="61"/>
      <c r="B25" s="62" t="s">
        <v>512</v>
      </c>
      <c r="C25" s="62"/>
      <c r="D25" s="62"/>
      <c r="E25" s="63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5"/>
      <c r="U25" s="3"/>
      <c r="V25" s="3"/>
    </row>
    <row r="26" ht="13.8"/>
  </sheetData>
  <mergeCells count="36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8:D18"/>
    <mergeCell ref="B19:D19"/>
    <mergeCell ref="B20:D20"/>
    <mergeCell ref="B21:D21"/>
    <mergeCell ref="B22:D22"/>
    <mergeCell ref="B23:D23"/>
    <mergeCell ref="B24:D24"/>
    <mergeCell ref="B25:D25"/>
  </mergeCells>
  <dataValidations count="2">
    <dataValidation type="list" allowBlank="1" sqref="F22:I22">
      <formula1>"N,A,B"</formula1>
    </dataValidation>
    <dataValidation type="list" allowBlank="1" sqref="F23:I23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7"/>
  <sheetViews>
    <sheetView tabSelected="1" workbookViewId="0">
      <pane ySplit="9" topLeftCell="A10" activePane="bottomLeft" state="frozen"/>
      <selection/>
      <selection pane="bottomLeft" activeCell="G8" sqref="G8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Functions!E14</f>
        <v>FE-AUTH-04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Functions!D14</f>
        <v>getRoleRedirect / extractRole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461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27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-8.3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127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COUNTIF(F34:T34,"P")</f>
        <v>11</v>
      </c>
      <c r="B7" s="20"/>
      <c r="C7" s="21">
        <f>COUNTIF(F34:T34,"F")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COUNTIF(F33:T33,"N")</f>
        <v>7</v>
      </c>
      <c r="M7" s="21">
        <f>COUNTIF(F33:T33,"A")</f>
        <v>2</v>
      </c>
      <c r="N7" s="21">
        <f>COUNTIF(F33:T33,"B")</f>
        <v>2</v>
      </c>
      <c r="O7" s="21">
        <f>COUNTA(F9:T9)</f>
        <v>11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 t="s">
        <v>474</v>
      </c>
      <c r="N9" s="28" t="s">
        <v>475</v>
      </c>
      <c r="O9" s="28" t="s">
        <v>476</v>
      </c>
      <c r="P9" s="28" t="s">
        <v>477</v>
      </c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128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 t="s">
        <v>481</v>
      </c>
      <c r="N11" s="40" t="s">
        <v>481</v>
      </c>
      <c r="O11" s="40" t="s">
        <v>481</v>
      </c>
      <c r="P11" s="40" t="s">
        <v>481</v>
      </c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529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530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531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532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533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534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535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4" customHeight="1" spans="1:22">
      <c r="A20" s="38"/>
      <c r="B20" s="39" t="s">
        <v>536</v>
      </c>
      <c r="C20" s="39"/>
      <c r="D20" s="39"/>
      <c r="E20" s="35"/>
      <c r="F20" s="40"/>
      <c r="G20" s="40"/>
      <c r="H20" s="40"/>
      <c r="I20" s="40"/>
      <c r="J20" s="40"/>
      <c r="K20" s="40"/>
      <c r="L20" s="40"/>
      <c r="M20" s="40" t="s">
        <v>481</v>
      </c>
      <c r="N20" s="40"/>
      <c r="O20" s="40"/>
      <c r="P20" s="40"/>
      <c r="Q20" s="40"/>
      <c r="R20" s="40"/>
      <c r="S20" s="40"/>
      <c r="T20" s="41"/>
      <c r="U20" s="3"/>
      <c r="V20" s="9"/>
    </row>
    <row r="21" ht="14" customHeight="1" spans="1:22">
      <c r="A21" s="38"/>
      <c r="B21" s="39" t="s">
        <v>537</v>
      </c>
      <c r="C21" s="39"/>
      <c r="D21" s="39"/>
      <c r="E21" s="35"/>
      <c r="F21" s="40"/>
      <c r="G21" s="40"/>
      <c r="H21" s="40"/>
      <c r="I21" s="40"/>
      <c r="J21" s="40"/>
      <c r="K21" s="40"/>
      <c r="L21" s="40"/>
      <c r="M21" s="40"/>
      <c r="N21" s="40" t="s">
        <v>481</v>
      </c>
      <c r="O21" s="40"/>
      <c r="P21" s="40"/>
      <c r="Q21" s="40"/>
      <c r="R21" s="40"/>
      <c r="S21" s="40"/>
      <c r="T21" s="41"/>
      <c r="U21" s="3"/>
      <c r="V21" s="9"/>
    </row>
    <row r="22" ht="14" customHeight="1" spans="1:22">
      <c r="A22" s="38"/>
      <c r="B22" s="39" t="s">
        <v>538</v>
      </c>
      <c r="C22" s="39"/>
      <c r="D22" s="39"/>
      <c r="E22" s="35"/>
      <c r="F22" s="40"/>
      <c r="G22" s="40"/>
      <c r="H22" s="40"/>
      <c r="I22" s="40"/>
      <c r="J22" s="40"/>
      <c r="K22" s="40"/>
      <c r="L22" s="40"/>
      <c r="M22" s="40"/>
      <c r="N22" s="40"/>
      <c r="O22" s="40" t="s">
        <v>481</v>
      </c>
      <c r="P22" s="40"/>
      <c r="Q22" s="40"/>
      <c r="R22" s="40"/>
      <c r="S22" s="40"/>
      <c r="T22" s="41"/>
      <c r="U22" s="3"/>
      <c r="V22" s="9"/>
    </row>
    <row r="23" ht="14" customHeight="1" spans="1:22">
      <c r="A23" s="38"/>
      <c r="B23" s="39" t="s">
        <v>539</v>
      </c>
      <c r="C23" s="39"/>
      <c r="D23" s="39"/>
      <c r="E23" s="35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 t="s">
        <v>481</v>
      </c>
      <c r="Q23" s="40"/>
      <c r="R23" s="40"/>
      <c r="S23" s="40"/>
      <c r="T23" s="41"/>
      <c r="U23" s="3"/>
      <c r="V23" s="9"/>
    </row>
    <row r="24" ht="13.5" customHeight="1" spans="1:22">
      <c r="A24" s="42" t="s">
        <v>494</v>
      </c>
      <c r="B24" s="43" t="s">
        <v>495</v>
      </c>
      <c r="C24" s="44"/>
      <c r="D24" s="45"/>
      <c r="E24" s="4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7"/>
      <c r="U24" s="3"/>
      <c r="V24" s="3"/>
    </row>
    <row r="25" ht="14" customHeight="1" spans="1:22">
      <c r="A25" s="47"/>
      <c r="B25" s="39" t="s">
        <v>540</v>
      </c>
      <c r="C25" s="39"/>
      <c r="D25" s="39"/>
      <c r="E25" s="48"/>
      <c r="F25" s="40" t="s">
        <v>481</v>
      </c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1"/>
      <c r="U25" s="3"/>
      <c r="V25" s="3"/>
    </row>
    <row r="26" ht="14" customHeight="1" spans="1:22">
      <c r="A26" s="47"/>
      <c r="B26" s="39" t="s">
        <v>541</v>
      </c>
      <c r="C26" s="39"/>
      <c r="D26" s="39"/>
      <c r="E26" s="48"/>
      <c r="F26" s="40"/>
      <c r="G26" s="40" t="s">
        <v>481</v>
      </c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1"/>
      <c r="U26" s="3"/>
      <c r="V26" s="3"/>
    </row>
    <row r="27" ht="14" customHeight="1" spans="1:22">
      <c r="A27" s="47"/>
      <c r="B27" s="39" t="s">
        <v>542</v>
      </c>
      <c r="C27" s="39"/>
      <c r="D27" s="39"/>
      <c r="E27" s="48"/>
      <c r="F27" s="40"/>
      <c r="G27" s="40"/>
      <c r="H27" s="40" t="s">
        <v>481</v>
      </c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1"/>
      <c r="U27" s="3"/>
      <c r="V27" s="3"/>
    </row>
    <row r="28" ht="14" customHeight="1" spans="1:22">
      <c r="A28" s="47"/>
      <c r="B28" s="39" t="s">
        <v>543</v>
      </c>
      <c r="C28" s="39"/>
      <c r="D28" s="39"/>
      <c r="E28" s="48"/>
      <c r="F28" s="40"/>
      <c r="G28" s="40"/>
      <c r="H28" s="40"/>
      <c r="I28" s="40" t="s">
        <v>481</v>
      </c>
      <c r="J28" s="40"/>
      <c r="K28" s="40"/>
      <c r="L28" s="40"/>
      <c r="M28" s="40"/>
      <c r="N28" s="40" t="s">
        <v>481</v>
      </c>
      <c r="O28" s="40"/>
      <c r="P28" s="40"/>
      <c r="Q28" s="40"/>
      <c r="R28" s="40"/>
      <c r="S28" s="40"/>
      <c r="T28" s="41"/>
      <c r="U28" s="3"/>
      <c r="V28" s="3"/>
    </row>
    <row r="29" ht="14" customHeight="1" spans="1:22">
      <c r="A29" s="47"/>
      <c r="B29" s="39" t="s">
        <v>544</v>
      </c>
      <c r="C29" s="39"/>
      <c r="D29" s="39"/>
      <c r="E29" s="48"/>
      <c r="F29" s="40"/>
      <c r="G29" s="40"/>
      <c r="H29" s="40"/>
      <c r="I29" s="40"/>
      <c r="J29" s="40" t="s">
        <v>481</v>
      </c>
      <c r="K29" s="40"/>
      <c r="L29" s="40"/>
      <c r="M29" s="40"/>
      <c r="N29" s="40"/>
      <c r="O29" s="40"/>
      <c r="P29" s="40"/>
      <c r="Q29" s="40"/>
      <c r="R29" s="40"/>
      <c r="S29" s="40"/>
      <c r="T29" s="41"/>
      <c r="U29" s="3"/>
      <c r="V29" s="3"/>
    </row>
    <row r="30" ht="14" customHeight="1" spans="1:22">
      <c r="A30" s="47"/>
      <c r="B30" s="39" t="s">
        <v>545</v>
      </c>
      <c r="C30" s="39"/>
      <c r="D30" s="39"/>
      <c r="E30" s="48"/>
      <c r="F30" s="40"/>
      <c r="G30" s="40"/>
      <c r="H30" s="40"/>
      <c r="I30" s="40"/>
      <c r="J30" s="40"/>
      <c r="K30" s="40" t="s">
        <v>481</v>
      </c>
      <c r="L30" s="40" t="s">
        <v>481</v>
      </c>
      <c r="M30" s="40" t="s">
        <v>481</v>
      </c>
      <c r="N30" s="40"/>
      <c r="O30" s="40"/>
      <c r="P30" s="40"/>
      <c r="Q30" s="40"/>
      <c r="R30" s="40"/>
      <c r="S30" s="40"/>
      <c r="T30" s="41"/>
      <c r="U30" s="3"/>
      <c r="V30" s="3"/>
    </row>
    <row r="31" ht="14" customHeight="1" spans="1:22">
      <c r="A31" s="47"/>
      <c r="B31" s="39" t="s">
        <v>546</v>
      </c>
      <c r="C31" s="39"/>
      <c r="D31" s="39"/>
      <c r="E31" s="48"/>
      <c r="F31" s="40"/>
      <c r="G31" s="40"/>
      <c r="H31" s="40"/>
      <c r="I31" s="40"/>
      <c r="J31" s="40"/>
      <c r="K31" s="40"/>
      <c r="L31" s="40"/>
      <c r="M31" s="40"/>
      <c r="N31" s="40"/>
      <c r="O31" s="40" t="s">
        <v>481</v>
      </c>
      <c r="P31" s="40"/>
      <c r="Q31" s="40"/>
      <c r="R31" s="40"/>
      <c r="S31" s="40"/>
      <c r="T31" s="41"/>
      <c r="U31" s="3"/>
      <c r="V31" s="3"/>
    </row>
    <row r="32" ht="14" customHeight="1" spans="1:22">
      <c r="A32" s="47"/>
      <c r="B32" s="39" t="s">
        <v>547</v>
      </c>
      <c r="C32" s="39"/>
      <c r="D32" s="39"/>
      <c r="E32" s="48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 t="s">
        <v>481</v>
      </c>
      <c r="Q32" s="40"/>
      <c r="R32" s="40"/>
      <c r="S32" s="40"/>
      <c r="T32" s="41"/>
      <c r="U32" s="3"/>
      <c r="V32" s="3"/>
    </row>
    <row r="33" ht="13.5" customHeight="1" spans="1:22">
      <c r="A33" s="42" t="s">
        <v>507</v>
      </c>
      <c r="B33" s="49" t="s">
        <v>508</v>
      </c>
      <c r="C33" s="49"/>
      <c r="D33" s="49"/>
      <c r="E33" s="50"/>
      <c r="F33" s="51" t="s">
        <v>449</v>
      </c>
      <c r="G33" s="51" t="s">
        <v>449</v>
      </c>
      <c r="H33" s="51" t="s">
        <v>450</v>
      </c>
      <c r="I33" s="51" t="s">
        <v>449</v>
      </c>
      <c r="J33" s="51" t="s">
        <v>449</v>
      </c>
      <c r="K33" s="51" t="s">
        <v>449</v>
      </c>
      <c r="L33" s="51" t="s">
        <v>449</v>
      </c>
      <c r="M33" s="51" t="s">
        <v>449</v>
      </c>
      <c r="N33" s="51" t="s">
        <v>450</v>
      </c>
      <c r="O33" s="51" t="s">
        <v>66</v>
      </c>
      <c r="P33" s="51" t="s">
        <v>66</v>
      </c>
      <c r="Q33" s="51"/>
      <c r="R33" s="51"/>
      <c r="S33" s="51"/>
      <c r="T33" s="52"/>
      <c r="U33" s="3"/>
      <c r="V33" s="3"/>
    </row>
    <row r="34" ht="13.5" customHeight="1" spans="1:22">
      <c r="A34" s="47"/>
      <c r="B34" s="53" t="s">
        <v>509</v>
      </c>
      <c r="C34" s="53"/>
      <c r="D34" s="53"/>
      <c r="E34" s="54"/>
      <c r="F34" s="55" t="s">
        <v>510</v>
      </c>
      <c r="G34" s="55" t="s">
        <v>510</v>
      </c>
      <c r="H34" s="55" t="s">
        <v>510</v>
      </c>
      <c r="I34" s="55" t="s">
        <v>510</v>
      </c>
      <c r="J34" s="55" t="s">
        <v>510</v>
      </c>
      <c r="K34" s="55" t="s">
        <v>510</v>
      </c>
      <c r="L34" s="55" t="s">
        <v>510</v>
      </c>
      <c r="M34" s="55" t="s">
        <v>510</v>
      </c>
      <c r="N34" s="55" t="s">
        <v>510</v>
      </c>
      <c r="O34" s="55" t="s">
        <v>510</v>
      </c>
      <c r="P34" s="55" t="s">
        <v>510</v>
      </c>
      <c r="Q34" s="55"/>
      <c r="R34" s="55"/>
      <c r="S34" s="55"/>
      <c r="T34" s="56"/>
      <c r="U34" s="3"/>
      <c r="V34" s="3"/>
    </row>
    <row r="35" ht="105" customHeight="1" spans="1:22">
      <c r="A35" s="47"/>
      <c r="B35" s="57" t="s">
        <v>511</v>
      </c>
      <c r="C35" s="57"/>
      <c r="D35" s="57"/>
      <c r="E35" s="58"/>
      <c r="F35" s="59" t="s">
        <v>53</v>
      </c>
      <c r="G35" s="59" t="s">
        <v>53</v>
      </c>
      <c r="H35" s="59" t="s">
        <v>53</v>
      </c>
      <c r="I35" s="59" t="s">
        <v>53</v>
      </c>
      <c r="J35" s="59" t="s">
        <v>53</v>
      </c>
      <c r="K35" s="59" t="s">
        <v>53</v>
      </c>
      <c r="L35" s="59" t="s">
        <v>53</v>
      </c>
      <c r="M35" s="59" t="s">
        <v>53</v>
      </c>
      <c r="N35" s="59" t="s">
        <v>53</v>
      </c>
      <c r="O35" s="59" t="s">
        <v>53</v>
      </c>
      <c r="P35" s="59" t="s">
        <v>53</v>
      </c>
      <c r="Q35" s="59"/>
      <c r="R35" s="59"/>
      <c r="S35" s="59"/>
      <c r="T35" s="60"/>
      <c r="U35" s="3"/>
      <c r="V35" s="3"/>
    </row>
    <row r="36" ht="20" customHeight="1" spans="1:22">
      <c r="A36" s="61"/>
      <c r="B36" s="62" t="s">
        <v>512</v>
      </c>
      <c r="C36" s="62"/>
      <c r="D36" s="62"/>
      <c r="E36" s="63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5"/>
      <c r="U36" s="3"/>
      <c r="V36" s="3"/>
    </row>
    <row r="37" ht="13.8"/>
  </sheetData>
  <mergeCells count="47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</mergeCells>
  <dataValidations count="2">
    <dataValidation type="list" allowBlank="1" sqref="F33:P33">
      <formula1>"N,A,B"</formula1>
    </dataValidation>
    <dataValidation type="list" allowBlank="1" sqref="F34:P34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1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Functions!E15</f>
        <v>FE-STU-01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Functions!D15</f>
        <v>isJdCitation / citationsForDisplay / formatCitationExcerpt / citationDisplayName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461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25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-4.5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134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COUNTIF(F28:T28,"P")</f>
        <v>7</v>
      </c>
      <c r="B7" s="20"/>
      <c r="C7" s="21">
        <f>COUNTIF(F28:T28,"F")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COUNTIF(F27:T27,"N")</f>
        <v>5</v>
      </c>
      <c r="M7" s="21">
        <f>COUNTIF(F27:T27,"A")</f>
        <v>0</v>
      </c>
      <c r="N7" s="21">
        <f>COUNTIF(F27:T27,"B")</f>
        <v>2</v>
      </c>
      <c r="O7" s="21">
        <f>COUNTA(F9:T9)</f>
        <v>7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128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548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549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550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551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552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553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554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3.5" customHeight="1" spans="1:22">
      <c r="A20" s="42" t="s">
        <v>494</v>
      </c>
      <c r="B20" s="43" t="s">
        <v>495</v>
      </c>
      <c r="C20" s="44"/>
      <c r="D20" s="45"/>
      <c r="E20" s="4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7"/>
      <c r="U20" s="3"/>
      <c r="V20" s="3"/>
    </row>
    <row r="21" ht="14" customHeight="1" spans="1:22">
      <c r="A21" s="47"/>
      <c r="B21" s="39" t="s">
        <v>555</v>
      </c>
      <c r="C21" s="39"/>
      <c r="D21" s="39"/>
      <c r="E21" s="48"/>
      <c r="F21" s="40" t="s">
        <v>481</v>
      </c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1"/>
      <c r="U21" s="3"/>
      <c r="V21" s="3"/>
    </row>
    <row r="22" ht="14" customHeight="1" spans="1:22">
      <c r="A22" s="47"/>
      <c r="B22" s="39" t="s">
        <v>556</v>
      </c>
      <c r="C22" s="39"/>
      <c r="D22" s="39"/>
      <c r="E22" s="48"/>
      <c r="F22" s="40"/>
      <c r="G22" s="40" t="s">
        <v>481</v>
      </c>
      <c r="H22" s="40" t="s">
        <v>481</v>
      </c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1"/>
      <c r="U22" s="3"/>
      <c r="V22" s="3"/>
    </row>
    <row r="23" ht="14" customHeight="1" spans="1:22">
      <c r="A23" s="47"/>
      <c r="B23" s="39" t="s">
        <v>557</v>
      </c>
      <c r="C23" s="39"/>
      <c r="D23" s="39"/>
      <c r="E23" s="48"/>
      <c r="F23" s="40"/>
      <c r="G23" s="40"/>
      <c r="H23" s="40"/>
      <c r="I23" s="40" t="s">
        <v>481</v>
      </c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1"/>
      <c r="U23" s="3"/>
      <c r="V23" s="3"/>
    </row>
    <row r="24" ht="14" customHeight="1" spans="1:22">
      <c r="A24" s="47"/>
      <c r="B24" s="39" t="s">
        <v>558</v>
      </c>
      <c r="C24" s="39"/>
      <c r="D24" s="39"/>
      <c r="E24" s="48"/>
      <c r="F24" s="40"/>
      <c r="G24" s="40"/>
      <c r="H24" s="40"/>
      <c r="I24" s="40"/>
      <c r="J24" s="40" t="s">
        <v>481</v>
      </c>
      <c r="K24" s="40"/>
      <c r="L24" s="40"/>
      <c r="M24" s="40"/>
      <c r="N24" s="40"/>
      <c r="O24" s="40"/>
      <c r="P24" s="40"/>
      <c r="Q24" s="40"/>
      <c r="R24" s="40"/>
      <c r="S24" s="40"/>
      <c r="T24" s="41"/>
      <c r="U24" s="3"/>
      <c r="V24" s="3"/>
    </row>
    <row r="25" ht="14" customHeight="1" spans="1:22">
      <c r="A25" s="47"/>
      <c r="B25" s="39" t="s">
        <v>559</v>
      </c>
      <c r="C25" s="39"/>
      <c r="D25" s="39"/>
      <c r="E25" s="48"/>
      <c r="F25" s="40"/>
      <c r="G25" s="40"/>
      <c r="H25" s="40"/>
      <c r="I25" s="40"/>
      <c r="J25" s="40"/>
      <c r="K25" s="40" t="s">
        <v>481</v>
      </c>
      <c r="L25" s="40"/>
      <c r="M25" s="40"/>
      <c r="N25" s="40"/>
      <c r="O25" s="40"/>
      <c r="P25" s="40"/>
      <c r="Q25" s="40"/>
      <c r="R25" s="40"/>
      <c r="S25" s="40"/>
      <c r="T25" s="41"/>
      <c r="U25" s="3"/>
      <c r="V25" s="3"/>
    </row>
    <row r="26" ht="14" customHeight="1" spans="1:22">
      <c r="A26" s="47"/>
      <c r="B26" s="39" t="s">
        <v>560</v>
      </c>
      <c r="C26" s="39"/>
      <c r="D26" s="39"/>
      <c r="E26" s="48"/>
      <c r="F26" s="40"/>
      <c r="G26" s="40"/>
      <c r="H26" s="40"/>
      <c r="I26" s="40"/>
      <c r="J26" s="40"/>
      <c r="K26" s="40"/>
      <c r="L26" s="40" t="s">
        <v>481</v>
      </c>
      <c r="M26" s="40"/>
      <c r="N26" s="40"/>
      <c r="O26" s="40"/>
      <c r="P26" s="40"/>
      <c r="Q26" s="40"/>
      <c r="R26" s="40"/>
      <c r="S26" s="40"/>
      <c r="T26" s="41"/>
      <c r="U26" s="3"/>
      <c r="V26" s="3"/>
    </row>
    <row r="27" ht="13.5" customHeight="1" spans="1:22">
      <c r="A27" s="42" t="s">
        <v>507</v>
      </c>
      <c r="B27" s="49" t="s">
        <v>508</v>
      </c>
      <c r="C27" s="49"/>
      <c r="D27" s="49"/>
      <c r="E27" s="50"/>
      <c r="F27" s="51" t="s">
        <v>449</v>
      </c>
      <c r="G27" s="51" t="s">
        <v>449</v>
      </c>
      <c r="H27" s="51" t="s">
        <v>450</v>
      </c>
      <c r="I27" s="51" t="s">
        <v>449</v>
      </c>
      <c r="J27" s="51" t="s">
        <v>449</v>
      </c>
      <c r="K27" s="51" t="s">
        <v>450</v>
      </c>
      <c r="L27" s="51" t="s">
        <v>449</v>
      </c>
      <c r="M27" s="51"/>
      <c r="N27" s="51"/>
      <c r="O27" s="51"/>
      <c r="P27" s="51"/>
      <c r="Q27" s="51"/>
      <c r="R27" s="51"/>
      <c r="S27" s="51"/>
      <c r="T27" s="52"/>
      <c r="U27" s="3"/>
      <c r="V27" s="3"/>
    </row>
    <row r="28" ht="13.5" customHeight="1" spans="1:22">
      <c r="A28" s="47"/>
      <c r="B28" s="53" t="s">
        <v>509</v>
      </c>
      <c r="C28" s="53"/>
      <c r="D28" s="53"/>
      <c r="E28" s="54"/>
      <c r="F28" s="55" t="s">
        <v>510</v>
      </c>
      <c r="G28" s="55" t="s">
        <v>510</v>
      </c>
      <c r="H28" s="55" t="s">
        <v>510</v>
      </c>
      <c r="I28" s="55" t="s">
        <v>510</v>
      </c>
      <c r="J28" s="55" t="s">
        <v>510</v>
      </c>
      <c r="K28" s="55" t="s">
        <v>510</v>
      </c>
      <c r="L28" s="55" t="s">
        <v>510</v>
      </c>
      <c r="M28" s="55"/>
      <c r="N28" s="55"/>
      <c r="O28" s="55"/>
      <c r="P28" s="55"/>
      <c r="Q28" s="55"/>
      <c r="R28" s="55"/>
      <c r="S28" s="55"/>
      <c r="T28" s="56"/>
      <c r="U28" s="3"/>
      <c r="V28" s="3"/>
    </row>
    <row r="29" ht="105" customHeight="1" spans="1:22">
      <c r="A29" s="47"/>
      <c r="B29" s="57" t="s">
        <v>511</v>
      </c>
      <c r="C29" s="57"/>
      <c r="D29" s="57"/>
      <c r="E29" s="58"/>
      <c r="F29" s="59" t="s">
        <v>53</v>
      </c>
      <c r="G29" s="59" t="s">
        <v>53</v>
      </c>
      <c r="H29" s="59" t="s">
        <v>53</v>
      </c>
      <c r="I29" s="59" t="s">
        <v>53</v>
      </c>
      <c r="J29" s="59" t="s">
        <v>53</v>
      </c>
      <c r="K29" s="59" t="s">
        <v>53</v>
      </c>
      <c r="L29" s="59" t="s">
        <v>53</v>
      </c>
      <c r="M29" s="59"/>
      <c r="N29" s="59"/>
      <c r="O29" s="59"/>
      <c r="P29" s="59"/>
      <c r="Q29" s="59"/>
      <c r="R29" s="59"/>
      <c r="S29" s="59"/>
      <c r="T29" s="60"/>
      <c r="U29" s="3"/>
      <c r="V29" s="3"/>
    </row>
    <row r="30" ht="20" customHeight="1" spans="1:22">
      <c r="A30" s="61"/>
      <c r="B30" s="62" t="s">
        <v>512</v>
      </c>
      <c r="C30" s="62"/>
      <c r="D30" s="62"/>
      <c r="E30" s="63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5"/>
      <c r="U30" s="3"/>
      <c r="V30" s="3"/>
    </row>
    <row r="31" ht="13.8"/>
  </sheetData>
  <mergeCells count="41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</mergeCells>
  <dataValidations count="2">
    <dataValidation type="list" allowBlank="1" sqref="F27:L27">
      <formula1>"N,A,B"</formula1>
    </dataValidation>
    <dataValidation type="list" allowBlank="1" sqref="F28:L28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8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Functions!E16</f>
        <v>FE-STU-02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Functions!D16</f>
        <v>inferStudioTemplate (template detection)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461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62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-6.8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139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COUNTIF(F35:T35,"P")</f>
        <v>13</v>
      </c>
      <c r="B7" s="20"/>
      <c r="C7" s="21">
        <f>COUNTIF(F35:T35,"F")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COUNTIF(F34:T34,"N")</f>
        <v>10</v>
      </c>
      <c r="M7" s="21">
        <f>COUNTIF(F34:T34,"A")</f>
        <v>1</v>
      </c>
      <c r="N7" s="21">
        <f>COUNTIF(F34:T34,"B")</f>
        <v>2</v>
      </c>
      <c r="O7" s="21">
        <f>COUNTA(F9:T9)</f>
        <v>13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 t="s">
        <v>474</v>
      </c>
      <c r="N9" s="28" t="s">
        <v>475</v>
      </c>
      <c r="O9" s="28" t="s">
        <v>476</v>
      </c>
      <c r="P9" s="28" t="s">
        <v>477</v>
      </c>
      <c r="Q9" s="28" t="s">
        <v>561</v>
      </c>
      <c r="R9" s="28" t="s">
        <v>562</v>
      </c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140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 t="s">
        <v>481</v>
      </c>
      <c r="N11" s="40" t="s">
        <v>481</v>
      </c>
      <c r="O11" s="40" t="s">
        <v>481</v>
      </c>
      <c r="P11" s="40" t="s">
        <v>481</v>
      </c>
      <c r="Q11" s="40" t="s">
        <v>481</v>
      </c>
      <c r="R11" s="40" t="s">
        <v>481</v>
      </c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563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564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565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566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567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568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569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4" customHeight="1" spans="1:22">
      <c r="A20" s="38"/>
      <c r="B20" s="39" t="s">
        <v>570</v>
      </c>
      <c r="C20" s="39"/>
      <c r="D20" s="39"/>
      <c r="E20" s="35"/>
      <c r="F20" s="40"/>
      <c r="G20" s="40"/>
      <c r="H20" s="40"/>
      <c r="I20" s="40"/>
      <c r="J20" s="40"/>
      <c r="K20" s="40"/>
      <c r="L20" s="40"/>
      <c r="M20" s="40" t="s">
        <v>481</v>
      </c>
      <c r="N20" s="40"/>
      <c r="O20" s="40"/>
      <c r="P20" s="40"/>
      <c r="Q20" s="40"/>
      <c r="R20" s="40"/>
      <c r="S20" s="40"/>
      <c r="T20" s="41"/>
      <c r="U20" s="3"/>
      <c r="V20" s="9"/>
    </row>
    <row r="21" ht="14" customHeight="1" spans="1:22">
      <c r="A21" s="38"/>
      <c r="B21" s="39" t="s">
        <v>571</v>
      </c>
      <c r="C21" s="39"/>
      <c r="D21" s="39"/>
      <c r="E21" s="35"/>
      <c r="F21" s="40"/>
      <c r="G21" s="40"/>
      <c r="H21" s="40"/>
      <c r="I21" s="40"/>
      <c r="J21" s="40"/>
      <c r="K21" s="40"/>
      <c r="L21" s="40"/>
      <c r="M21" s="40"/>
      <c r="N21" s="40" t="s">
        <v>481</v>
      </c>
      <c r="O21" s="40"/>
      <c r="P21" s="40"/>
      <c r="Q21" s="40"/>
      <c r="R21" s="40"/>
      <c r="S21" s="40"/>
      <c r="T21" s="41"/>
      <c r="U21" s="3"/>
      <c r="V21" s="9"/>
    </row>
    <row r="22" ht="14" customHeight="1" spans="1:22">
      <c r="A22" s="38"/>
      <c r="B22" s="39" t="s">
        <v>572</v>
      </c>
      <c r="C22" s="39"/>
      <c r="D22" s="39"/>
      <c r="E22" s="35"/>
      <c r="F22" s="40"/>
      <c r="G22" s="40"/>
      <c r="H22" s="40"/>
      <c r="I22" s="40"/>
      <c r="J22" s="40"/>
      <c r="K22" s="40"/>
      <c r="L22" s="40"/>
      <c r="M22" s="40"/>
      <c r="N22" s="40"/>
      <c r="O22" s="40" t="s">
        <v>481</v>
      </c>
      <c r="P22" s="40"/>
      <c r="Q22" s="40"/>
      <c r="R22" s="40"/>
      <c r="S22" s="40"/>
      <c r="T22" s="41"/>
      <c r="U22" s="3"/>
      <c r="V22" s="9"/>
    </row>
    <row r="23" ht="14" customHeight="1" spans="1:22">
      <c r="A23" s="38"/>
      <c r="B23" s="39" t="s">
        <v>573</v>
      </c>
      <c r="C23" s="39"/>
      <c r="D23" s="39"/>
      <c r="E23" s="35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 t="s">
        <v>481</v>
      </c>
      <c r="Q23" s="40"/>
      <c r="R23" s="40"/>
      <c r="S23" s="40"/>
      <c r="T23" s="41"/>
      <c r="U23" s="3"/>
      <c r="V23" s="9"/>
    </row>
    <row r="24" ht="14" customHeight="1" spans="1:22">
      <c r="A24" s="38"/>
      <c r="B24" s="39" t="s">
        <v>574</v>
      </c>
      <c r="C24" s="39"/>
      <c r="D24" s="39"/>
      <c r="E24" s="35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 t="s">
        <v>481</v>
      </c>
      <c r="R24" s="40"/>
      <c r="S24" s="40"/>
      <c r="T24" s="41"/>
      <c r="U24" s="3"/>
      <c r="V24" s="9"/>
    </row>
    <row r="25" ht="14" customHeight="1" spans="1:22">
      <c r="A25" s="38"/>
      <c r="B25" s="39" t="s">
        <v>575</v>
      </c>
      <c r="C25" s="39"/>
      <c r="D25" s="39"/>
      <c r="E25" s="35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 t="s">
        <v>481</v>
      </c>
      <c r="S25" s="40"/>
      <c r="T25" s="41"/>
      <c r="U25" s="3"/>
      <c r="V25" s="9"/>
    </row>
    <row r="26" ht="13.5" customHeight="1" spans="1:22">
      <c r="A26" s="42" t="s">
        <v>494</v>
      </c>
      <c r="B26" s="43" t="s">
        <v>495</v>
      </c>
      <c r="C26" s="44"/>
      <c r="D26" s="45"/>
      <c r="E26" s="4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7"/>
      <c r="U26" s="3"/>
      <c r="V26" s="3"/>
    </row>
    <row r="27" ht="14" customHeight="1" spans="1:22">
      <c r="A27" s="47"/>
      <c r="B27" s="39" t="s">
        <v>576</v>
      </c>
      <c r="C27" s="39"/>
      <c r="D27" s="39"/>
      <c r="E27" s="48"/>
      <c r="F27" s="40" t="s">
        <v>481</v>
      </c>
      <c r="G27" s="40"/>
      <c r="H27" s="40"/>
      <c r="I27" s="40"/>
      <c r="J27" s="40"/>
      <c r="K27" s="40" t="s">
        <v>481</v>
      </c>
      <c r="L27" s="40"/>
      <c r="M27" s="40"/>
      <c r="N27" s="40"/>
      <c r="O27" s="40" t="s">
        <v>481</v>
      </c>
      <c r="P27" s="40"/>
      <c r="Q27" s="40"/>
      <c r="R27" s="40"/>
      <c r="S27" s="40"/>
      <c r="T27" s="41"/>
      <c r="U27" s="3"/>
      <c r="V27" s="3"/>
    </row>
    <row r="28" ht="14" customHeight="1" spans="1:22">
      <c r="A28" s="47"/>
      <c r="B28" s="39" t="s">
        <v>577</v>
      </c>
      <c r="C28" s="39"/>
      <c r="D28" s="39"/>
      <c r="E28" s="48"/>
      <c r="F28" s="40"/>
      <c r="G28" s="40" t="s">
        <v>481</v>
      </c>
      <c r="H28" s="40"/>
      <c r="I28" s="40"/>
      <c r="J28" s="40"/>
      <c r="K28" s="40"/>
      <c r="L28" s="40" t="s">
        <v>481</v>
      </c>
      <c r="M28" s="40"/>
      <c r="N28" s="40"/>
      <c r="O28" s="40"/>
      <c r="P28" s="40"/>
      <c r="Q28" s="40"/>
      <c r="R28" s="40"/>
      <c r="S28" s="40"/>
      <c r="T28" s="41"/>
      <c r="U28" s="3"/>
      <c r="V28" s="3"/>
    </row>
    <row r="29" ht="14" customHeight="1" spans="1:22">
      <c r="A29" s="47"/>
      <c r="B29" s="39" t="s">
        <v>578</v>
      </c>
      <c r="C29" s="39"/>
      <c r="D29" s="39"/>
      <c r="E29" s="48"/>
      <c r="F29" s="40"/>
      <c r="G29" s="40"/>
      <c r="H29" s="40" t="s">
        <v>481</v>
      </c>
      <c r="I29" s="40" t="s">
        <v>481</v>
      </c>
      <c r="J29" s="40"/>
      <c r="K29" s="40"/>
      <c r="L29" s="40"/>
      <c r="M29" s="40"/>
      <c r="N29" s="40"/>
      <c r="O29" s="40"/>
      <c r="P29" s="40" t="s">
        <v>481</v>
      </c>
      <c r="Q29" s="40"/>
      <c r="R29" s="40"/>
      <c r="S29" s="40"/>
      <c r="T29" s="41"/>
      <c r="U29" s="3"/>
      <c r="V29" s="3"/>
    </row>
    <row r="30" ht="14" customHeight="1" spans="1:22">
      <c r="A30" s="47"/>
      <c r="B30" s="39" t="s">
        <v>579</v>
      </c>
      <c r="C30" s="39"/>
      <c r="D30" s="39"/>
      <c r="E30" s="48"/>
      <c r="F30" s="40"/>
      <c r="G30" s="40"/>
      <c r="H30" s="40"/>
      <c r="I30" s="40"/>
      <c r="J30" s="40" t="s">
        <v>481</v>
      </c>
      <c r="K30" s="40"/>
      <c r="L30" s="40"/>
      <c r="M30" s="40"/>
      <c r="N30" s="40"/>
      <c r="O30" s="40"/>
      <c r="P30" s="40"/>
      <c r="Q30" s="40" t="s">
        <v>481</v>
      </c>
      <c r="R30" s="40"/>
      <c r="S30" s="40"/>
      <c r="T30" s="41"/>
      <c r="U30" s="3"/>
      <c r="V30" s="3"/>
    </row>
    <row r="31" ht="14" customHeight="1" spans="1:22">
      <c r="A31" s="47"/>
      <c r="B31" s="39" t="s">
        <v>580</v>
      </c>
      <c r="C31" s="39"/>
      <c r="D31" s="39"/>
      <c r="E31" s="48"/>
      <c r="F31" s="40"/>
      <c r="G31" s="40"/>
      <c r="H31" s="40"/>
      <c r="I31" s="40"/>
      <c r="J31" s="40"/>
      <c r="K31" s="40"/>
      <c r="L31" s="40"/>
      <c r="M31" s="40" t="s">
        <v>481</v>
      </c>
      <c r="N31" s="40"/>
      <c r="O31" s="40"/>
      <c r="P31" s="40"/>
      <c r="Q31" s="40"/>
      <c r="R31" s="40"/>
      <c r="S31" s="40"/>
      <c r="T31" s="41"/>
      <c r="U31" s="3"/>
      <c r="V31" s="3"/>
    </row>
    <row r="32" ht="14" customHeight="1" spans="1:22">
      <c r="A32" s="47"/>
      <c r="B32" s="39" t="s">
        <v>581</v>
      </c>
      <c r="C32" s="39"/>
      <c r="D32" s="39"/>
      <c r="E32" s="48"/>
      <c r="F32" s="40"/>
      <c r="G32" s="40"/>
      <c r="H32" s="40"/>
      <c r="I32" s="40"/>
      <c r="J32" s="40"/>
      <c r="K32" s="40"/>
      <c r="L32" s="40"/>
      <c r="M32" s="40"/>
      <c r="N32" s="40" t="s">
        <v>481</v>
      </c>
      <c r="O32" s="40"/>
      <c r="P32" s="40"/>
      <c r="Q32" s="40"/>
      <c r="R32" s="40"/>
      <c r="S32" s="40"/>
      <c r="T32" s="41"/>
      <c r="U32" s="3"/>
      <c r="V32" s="3"/>
    </row>
    <row r="33" ht="14" customHeight="1" spans="1:22">
      <c r="A33" s="47"/>
      <c r="B33" s="39" t="s">
        <v>582</v>
      </c>
      <c r="C33" s="39"/>
      <c r="D33" s="39"/>
      <c r="E33" s="48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 t="s">
        <v>481</v>
      </c>
      <c r="S33" s="40"/>
      <c r="T33" s="41"/>
      <c r="U33" s="3"/>
      <c r="V33" s="3"/>
    </row>
    <row r="34" ht="13.5" customHeight="1" spans="1:22">
      <c r="A34" s="42" t="s">
        <v>507</v>
      </c>
      <c r="B34" s="49" t="s">
        <v>508</v>
      </c>
      <c r="C34" s="49"/>
      <c r="D34" s="49"/>
      <c r="E34" s="50"/>
      <c r="F34" s="51" t="s">
        <v>449</v>
      </c>
      <c r="G34" s="51" t="s">
        <v>450</v>
      </c>
      <c r="H34" s="51" t="s">
        <v>66</v>
      </c>
      <c r="I34" s="51" t="s">
        <v>449</v>
      </c>
      <c r="J34" s="51" t="s">
        <v>449</v>
      </c>
      <c r="K34" s="51" t="s">
        <v>449</v>
      </c>
      <c r="L34" s="51" t="s">
        <v>449</v>
      </c>
      <c r="M34" s="51" t="s">
        <v>449</v>
      </c>
      <c r="N34" s="51" t="s">
        <v>449</v>
      </c>
      <c r="O34" s="51" t="s">
        <v>449</v>
      </c>
      <c r="P34" s="51" t="s">
        <v>449</v>
      </c>
      <c r="Q34" s="51" t="s">
        <v>449</v>
      </c>
      <c r="R34" s="51" t="s">
        <v>450</v>
      </c>
      <c r="S34" s="51"/>
      <c r="T34" s="52"/>
      <c r="U34" s="3"/>
      <c r="V34" s="3"/>
    </row>
    <row r="35" ht="13.5" customHeight="1" spans="1:22">
      <c r="A35" s="47"/>
      <c r="B35" s="53" t="s">
        <v>509</v>
      </c>
      <c r="C35" s="53"/>
      <c r="D35" s="53"/>
      <c r="E35" s="54"/>
      <c r="F35" s="55" t="s">
        <v>510</v>
      </c>
      <c r="G35" s="55" t="s">
        <v>510</v>
      </c>
      <c r="H35" s="55" t="s">
        <v>510</v>
      </c>
      <c r="I35" s="55" t="s">
        <v>510</v>
      </c>
      <c r="J35" s="55" t="s">
        <v>510</v>
      </c>
      <c r="K35" s="55" t="s">
        <v>510</v>
      </c>
      <c r="L35" s="55" t="s">
        <v>510</v>
      </c>
      <c r="M35" s="55" t="s">
        <v>510</v>
      </c>
      <c r="N35" s="55" t="s">
        <v>510</v>
      </c>
      <c r="O35" s="55" t="s">
        <v>510</v>
      </c>
      <c r="P35" s="55" t="s">
        <v>510</v>
      </c>
      <c r="Q35" s="55" t="s">
        <v>510</v>
      </c>
      <c r="R35" s="55" t="s">
        <v>510</v>
      </c>
      <c r="S35" s="55"/>
      <c r="T35" s="56"/>
      <c r="U35" s="3"/>
      <c r="V35" s="3"/>
    </row>
    <row r="36" ht="105" customHeight="1" spans="1:22">
      <c r="A36" s="47"/>
      <c r="B36" s="57" t="s">
        <v>511</v>
      </c>
      <c r="C36" s="57"/>
      <c r="D36" s="57"/>
      <c r="E36" s="58"/>
      <c r="F36" s="59" t="s">
        <v>53</v>
      </c>
      <c r="G36" s="59" t="s">
        <v>53</v>
      </c>
      <c r="H36" s="59" t="s">
        <v>53</v>
      </c>
      <c r="I36" s="59" t="s">
        <v>53</v>
      </c>
      <c r="J36" s="59" t="s">
        <v>53</v>
      </c>
      <c r="K36" s="59" t="s">
        <v>53</v>
      </c>
      <c r="L36" s="59" t="s">
        <v>53</v>
      </c>
      <c r="M36" s="59" t="s">
        <v>53</v>
      </c>
      <c r="N36" s="59" t="s">
        <v>53</v>
      </c>
      <c r="O36" s="59" t="s">
        <v>53</v>
      </c>
      <c r="P36" s="59" t="s">
        <v>53</v>
      </c>
      <c r="Q36" s="59" t="s">
        <v>53</v>
      </c>
      <c r="R36" s="59" t="s">
        <v>53</v>
      </c>
      <c r="S36" s="59"/>
      <c r="T36" s="60"/>
      <c r="U36" s="3"/>
      <c r="V36" s="3"/>
    </row>
    <row r="37" ht="20" customHeight="1" spans="1:22">
      <c r="A37" s="61"/>
      <c r="B37" s="62" t="s">
        <v>512</v>
      </c>
      <c r="C37" s="62"/>
      <c r="D37" s="62"/>
      <c r="E37" s="63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5"/>
      <c r="U37" s="3"/>
      <c r="V37" s="3"/>
    </row>
    <row r="38" ht="13.8"/>
  </sheetData>
  <mergeCells count="48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</mergeCells>
  <dataValidations count="2">
    <dataValidation type="list" allowBlank="1" sqref="F34:R34">
      <formula1>"N,A,B"</formula1>
    </dataValidation>
    <dataValidation type="list" allowBlank="1" sqref="F35:R35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9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Functions!E17</f>
        <v>FE-STU-03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Functions!D17</f>
        <v>inferStudioTemplate (snippet &amp; meta)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461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62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-5.8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144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COUNTIF(F36:T36,"P")</f>
        <v>12</v>
      </c>
      <c r="B7" s="20"/>
      <c r="C7" s="21">
        <f>COUNTIF(F36:T36,"F")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COUNTIF(F35:T35,"N")</f>
        <v>6</v>
      </c>
      <c r="M7" s="21">
        <f>COUNTIF(F35:T35,"A")</f>
        <v>3</v>
      </c>
      <c r="N7" s="21">
        <f>COUNTIF(F35:T35,"B")</f>
        <v>3</v>
      </c>
      <c r="O7" s="21">
        <f>COUNTA(F9:T9)</f>
        <v>12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 t="s">
        <v>474</v>
      </c>
      <c r="N9" s="28" t="s">
        <v>475</v>
      </c>
      <c r="O9" s="28" t="s">
        <v>476</v>
      </c>
      <c r="P9" s="28" t="s">
        <v>477</v>
      </c>
      <c r="Q9" s="28" t="s">
        <v>561</v>
      </c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145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 t="s">
        <v>481</v>
      </c>
      <c r="N11" s="40" t="s">
        <v>481</v>
      </c>
      <c r="O11" s="40" t="s">
        <v>481</v>
      </c>
      <c r="P11" s="40" t="s">
        <v>481</v>
      </c>
      <c r="Q11" s="40" t="s">
        <v>481</v>
      </c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583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584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585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586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587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588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589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4" customHeight="1" spans="1:22">
      <c r="A20" s="38"/>
      <c r="B20" s="39" t="s">
        <v>590</v>
      </c>
      <c r="C20" s="39"/>
      <c r="D20" s="39"/>
      <c r="E20" s="35"/>
      <c r="F20" s="40"/>
      <c r="G20" s="40"/>
      <c r="H20" s="40"/>
      <c r="I20" s="40"/>
      <c r="J20" s="40"/>
      <c r="K20" s="40"/>
      <c r="L20" s="40"/>
      <c r="M20" s="40" t="s">
        <v>481</v>
      </c>
      <c r="N20" s="40"/>
      <c r="O20" s="40"/>
      <c r="P20" s="40"/>
      <c r="Q20" s="40"/>
      <c r="R20" s="40"/>
      <c r="S20" s="40"/>
      <c r="T20" s="41"/>
      <c r="U20" s="3"/>
      <c r="V20" s="9"/>
    </row>
    <row r="21" ht="14" customHeight="1" spans="1:22">
      <c r="A21" s="38"/>
      <c r="B21" s="39" t="s">
        <v>591</v>
      </c>
      <c r="C21" s="39"/>
      <c r="D21" s="39"/>
      <c r="E21" s="35"/>
      <c r="F21" s="40"/>
      <c r="G21" s="40"/>
      <c r="H21" s="40"/>
      <c r="I21" s="40"/>
      <c r="J21" s="40"/>
      <c r="K21" s="40"/>
      <c r="L21" s="40"/>
      <c r="M21" s="40"/>
      <c r="N21" s="40" t="s">
        <v>481</v>
      </c>
      <c r="O21" s="40"/>
      <c r="P21" s="40"/>
      <c r="Q21" s="40"/>
      <c r="R21" s="40"/>
      <c r="S21" s="40"/>
      <c r="T21" s="41"/>
      <c r="U21" s="3"/>
      <c r="V21" s="9"/>
    </row>
    <row r="22" ht="14" customHeight="1" spans="1:22">
      <c r="A22" s="38"/>
      <c r="B22" s="39" t="s">
        <v>592</v>
      </c>
      <c r="C22" s="39"/>
      <c r="D22" s="39"/>
      <c r="E22" s="35"/>
      <c r="F22" s="40"/>
      <c r="G22" s="40"/>
      <c r="H22" s="40"/>
      <c r="I22" s="40"/>
      <c r="J22" s="40"/>
      <c r="K22" s="40"/>
      <c r="L22" s="40"/>
      <c r="M22" s="40"/>
      <c r="N22" s="40"/>
      <c r="O22" s="40" t="s">
        <v>481</v>
      </c>
      <c r="P22" s="40"/>
      <c r="Q22" s="40"/>
      <c r="R22" s="40"/>
      <c r="S22" s="40"/>
      <c r="T22" s="41"/>
      <c r="U22" s="3"/>
      <c r="V22" s="9"/>
    </row>
    <row r="23" ht="14" customHeight="1" spans="1:22">
      <c r="A23" s="38"/>
      <c r="B23" s="39" t="s">
        <v>593</v>
      </c>
      <c r="C23" s="39"/>
      <c r="D23" s="39"/>
      <c r="E23" s="35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 t="s">
        <v>481</v>
      </c>
      <c r="Q23" s="40"/>
      <c r="R23" s="40"/>
      <c r="S23" s="40"/>
      <c r="T23" s="41"/>
      <c r="U23" s="3"/>
      <c r="V23" s="9"/>
    </row>
    <row r="24" ht="14" customHeight="1" spans="1:22">
      <c r="A24" s="38"/>
      <c r="B24" s="39" t="s">
        <v>594</v>
      </c>
      <c r="C24" s="39"/>
      <c r="D24" s="39"/>
      <c r="E24" s="35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 t="s">
        <v>481</v>
      </c>
      <c r="R24" s="40"/>
      <c r="S24" s="40"/>
      <c r="T24" s="41"/>
      <c r="U24" s="3"/>
      <c r="V24" s="9"/>
    </row>
    <row r="25" ht="13.5" customHeight="1" spans="1:22">
      <c r="A25" s="42" t="s">
        <v>494</v>
      </c>
      <c r="B25" s="43" t="s">
        <v>495</v>
      </c>
      <c r="C25" s="44"/>
      <c r="D25" s="45"/>
      <c r="E25" s="4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7"/>
      <c r="U25" s="3"/>
      <c r="V25" s="3"/>
    </row>
    <row r="26" ht="14" customHeight="1" spans="1:22">
      <c r="A26" s="47"/>
      <c r="B26" s="39" t="s">
        <v>595</v>
      </c>
      <c r="C26" s="39"/>
      <c r="D26" s="39"/>
      <c r="E26" s="48"/>
      <c r="F26" s="40" t="s">
        <v>481</v>
      </c>
      <c r="G26" s="40"/>
      <c r="H26" s="40" t="s">
        <v>481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1"/>
      <c r="U26" s="3"/>
      <c r="V26" s="3"/>
    </row>
    <row r="27" ht="14" customHeight="1" spans="1:22">
      <c r="A27" s="47"/>
      <c r="B27" s="39" t="s">
        <v>596</v>
      </c>
      <c r="C27" s="39"/>
      <c r="D27" s="39"/>
      <c r="E27" s="48"/>
      <c r="F27" s="40"/>
      <c r="G27" s="40" t="s">
        <v>481</v>
      </c>
      <c r="H27" s="40"/>
      <c r="I27" s="40" t="s">
        <v>481</v>
      </c>
      <c r="J27" s="40" t="s">
        <v>481</v>
      </c>
      <c r="K27" s="40"/>
      <c r="L27" s="40"/>
      <c r="M27" s="40"/>
      <c r="N27" s="40"/>
      <c r="O27" s="40"/>
      <c r="P27" s="40"/>
      <c r="Q27" s="40"/>
      <c r="R27" s="40"/>
      <c r="S27" s="40"/>
      <c r="T27" s="41"/>
      <c r="U27" s="3"/>
      <c r="V27" s="3"/>
    </row>
    <row r="28" ht="14" customHeight="1" spans="1:22">
      <c r="A28" s="47"/>
      <c r="B28" s="39" t="s">
        <v>597</v>
      </c>
      <c r="C28" s="39"/>
      <c r="D28" s="39"/>
      <c r="E28" s="48"/>
      <c r="F28" s="40"/>
      <c r="G28" s="40"/>
      <c r="H28" s="40"/>
      <c r="I28" s="40"/>
      <c r="J28" s="40"/>
      <c r="K28" s="40" t="s">
        <v>481</v>
      </c>
      <c r="L28" s="40"/>
      <c r="M28" s="40"/>
      <c r="N28" s="40"/>
      <c r="O28" s="40"/>
      <c r="P28" s="40"/>
      <c r="Q28" s="40"/>
      <c r="R28" s="40"/>
      <c r="S28" s="40"/>
      <c r="T28" s="41"/>
      <c r="U28" s="3"/>
      <c r="V28" s="3"/>
    </row>
    <row r="29" ht="14" customHeight="1" spans="1:22">
      <c r="A29" s="47"/>
      <c r="B29" s="39" t="s">
        <v>598</v>
      </c>
      <c r="C29" s="39"/>
      <c r="D29" s="39"/>
      <c r="E29" s="48"/>
      <c r="F29" s="40"/>
      <c r="G29" s="40"/>
      <c r="H29" s="40"/>
      <c r="I29" s="40"/>
      <c r="J29" s="40"/>
      <c r="K29" s="40"/>
      <c r="L29" s="40" t="s">
        <v>481</v>
      </c>
      <c r="M29" s="40"/>
      <c r="N29" s="40"/>
      <c r="O29" s="40"/>
      <c r="P29" s="40"/>
      <c r="Q29" s="40"/>
      <c r="R29" s="40"/>
      <c r="S29" s="40"/>
      <c r="T29" s="41"/>
      <c r="U29" s="3"/>
      <c r="V29" s="3"/>
    </row>
    <row r="30" ht="14" customHeight="1" spans="1:22">
      <c r="A30" s="47"/>
      <c r="B30" s="39" t="s">
        <v>599</v>
      </c>
      <c r="C30" s="39"/>
      <c r="D30" s="39"/>
      <c r="E30" s="48"/>
      <c r="F30" s="40"/>
      <c r="G30" s="40"/>
      <c r="H30" s="40"/>
      <c r="I30" s="40"/>
      <c r="J30" s="40"/>
      <c r="K30" s="40"/>
      <c r="L30" s="40"/>
      <c r="M30" s="40" t="s">
        <v>481</v>
      </c>
      <c r="N30" s="40"/>
      <c r="O30" s="40"/>
      <c r="P30" s="40"/>
      <c r="Q30" s="40"/>
      <c r="R30" s="40"/>
      <c r="S30" s="40"/>
      <c r="T30" s="41"/>
      <c r="U30" s="3"/>
      <c r="V30" s="3"/>
    </row>
    <row r="31" ht="14" customHeight="1" spans="1:22">
      <c r="A31" s="47"/>
      <c r="B31" s="39" t="s">
        <v>600</v>
      </c>
      <c r="C31" s="39"/>
      <c r="D31" s="39"/>
      <c r="E31" s="48"/>
      <c r="F31" s="40"/>
      <c r="G31" s="40"/>
      <c r="H31" s="40"/>
      <c r="I31" s="40"/>
      <c r="J31" s="40"/>
      <c r="K31" s="40"/>
      <c r="L31" s="40"/>
      <c r="M31" s="40"/>
      <c r="N31" s="40" t="s">
        <v>481</v>
      </c>
      <c r="O31" s="40"/>
      <c r="P31" s="40"/>
      <c r="Q31" s="40"/>
      <c r="R31" s="40"/>
      <c r="S31" s="40"/>
      <c r="T31" s="41"/>
      <c r="U31" s="3"/>
      <c r="V31" s="3"/>
    </row>
    <row r="32" ht="14" customHeight="1" spans="1:22">
      <c r="A32" s="47"/>
      <c r="B32" s="39" t="s">
        <v>601</v>
      </c>
      <c r="C32" s="39"/>
      <c r="D32" s="39"/>
      <c r="E32" s="48"/>
      <c r="F32" s="40"/>
      <c r="G32" s="40"/>
      <c r="H32" s="40"/>
      <c r="I32" s="40"/>
      <c r="J32" s="40"/>
      <c r="K32" s="40"/>
      <c r="L32" s="40"/>
      <c r="M32" s="40"/>
      <c r="N32" s="40"/>
      <c r="O32" s="40" t="s">
        <v>481</v>
      </c>
      <c r="P32" s="40"/>
      <c r="Q32" s="40"/>
      <c r="R32" s="40"/>
      <c r="S32" s="40"/>
      <c r="T32" s="41"/>
      <c r="U32" s="3"/>
      <c r="V32" s="3"/>
    </row>
    <row r="33" ht="14" customHeight="1" spans="1:22">
      <c r="A33" s="47"/>
      <c r="B33" s="39" t="s">
        <v>602</v>
      </c>
      <c r="C33" s="39"/>
      <c r="D33" s="39"/>
      <c r="E33" s="48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 t="s">
        <v>481</v>
      </c>
      <c r="Q33" s="40"/>
      <c r="R33" s="40"/>
      <c r="S33" s="40"/>
      <c r="T33" s="41"/>
      <c r="U33" s="3"/>
      <c r="V33" s="3"/>
    </row>
    <row r="34" ht="14" customHeight="1" spans="1:22">
      <c r="A34" s="47"/>
      <c r="B34" s="39" t="s">
        <v>603</v>
      </c>
      <c r="C34" s="39"/>
      <c r="D34" s="39"/>
      <c r="E34" s="48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 t="s">
        <v>481</v>
      </c>
      <c r="R34" s="40"/>
      <c r="S34" s="40"/>
      <c r="T34" s="41"/>
      <c r="U34" s="3"/>
      <c r="V34" s="3"/>
    </row>
    <row r="35" ht="13.5" customHeight="1" spans="1:22">
      <c r="A35" s="42" t="s">
        <v>507</v>
      </c>
      <c r="B35" s="49" t="s">
        <v>508</v>
      </c>
      <c r="C35" s="49"/>
      <c r="D35" s="49"/>
      <c r="E35" s="50"/>
      <c r="F35" s="51" t="s">
        <v>449</v>
      </c>
      <c r="G35" s="51" t="s">
        <v>66</v>
      </c>
      <c r="H35" s="51" t="s">
        <v>449</v>
      </c>
      <c r="I35" s="51" t="s">
        <v>66</v>
      </c>
      <c r="J35" s="51" t="s">
        <v>66</v>
      </c>
      <c r="K35" s="51" t="s">
        <v>450</v>
      </c>
      <c r="L35" s="51" t="s">
        <v>449</v>
      </c>
      <c r="M35" s="51" t="s">
        <v>450</v>
      </c>
      <c r="N35" s="51" t="s">
        <v>449</v>
      </c>
      <c r="O35" s="51" t="s">
        <v>449</v>
      </c>
      <c r="P35" s="51" t="s">
        <v>449</v>
      </c>
      <c r="Q35" s="51" t="s">
        <v>450</v>
      </c>
      <c r="R35" s="51"/>
      <c r="S35" s="51"/>
      <c r="T35" s="52"/>
      <c r="U35" s="3"/>
      <c r="V35" s="3"/>
    </row>
    <row r="36" ht="13.5" customHeight="1" spans="1:22">
      <c r="A36" s="47"/>
      <c r="B36" s="53" t="s">
        <v>509</v>
      </c>
      <c r="C36" s="53"/>
      <c r="D36" s="53"/>
      <c r="E36" s="54"/>
      <c r="F36" s="55" t="s">
        <v>510</v>
      </c>
      <c r="G36" s="55" t="s">
        <v>510</v>
      </c>
      <c r="H36" s="55" t="s">
        <v>510</v>
      </c>
      <c r="I36" s="55" t="s">
        <v>510</v>
      </c>
      <c r="J36" s="55" t="s">
        <v>510</v>
      </c>
      <c r="K36" s="55" t="s">
        <v>510</v>
      </c>
      <c r="L36" s="55" t="s">
        <v>510</v>
      </c>
      <c r="M36" s="55" t="s">
        <v>510</v>
      </c>
      <c r="N36" s="55" t="s">
        <v>510</v>
      </c>
      <c r="O36" s="55" t="s">
        <v>510</v>
      </c>
      <c r="P36" s="55" t="s">
        <v>510</v>
      </c>
      <c r="Q36" s="55" t="s">
        <v>510</v>
      </c>
      <c r="R36" s="55"/>
      <c r="S36" s="55"/>
      <c r="T36" s="56"/>
      <c r="U36" s="3"/>
      <c r="V36" s="3"/>
    </row>
    <row r="37" ht="105" customHeight="1" spans="1:22">
      <c r="A37" s="47"/>
      <c r="B37" s="57" t="s">
        <v>511</v>
      </c>
      <c r="C37" s="57"/>
      <c r="D37" s="57"/>
      <c r="E37" s="58"/>
      <c r="F37" s="59" t="s">
        <v>53</v>
      </c>
      <c r="G37" s="59" t="s">
        <v>53</v>
      </c>
      <c r="H37" s="59" t="s">
        <v>53</v>
      </c>
      <c r="I37" s="59" t="s">
        <v>53</v>
      </c>
      <c r="J37" s="59" t="s">
        <v>53</v>
      </c>
      <c r="K37" s="59" t="s">
        <v>53</v>
      </c>
      <c r="L37" s="59" t="s">
        <v>53</v>
      </c>
      <c r="M37" s="59" t="s">
        <v>53</v>
      </c>
      <c r="N37" s="59" t="s">
        <v>53</v>
      </c>
      <c r="O37" s="59" t="s">
        <v>53</v>
      </c>
      <c r="P37" s="59" t="s">
        <v>53</v>
      </c>
      <c r="Q37" s="59" t="s">
        <v>53</v>
      </c>
      <c r="R37" s="59"/>
      <c r="S37" s="59"/>
      <c r="T37" s="60"/>
      <c r="U37" s="3"/>
      <c r="V37" s="3"/>
    </row>
    <row r="38" ht="20" customHeight="1" spans="1:22">
      <c r="A38" s="61"/>
      <c r="B38" s="62" t="s">
        <v>512</v>
      </c>
      <c r="C38" s="62"/>
      <c r="D38" s="62"/>
      <c r="E38" s="63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5"/>
      <c r="U38" s="3"/>
      <c r="V38" s="3"/>
    </row>
    <row r="39" ht="13.8"/>
  </sheetData>
  <mergeCells count="49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</mergeCells>
  <dataValidations count="2">
    <dataValidation type="list" allowBlank="1" sqref="F35:Q35">
      <formula1>"N,A,B"</formula1>
    </dataValidation>
    <dataValidation type="list" allowBlank="1" sqref="F36:Q36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Functions!E18</f>
        <v>FE-STU-04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Functions!D18</f>
        <v>inferGeneratedQuestionTemplate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461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55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2.5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149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COUNTIF(F21:T21,"P")</f>
        <v>3</v>
      </c>
      <c r="B7" s="20"/>
      <c r="C7" s="21">
        <f>COUNTIF(F21:T21,"F")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COUNTIF(F20:T20,"N")</f>
        <v>2</v>
      </c>
      <c r="M7" s="21">
        <f>COUNTIF(F20:T20,"A")</f>
        <v>0</v>
      </c>
      <c r="N7" s="21">
        <f>COUNTIF(F20:T20,"B")</f>
        <v>1</v>
      </c>
      <c r="O7" s="21">
        <f>COUNTA(F9:T9)</f>
        <v>3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117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604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605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606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3.5" customHeight="1" spans="1:22">
      <c r="A16" s="42" t="s">
        <v>494</v>
      </c>
      <c r="B16" s="43" t="s">
        <v>495</v>
      </c>
      <c r="C16" s="44"/>
      <c r="D16" s="45"/>
      <c r="E16" s="4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7"/>
      <c r="U16" s="3"/>
      <c r="V16" s="3"/>
    </row>
    <row r="17" ht="14" customHeight="1" spans="1:22">
      <c r="A17" s="47"/>
      <c r="B17" s="39" t="s">
        <v>578</v>
      </c>
      <c r="C17" s="39"/>
      <c r="D17" s="39"/>
      <c r="E17" s="48"/>
      <c r="F17" s="40" t="s">
        <v>481</v>
      </c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3"/>
    </row>
    <row r="18" ht="14" customHeight="1" spans="1:22">
      <c r="A18" s="47"/>
      <c r="B18" s="39" t="s">
        <v>607</v>
      </c>
      <c r="C18" s="39"/>
      <c r="D18" s="39"/>
      <c r="E18" s="48"/>
      <c r="F18" s="40"/>
      <c r="G18" s="40" t="s">
        <v>481</v>
      </c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3"/>
    </row>
    <row r="19" ht="14" customHeight="1" spans="1:22">
      <c r="A19" s="47"/>
      <c r="B19" s="39" t="s">
        <v>608</v>
      </c>
      <c r="C19" s="39"/>
      <c r="D19" s="39"/>
      <c r="E19" s="48"/>
      <c r="F19" s="40"/>
      <c r="G19" s="40"/>
      <c r="H19" s="40" t="s">
        <v>481</v>
      </c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1"/>
      <c r="U19" s="3"/>
      <c r="V19" s="3"/>
    </row>
    <row r="20" ht="13.5" customHeight="1" spans="1:22">
      <c r="A20" s="42" t="s">
        <v>507</v>
      </c>
      <c r="B20" s="49" t="s">
        <v>508</v>
      </c>
      <c r="C20" s="49"/>
      <c r="D20" s="49"/>
      <c r="E20" s="50"/>
      <c r="F20" s="51" t="s">
        <v>449</v>
      </c>
      <c r="G20" s="51" t="s">
        <v>449</v>
      </c>
      <c r="H20" s="51" t="s">
        <v>450</v>
      </c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2"/>
      <c r="U20" s="3"/>
      <c r="V20" s="3"/>
    </row>
    <row r="21" ht="13.5" customHeight="1" spans="1:22">
      <c r="A21" s="47"/>
      <c r="B21" s="53" t="s">
        <v>509</v>
      </c>
      <c r="C21" s="53"/>
      <c r="D21" s="53"/>
      <c r="E21" s="54"/>
      <c r="F21" s="55" t="s">
        <v>510</v>
      </c>
      <c r="G21" s="55" t="s">
        <v>510</v>
      </c>
      <c r="H21" s="55" t="s">
        <v>510</v>
      </c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6"/>
      <c r="U21" s="3"/>
      <c r="V21" s="3"/>
    </row>
    <row r="22" ht="105" customHeight="1" spans="1:22">
      <c r="A22" s="47"/>
      <c r="B22" s="57" t="s">
        <v>511</v>
      </c>
      <c r="C22" s="57"/>
      <c r="D22" s="57"/>
      <c r="E22" s="58"/>
      <c r="F22" s="59" t="s">
        <v>53</v>
      </c>
      <c r="G22" s="59" t="s">
        <v>53</v>
      </c>
      <c r="H22" s="59" t="s">
        <v>53</v>
      </c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60"/>
      <c r="U22" s="3"/>
      <c r="V22" s="3"/>
    </row>
    <row r="23" ht="20" customHeight="1" spans="1:22">
      <c r="A23" s="61"/>
      <c r="B23" s="62" t="s">
        <v>512</v>
      </c>
      <c r="C23" s="62"/>
      <c r="D23" s="62"/>
      <c r="E23" s="63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5"/>
      <c r="U23" s="3"/>
      <c r="V23" s="3"/>
    </row>
    <row r="24" ht="13.8"/>
  </sheetData>
  <mergeCells count="34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7:D17"/>
    <mergeCell ref="B18:D18"/>
    <mergeCell ref="B19:D19"/>
    <mergeCell ref="B20:D20"/>
    <mergeCell ref="B21:D21"/>
    <mergeCell ref="B22:D22"/>
    <mergeCell ref="B23:D23"/>
  </mergeCells>
  <dataValidations count="2">
    <dataValidation type="list" allowBlank="1" sqref="F20:H20">
      <formula1>"N,A,B"</formula1>
    </dataValidation>
    <dataValidation type="list" allowBlank="1" sqref="F21:H21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6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Functions!E19</f>
        <v>FE-GAM-01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Functions!D19</f>
        <v>formatXp / getLevelLabel / getLevelColorClass / getLevelBarColor / streakIntensity / xpRewardTypeLabel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461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47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-9.3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155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COUNTIF(F43:T43,"P")</f>
        <v>14</v>
      </c>
      <c r="B7" s="20"/>
      <c r="C7" s="21">
        <f>COUNTIF(F43:T43,"F")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COUNTIF(F42:T42,"N")</f>
        <v>2</v>
      </c>
      <c r="M7" s="21">
        <f>COUNTIF(F42:T42,"A")</f>
        <v>0</v>
      </c>
      <c r="N7" s="21">
        <f>COUNTIF(F42:T42,"B")</f>
        <v>12</v>
      </c>
      <c r="O7" s="21">
        <f>COUNTA(F9:T9)</f>
        <v>14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 t="s">
        <v>474</v>
      </c>
      <c r="N9" s="28" t="s">
        <v>475</v>
      </c>
      <c r="O9" s="28" t="s">
        <v>476</v>
      </c>
      <c r="P9" s="28" t="s">
        <v>477</v>
      </c>
      <c r="Q9" s="28" t="s">
        <v>561</v>
      </c>
      <c r="R9" s="28" t="s">
        <v>562</v>
      </c>
      <c r="S9" s="28" t="s">
        <v>609</v>
      </c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128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 t="s">
        <v>481</v>
      </c>
      <c r="N11" s="40" t="s">
        <v>481</v>
      </c>
      <c r="O11" s="40" t="s">
        <v>481</v>
      </c>
      <c r="P11" s="40" t="s">
        <v>481</v>
      </c>
      <c r="Q11" s="40" t="s">
        <v>481</v>
      </c>
      <c r="R11" s="40" t="s">
        <v>481</v>
      </c>
      <c r="S11" s="40" t="s">
        <v>481</v>
      </c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610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611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612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613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614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615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616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4" customHeight="1" spans="1:22">
      <c r="A20" s="38"/>
      <c r="B20" s="39" t="s">
        <v>617</v>
      </c>
      <c r="C20" s="39"/>
      <c r="D20" s="39"/>
      <c r="E20" s="35"/>
      <c r="F20" s="40"/>
      <c r="G20" s="40"/>
      <c r="H20" s="40"/>
      <c r="I20" s="40"/>
      <c r="J20" s="40"/>
      <c r="K20" s="40"/>
      <c r="L20" s="40"/>
      <c r="M20" s="40" t="s">
        <v>481</v>
      </c>
      <c r="N20" s="40"/>
      <c r="O20" s="40"/>
      <c r="P20" s="40"/>
      <c r="Q20" s="40"/>
      <c r="R20" s="40"/>
      <c r="S20" s="40"/>
      <c r="T20" s="41"/>
      <c r="U20" s="3"/>
      <c r="V20" s="9"/>
    </row>
    <row r="21" ht="14" customHeight="1" spans="1:22">
      <c r="A21" s="38"/>
      <c r="B21" s="39" t="s">
        <v>618</v>
      </c>
      <c r="C21" s="39"/>
      <c r="D21" s="39"/>
      <c r="E21" s="35"/>
      <c r="F21" s="40"/>
      <c r="G21" s="40"/>
      <c r="H21" s="40"/>
      <c r="I21" s="40"/>
      <c r="J21" s="40"/>
      <c r="K21" s="40"/>
      <c r="L21" s="40"/>
      <c r="M21" s="40"/>
      <c r="N21" s="40" t="s">
        <v>481</v>
      </c>
      <c r="O21" s="40"/>
      <c r="P21" s="40"/>
      <c r="Q21" s="40"/>
      <c r="R21" s="40"/>
      <c r="S21" s="40"/>
      <c r="T21" s="41"/>
      <c r="U21" s="3"/>
      <c r="V21" s="9"/>
    </row>
    <row r="22" ht="14" customHeight="1" spans="1:22">
      <c r="A22" s="38"/>
      <c r="B22" s="39" t="s">
        <v>619</v>
      </c>
      <c r="C22" s="39"/>
      <c r="D22" s="39"/>
      <c r="E22" s="35"/>
      <c r="F22" s="40"/>
      <c r="G22" s="40"/>
      <c r="H22" s="40"/>
      <c r="I22" s="40"/>
      <c r="J22" s="40"/>
      <c r="K22" s="40"/>
      <c r="L22" s="40"/>
      <c r="M22" s="40"/>
      <c r="N22" s="40"/>
      <c r="O22" s="40" t="s">
        <v>481</v>
      </c>
      <c r="P22" s="40"/>
      <c r="Q22" s="40"/>
      <c r="R22" s="40"/>
      <c r="S22" s="40"/>
      <c r="T22" s="41"/>
      <c r="U22" s="3"/>
      <c r="V22" s="9"/>
    </row>
    <row r="23" ht="14" customHeight="1" spans="1:22">
      <c r="A23" s="38"/>
      <c r="B23" s="39" t="s">
        <v>620</v>
      </c>
      <c r="C23" s="39"/>
      <c r="D23" s="39"/>
      <c r="E23" s="35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 t="s">
        <v>481</v>
      </c>
      <c r="Q23" s="40"/>
      <c r="R23" s="40"/>
      <c r="S23" s="40"/>
      <c r="T23" s="41"/>
      <c r="U23" s="3"/>
      <c r="V23" s="9"/>
    </row>
    <row r="24" ht="14" customHeight="1" spans="1:22">
      <c r="A24" s="38"/>
      <c r="B24" s="39" t="s">
        <v>621</v>
      </c>
      <c r="C24" s="39"/>
      <c r="D24" s="39"/>
      <c r="E24" s="35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 t="s">
        <v>481</v>
      </c>
      <c r="R24" s="40"/>
      <c r="S24" s="40"/>
      <c r="T24" s="41"/>
      <c r="U24" s="3"/>
      <c r="V24" s="9"/>
    </row>
    <row r="25" ht="14" customHeight="1" spans="1:22">
      <c r="A25" s="38"/>
      <c r="B25" s="39" t="s">
        <v>622</v>
      </c>
      <c r="C25" s="39"/>
      <c r="D25" s="39"/>
      <c r="E25" s="35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 t="s">
        <v>481</v>
      </c>
      <c r="S25" s="40"/>
      <c r="T25" s="41"/>
      <c r="U25" s="3"/>
      <c r="V25" s="9"/>
    </row>
    <row r="26" ht="14" customHeight="1" spans="1:22">
      <c r="A26" s="38"/>
      <c r="B26" s="39" t="s">
        <v>623</v>
      </c>
      <c r="C26" s="39"/>
      <c r="D26" s="39"/>
      <c r="E26" s="35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 t="s">
        <v>481</v>
      </c>
      <c r="T26" s="41"/>
      <c r="U26" s="3"/>
      <c r="V26" s="9"/>
    </row>
    <row r="27" ht="13.5" customHeight="1" spans="1:22">
      <c r="A27" s="42" t="s">
        <v>494</v>
      </c>
      <c r="B27" s="43" t="s">
        <v>495</v>
      </c>
      <c r="C27" s="44"/>
      <c r="D27" s="45"/>
      <c r="E27" s="4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7"/>
      <c r="U27" s="3"/>
      <c r="V27" s="3"/>
    </row>
    <row r="28" ht="14" customHeight="1" spans="1:22">
      <c r="A28" s="47"/>
      <c r="B28" s="39" t="s">
        <v>624</v>
      </c>
      <c r="C28" s="39"/>
      <c r="D28" s="39"/>
      <c r="E28" s="48"/>
      <c r="F28" s="40" t="s">
        <v>481</v>
      </c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1"/>
      <c r="U28" s="3"/>
      <c r="V28" s="3"/>
    </row>
    <row r="29" ht="14" customHeight="1" spans="1:22">
      <c r="A29" s="47"/>
      <c r="B29" s="39" t="s">
        <v>625</v>
      </c>
      <c r="C29" s="39"/>
      <c r="D29" s="39"/>
      <c r="E29" s="48"/>
      <c r="F29" s="40"/>
      <c r="G29" s="40" t="s">
        <v>481</v>
      </c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1"/>
      <c r="U29" s="3"/>
      <c r="V29" s="3"/>
    </row>
    <row r="30" ht="14" customHeight="1" spans="1:22">
      <c r="A30" s="47"/>
      <c r="B30" s="39" t="s">
        <v>626</v>
      </c>
      <c r="C30" s="39"/>
      <c r="D30" s="39"/>
      <c r="E30" s="48"/>
      <c r="F30" s="40"/>
      <c r="G30" s="40"/>
      <c r="H30" s="40" t="s">
        <v>481</v>
      </c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1"/>
      <c r="U30" s="3"/>
      <c r="V30" s="3"/>
    </row>
    <row r="31" ht="14" customHeight="1" spans="1:22">
      <c r="A31" s="47"/>
      <c r="B31" s="39" t="s">
        <v>627</v>
      </c>
      <c r="C31" s="39"/>
      <c r="D31" s="39"/>
      <c r="E31" s="48"/>
      <c r="F31" s="40"/>
      <c r="G31" s="40"/>
      <c r="H31" s="40"/>
      <c r="I31" s="40" t="s">
        <v>481</v>
      </c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1"/>
      <c r="U31" s="3"/>
      <c r="V31" s="3"/>
    </row>
    <row r="32" ht="14" customHeight="1" spans="1:22">
      <c r="A32" s="47"/>
      <c r="B32" s="39" t="s">
        <v>628</v>
      </c>
      <c r="C32" s="39"/>
      <c r="D32" s="39"/>
      <c r="E32" s="48"/>
      <c r="F32" s="40"/>
      <c r="G32" s="40"/>
      <c r="H32" s="40"/>
      <c r="I32" s="40"/>
      <c r="J32" s="40" t="s">
        <v>481</v>
      </c>
      <c r="K32" s="40"/>
      <c r="L32" s="40"/>
      <c r="M32" s="40"/>
      <c r="N32" s="40"/>
      <c r="O32" s="40"/>
      <c r="P32" s="40"/>
      <c r="Q32" s="40"/>
      <c r="R32" s="40"/>
      <c r="S32" s="40"/>
      <c r="T32" s="41"/>
      <c r="U32" s="3"/>
      <c r="V32" s="3"/>
    </row>
    <row r="33" ht="14" customHeight="1" spans="1:22">
      <c r="A33" s="47"/>
      <c r="B33" s="39" t="s">
        <v>629</v>
      </c>
      <c r="C33" s="39"/>
      <c r="D33" s="39"/>
      <c r="E33" s="48"/>
      <c r="F33" s="40"/>
      <c r="G33" s="40"/>
      <c r="H33" s="40"/>
      <c r="I33" s="40"/>
      <c r="J33" s="40"/>
      <c r="K33" s="40" t="s">
        <v>481</v>
      </c>
      <c r="L33" s="40"/>
      <c r="M33" s="40"/>
      <c r="N33" s="40"/>
      <c r="O33" s="40"/>
      <c r="P33" s="40"/>
      <c r="Q33" s="40"/>
      <c r="R33" s="40"/>
      <c r="S33" s="40"/>
      <c r="T33" s="41"/>
      <c r="U33" s="3"/>
      <c r="V33" s="3"/>
    </row>
    <row r="34" ht="14" customHeight="1" spans="1:22">
      <c r="A34" s="47"/>
      <c r="B34" s="39" t="s">
        <v>630</v>
      </c>
      <c r="C34" s="39"/>
      <c r="D34" s="39"/>
      <c r="E34" s="48"/>
      <c r="F34" s="40"/>
      <c r="G34" s="40"/>
      <c r="H34" s="40"/>
      <c r="I34" s="40"/>
      <c r="J34" s="40"/>
      <c r="K34" s="40"/>
      <c r="L34" s="40" t="s">
        <v>481</v>
      </c>
      <c r="M34" s="40"/>
      <c r="N34" s="40"/>
      <c r="O34" s="40"/>
      <c r="P34" s="40"/>
      <c r="Q34" s="40"/>
      <c r="R34" s="40"/>
      <c r="S34" s="40"/>
      <c r="T34" s="41"/>
      <c r="U34" s="3"/>
      <c r="V34" s="3"/>
    </row>
    <row r="35" ht="14" customHeight="1" spans="1:22">
      <c r="A35" s="47"/>
      <c r="B35" s="39" t="s">
        <v>631</v>
      </c>
      <c r="C35" s="39"/>
      <c r="D35" s="39"/>
      <c r="E35" s="48"/>
      <c r="F35" s="40"/>
      <c r="G35" s="40"/>
      <c r="H35" s="40"/>
      <c r="I35" s="40"/>
      <c r="J35" s="40"/>
      <c r="K35" s="40"/>
      <c r="L35" s="40"/>
      <c r="M35" s="40" t="s">
        <v>481</v>
      </c>
      <c r="N35" s="40"/>
      <c r="O35" s="40"/>
      <c r="P35" s="40"/>
      <c r="Q35" s="40"/>
      <c r="R35" s="40"/>
      <c r="S35" s="40"/>
      <c r="T35" s="41"/>
      <c r="U35" s="3"/>
      <c r="V35" s="3"/>
    </row>
    <row r="36" ht="14" customHeight="1" spans="1:22">
      <c r="A36" s="47"/>
      <c r="B36" s="39" t="s">
        <v>632</v>
      </c>
      <c r="C36" s="39"/>
      <c r="D36" s="39"/>
      <c r="E36" s="48"/>
      <c r="F36" s="40"/>
      <c r="G36" s="40"/>
      <c r="H36" s="40"/>
      <c r="I36" s="40"/>
      <c r="J36" s="40"/>
      <c r="K36" s="40"/>
      <c r="L36" s="40"/>
      <c r="M36" s="40"/>
      <c r="N36" s="40" t="s">
        <v>481</v>
      </c>
      <c r="O36" s="40"/>
      <c r="P36" s="40"/>
      <c r="Q36" s="40"/>
      <c r="R36" s="40"/>
      <c r="S36" s="40"/>
      <c r="T36" s="41"/>
      <c r="U36" s="3"/>
      <c r="V36" s="3"/>
    </row>
    <row r="37" ht="14" customHeight="1" spans="1:22">
      <c r="A37" s="47"/>
      <c r="B37" s="39" t="s">
        <v>633</v>
      </c>
      <c r="C37" s="39"/>
      <c r="D37" s="39"/>
      <c r="E37" s="48"/>
      <c r="F37" s="40"/>
      <c r="G37" s="40"/>
      <c r="H37" s="40"/>
      <c r="I37" s="40"/>
      <c r="J37" s="40"/>
      <c r="K37" s="40"/>
      <c r="L37" s="40"/>
      <c r="M37" s="40"/>
      <c r="N37" s="40"/>
      <c r="O37" s="40" t="s">
        <v>481</v>
      </c>
      <c r="P37" s="40"/>
      <c r="Q37" s="40"/>
      <c r="R37" s="40"/>
      <c r="S37" s="40"/>
      <c r="T37" s="41"/>
      <c r="U37" s="3"/>
      <c r="V37" s="3"/>
    </row>
    <row r="38" ht="14" customHeight="1" spans="1:22">
      <c r="A38" s="47"/>
      <c r="B38" s="39" t="s">
        <v>634</v>
      </c>
      <c r="C38" s="39"/>
      <c r="D38" s="39"/>
      <c r="E38" s="48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 t="s">
        <v>481</v>
      </c>
      <c r="Q38" s="40"/>
      <c r="R38" s="40"/>
      <c r="S38" s="40"/>
      <c r="T38" s="41"/>
      <c r="U38" s="3"/>
      <c r="V38" s="3"/>
    </row>
    <row r="39" ht="14" customHeight="1" spans="1:22">
      <c r="A39" s="47"/>
      <c r="B39" s="39" t="s">
        <v>635</v>
      </c>
      <c r="C39" s="39"/>
      <c r="D39" s="39"/>
      <c r="E39" s="48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 t="s">
        <v>481</v>
      </c>
      <c r="R39" s="40"/>
      <c r="S39" s="40"/>
      <c r="T39" s="41"/>
      <c r="U39" s="3"/>
      <c r="V39" s="3"/>
    </row>
    <row r="40" ht="14" customHeight="1" spans="1:22">
      <c r="A40" s="47"/>
      <c r="B40" s="39" t="s">
        <v>636</v>
      </c>
      <c r="C40" s="39"/>
      <c r="D40" s="39"/>
      <c r="E40" s="48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 t="s">
        <v>481</v>
      </c>
      <c r="S40" s="40"/>
      <c r="T40" s="41"/>
      <c r="U40" s="3"/>
      <c r="V40" s="3"/>
    </row>
    <row r="41" ht="14" customHeight="1" spans="1:22">
      <c r="A41" s="47"/>
      <c r="B41" s="39" t="s">
        <v>637</v>
      </c>
      <c r="C41" s="39"/>
      <c r="D41" s="39"/>
      <c r="E41" s="48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 t="s">
        <v>481</v>
      </c>
      <c r="T41" s="41"/>
      <c r="U41" s="3"/>
      <c r="V41" s="3"/>
    </row>
    <row r="42" ht="13.5" customHeight="1" spans="1:22">
      <c r="A42" s="42" t="s">
        <v>507</v>
      </c>
      <c r="B42" s="49" t="s">
        <v>508</v>
      </c>
      <c r="C42" s="49"/>
      <c r="D42" s="49"/>
      <c r="E42" s="50"/>
      <c r="F42" s="51" t="s">
        <v>449</v>
      </c>
      <c r="G42" s="51" t="s">
        <v>450</v>
      </c>
      <c r="H42" s="51" t="s">
        <v>450</v>
      </c>
      <c r="I42" s="51" t="s">
        <v>450</v>
      </c>
      <c r="J42" s="51" t="s">
        <v>450</v>
      </c>
      <c r="K42" s="51" t="s">
        <v>450</v>
      </c>
      <c r="L42" s="51" t="s">
        <v>450</v>
      </c>
      <c r="M42" s="51" t="s">
        <v>450</v>
      </c>
      <c r="N42" s="51" t="s">
        <v>450</v>
      </c>
      <c r="O42" s="51" t="s">
        <v>450</v>
      </c>
      <c r="P42" s="51" t="s">
        <v>450</v>
      </c>
      <c r="Q42" s="51" t="s">
        <v>450</v>
      </c>
      <c r="R42" s="51" t="s">
        <v>450</v>
      </c>
      <c r="S42" s="51" t="s">
        <v>449</v>
      </c>
      <c r="T42" s="52"/>
      <c r="U42" s="3"/>
      <c r="V42" s="3"/>
    </row>
    <row r="43" ht="13.5" customHeight="1" spans="1:22">
      <c r="A43" s="47"/>
      <c r="B43" s="53" t="s">
        <v>509</v>
      </c>
      <c r="C43" s="53"/>
      <c r="D43" s="53"/>
      <c r="E43" s="54"/>
      <c r="F43" s="55" t="s">
        <v>510</v>
      </c>
      <c r="G43" s="55" t="s">
        <v>510</v>
      </c>
      <c r="H43" s="55" t="s">
        <v>510</v>
      </c>
      <c r="I43" s="55" t="s">
        <v>510</v>
      </c>
      <c r="J43" s="55" t="s">
        <v>510</v>
      </c>
      <c r="K43" s="55" t="s">
        <v>510</v>
      </c>
      <c r="L43" s="55" t="s">
        <v>510</v>
      </c>
      <c r="M43" s="55" t="s">
        <v>510</v>
      </c>
      <c r="N43" s="55" t="s">
        <v>510</v>
      </c>
      <c r="O43" s="55" t="s">
        <v>510</v>
      </c>
      <c r="P43" s="55" t="s">
        <v>510</v>
      </c>
      <c r="Q43" s="55" t="s">
        <v>510</v>
      </c>
      <c r="R43" s="55" t="s">
        <v>510</v>
      </c>
      <c r="S43" s="55" t="s">
        <v>510</v>
      </c>
      <c r="T43" s="56"/>
      <c r="U43" s="3"/>
      <c r="V43" s="3"/>
    </row>
    <row r="44" ht="105" customHeight="1" spans="1:22">
      <c r="A44" s="47"/>
      <c r="B44" s="57" t="s">
        <v>511</v>
      </c>
      <c r="C44" s="57"/>
      <c r="D44" s="57"/>
      <c r="E44" s="58"/>
      <c r="F44" s="59" t="s">
        <v>53</v>
      </c>
      <c r="G44" s="59" t="s">
        <v>53</v>
      </c>
      <c r="H44" s="59" t="s">
        <v>53</v>
      </c>
      <c r="I44" s="59" t="s">
        <v>53</v>
      </c>
      <c r="J44" s="59" t="s">
        <v>53</v>
      </c>
      <c r="K44" s="59" t="s">
        <v>53</v>
      </c>
      <c r="L44" s="59" t="s">
        <v>53</v>
      </c>
      <c r="M44" s="59" t="s">
        <v>53</v>
      </c>
      <c r="N44" s="59" t="s">
        <v>53</v>
      </c>
      <c r="O44" s="59" t="s">
        <v>53</v>
      </c>
      <c r="P44" s="59" t="s">
        <v>53</v>
      </c>
      <c r="Q44" s="59" t="s">
        <v>53</v>
      </c>
      <c r="R44" s="59" t="s">
        <v>53</v>
      </c>
      <c r="S44" s="59" t="s">
        <v>53</v>
      </c>
      <c r="T44" s="60"/>
      <c r="U44" s="3"/>
      <c r="V44" s="3"/>
    </row>
    <row r="45" ht="20" customHeight="1" spans="1:22">
      <c r="A45" s="61"/>
      <c r="B45" s="62" t="s">
        <v>512</v>
      </c>
      <c r="C45" s="62"/>
      <c r="D45" s="62"/>
      <c r="E45" s="63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5"/>
      <c r="U45" s="3"/>
      <c r="V45" s="3"/>
    </row>
    <row r="46" ht="13.8"/>
  </sheetData>
  <mergeCells count="56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dataValidations count="2">
    <dataValidation type="list" allowBlank="1" sqref="F42:S42">
      <formula1>"N,A,B"</formula1>
    </dataValidation>
    <dataValidation type="list" allowBlank="1" sqref="F43:S43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8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Functions!E20</f>
        <v>FE-GAM-02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Functions!D20</f>
        <v>timeAgo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461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18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-8.2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159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COUNTIF(F35:T35,"P")</f>
        <v>10</v>
      </c>
      <c r="B7" s="20"/>
      <c r="C7" s="21">
        <f>COUNTIF(F35:T35,"F")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COUNTIF(F34:T34,"N")</f>
        <v>8</v>
      </c>
      <c r="M7" s="21">
        <f>COUNTIF(F34:T34,"A")</f>
        <v>0</v>
      </c>
      <c r="N7" s="21">
        <f>COUNTIF(F34:T34,"B")</f>
        <v>2</v>
      </c>
      <c r="O7" s="21">
        <f>COUNTA(F9:T9)</f>
        <v>10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 t="s">
        <v>474</v>
      </c>
      <c r="N9" s="28" t="s">
        <v>475</v>
      </c>
      <c r="O9" s="28" t="s">
        <v>476</v>
      </c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160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 t="s">
        <v>481</v>
      </c>
      <c r="N11" s="40" t="s">
        <v>481</v>
      </c>
      <c r="O11" s="40" t="s">
        <v>481</v>
      </c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638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639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640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641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642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643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644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4" customHeight="1" spans="1:22">
      <c r="A20" s="38"/>
      <c r="B20" s="39" t="s">
        <v>645</v>
      </c>
      <c r="C20" s="39"/>
      <c r="D20" s="39"/>
      <c r="E20" s="35"/>
      <c r="F20" s="40"/>
      <c r="G20" s="40"/>
      <c r="H20" s="40"/>
      <c r="I20" s="40"/>
      <c r="J20" s="40"/>
      <c r="K20" s="40"/>
      <c r="L20" s="40"/>
      <c r="M20" s="40" t="s">
        <v>481</v>
      </c>
      <c r="N20" s="40"/>
      <c r="O20" s="40"/>
      <c r="P20" s="40"/>
      <c r="Q20" s="40"/>
      <c r="R20" s="40"/>
      <c r="S20" s="40"/>
      <c r="T20" s="41"/>
      <c r="U20" s="3"/>
      <c r="V20" s="9"/>
    </row>
    <row r="21" ht="14" customHeight="1" spans="1:22">
      <c r="A21" s="38"/>
      <c r="B21" s="39" t="s">
        <v>646</v>
      </c>
      <c r="C21" s="39"/>
      <c r="D21" s="39"/>
      <c r="E21" s="35"/>
      <c r="F21" s="40"/>
      <c r="G21" s="40"/>
      <c r="H21" s="40"/>
      <c r="I21" s="40"/>
      <c r="J21" s="40"/>
      <c r="K21" s="40"/>
      <c r="L21" s="40"/>
      <c r="M21" s="40"/>
      <c r="N21" s="40" t="s">
        <v>481</v>
      </c>
      <c r="O21" s="40"/>
      <c r="P21" s="40"/>
      <c r="Q21" s="40"/>
      <c r="R21" s="40"/>
      <c r="S21" s="40"/>
      <c r="T21" s="41"/>
      <c r="U21" s="3"/>
      <c r="V21" s="9"/>
    </row>
    <row r="22" ht="14" customHeight="1" spans="1:22">
      <c r="A22" s="38"/>
      <c r="B22" s="39" t="s">
        <v>647</v>
      </c>
      <c r="C22" s="39"/>
      <c r="D22" s="39"/>
      <c r="E22" s="35"/>
      <c r="F22" s="40"/>
      <c r="G22" s="40"/>
      <c r="H22" s="40"/>
      <c r="I22" s="40"/>
      <c r="J22" s="40"/>
      <c r="K22" s="40"/>
      <c r="L22" s="40"/>
      <c r="M22" s="40"/>
      <c r="N22" s="40"/>
      <c r="O22" s="40" t="s">
        <v>481</v>
      </c>
      <c r="P22" s="40"/>
      <c r="Q22" s="40"/>
      <c r="R22" s="40"/>
      <c r="S22" s="40"/>
      <c r="T22" s="41"/>
      <c r="U22" s="3"/>
      <c r="V22" s="9"/>
    </row>
    <row r="23" ht="13.5" customHeight="1" spans="1:22">
      <c r="A23" s="42" t="s">
        <v>494</v>
      </c>
      <c r="B23" s="43" t="s">
        <v>495</v>
      </c>
      <c r="C23" s="44"/>
      <c r="D23" s="45"/>
      <c r="E23" s="4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7"/>
      <c r="U23" s="3"/>
      <c r="V23" s="3"/>
    </row>
    <row r="24" ht="14" customHeight="1" spans="1:22">
      <c r="A24" s="47"/>
      <c r="B24" s="39" t="s">
        <v>648</v>
      </c>
      <c r="C24" s="39"/>
      <c r="D24" s="39"/>
      <c r="E24" s="48"/>
      <c r="F24" s="40" t="s">
        <v>481</v>
      </c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1"/>
      <c r="U24" s="3"/>
      <c r="V24" s="3"/>
    </row>
    <row r="25" ht="14" customHeight="1" spans="1:22">
      <c r="A25" s="47"/>
      <c r="B25" s="39" t="s">
        <v>649</v>
      </c>
      <c r="C25" s="39"/>
      <c r="D25" s="39"/>
      <c r="E25" s="48"/>
      <c r="F25" s="40"/>
      <c r="G25" s="40" t="s">
        <v>481</v>
      </c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1"/>
      <c r="U25" s="3"/>
      <c r="V25" s="3"/>
    </row>
    <row r="26" ht="14" customHeight="1" spans="1:22">
      <c r="A26" s="47"/>
      <c r="B26" s="39" t="s">
        <v>650</v>
      </c>
      <c r="C26" s="39"/>
      <c r="D26" s="39"/>
      <c r="E26" s="48"/>
      <c r="F26" s="40"/>
      <c r="G26" s="40"/>
      <c r="H26" s="40" t="s">
        <v>481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1"/>
      <c r="U26" s="3"/>
      <c r="V26" s="3"/>
    </row>
    <row r="27" ht="14" customHeight="1" spans="1:22">
      <c r="A27" s="47"/>
      <c r="B27" s="39" t="s">
        <v>651</v>
      </c>
      <c r="C27" s="39"/>
      <c r="D27" s="39"/>
      <c r="E27" s="48"/>
      <c r="F27" s="40"/>
      <c r="G27" s="40"/>
      <c r="H27" s="40"/>
      <c r="I27" s="40" t="s">
        <v>481</v>
      </c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1"/>
      <c r="U27" s="3"/>
      <c r="V27" s="3"/>
    </row>
    <row r="28" ht="14" customHeight="1" spans="1:22">
      <c r="A28" s="47"/>
      <c r="B28" s="39" t="s">
        <v>652</v>
      </c>
      <c r="C28" s="39"/>
      <c r="D28" s="39"/>
      <c r="E28" s="48"/>
      <c r="F28" s="40"/>
      <c r="G28" s="40"/>
      <c r="H28" s="40"/>
      <c r="I28" s="40"/>
      <c r="J28" s="40" t="s">
        <v>481</v>
      </c>
      <c r="K28" s="40"/>
      <c r="L28" s="40"/>
      <c r="M28" s="40"/>
      <c r="N28" s="40"/>
      <c r="O28" s="40"/>
      <c r="P28" s="40"/>
      <c r="Q28" s="40"/>
      <c r="R28" s="40"/>
      <c r="S28" s="40"/>
      <c r="T28" s="41"/>
      <c r="U28" s="3"/>
      <c r="V28" s="3"/>
    </row>
    <row r="29" ht="14" customHeight="1" spans="1:22">
      <c r="A29" s="47"/>
      <c r="B29" s="39" t="s">
        <v>653</v>
      </c>
      <c r="C29" s="39"/>
      <c r="D29" s="39"/>
      <c r="E29" s="48"/>
      <c r="F29" s="40"/>
      <c r="G29" s="40"/>
      <c r="H29" s="40"/>
      <c r="I29" s="40"/>
      <c r="J29" s="40"/>
      <c r="K29" s="40" t="s">
        <v>481</v>
      </c>
      <c r="L29" s="40"/>
      <c r="M29" s="40"/>
      <c r="N29" s="40"/>
      <c r="O29" s="40"/>
      <c r="P29" s="40"/>
      <c r="Q29" s="40"/>
      <c r="R29" s="40"/>
      <c r="S29" s="40"/>
      <c r="T29" s="41"/>
      <c r="U29" s="3"/>
      <c r="V29" s="3"/>
    </row>
    <row r="30" ht="14" customHeight="1" spans="1:22">
      <c r="A30" s="47"/>
      <c r="B30" s="39" t="s">
        <v>654</v>
      </c>
      <c r="C30" s="39"/>
      <c r="D30" s="39"/>
      <c r="E30" s="48"/>
      <c r="F30" s="40"/>
      <c r="G30" s="40"/>
      <c r="H30" s="40"/>
      <c r="I30" s="40"/>
      <c r="J30" s="40"/>
      <c r="K30" s="40"/>
      <c r="L30" s="40" t="s">
        <v>481</v>
      </c>
      <c r="M30" s="40"/>
      <c r="N30" s="40"/>
      <c r="O30" s="40"/>
      <c r="P30" s="40"/>
      <c r="Q30" s="40"/>
      <c r="R30" s="40"/>
      <c r="S30" s="40"/>
      <c r="T30" s="41"/>
      <c r="U30" s="3"/>
      <c r="V30" s="3"/>
    </row>
    <row r="31" ht="14" customHeight="1" spans="1:22">
      <c r="A31" s="47"/>
      <c r="B31" s="39" t="s">
        <v>655</v>
      </c>
      <c r="C31" s="39"/>
      <c r="D31" s="39"/>
      <c r="E31" s="48"/>
      <c r="F31" s="40"/>
      <c r="G31" s="40"/>
      <c r="H31" s="40"/>
      <c r="I31" s="40"/>
      <c r="J31" s="40"/>
      <c r="K31" s="40"/>
      <c r="L31" s="40"/>
      <c r="M31" s="40" t="s">
        <v>481</v>
      </c>
      <c r="N31" s="40"/>
      <c r="O31" s="40"/>
      <c r="P31" s="40"/>
      <c r="Q31" s="40"/>
      <c r="R31" s="40"/>
      <c r="S31" s="40"/>
      <c r="T31" s="41"/>
      <c r="U31" s="3"/>
      <c r="V31" s="3"/>
    </row>
    <row r="32" ht="14" customHeight="1" spans="1:22">
      <c r="A32" s="47"/>
      <c r="B32" s="39" t="s">
        <v>656</v>
      </c>
      <c r="C32" s="39"/>
      <c r="D32" s="39"/>
      <c r="E32" s="48"/>
      <c r="F32" s="40"/>
      <c r="G32" s="40"/>
      <c r="H32" s="40"/>
      <c r="I32" s="40"/>
      <c r="J32" s="40"/>
      <c r="K32" s="40"/>
      <c r="L32" s="40"/>
      <c r="M32" s="40"/>
      <c r="N32" s="40" t="s">
        <v>481</v>
      </c>
      <c r="O32" s="40"/>
      <c r="P32" s="40"/>
      <c r="Q32" s="40"/>
      <c r="R32" s="40"/>
      <c r="S32" s="40"/>
      <c r="T32" s="41"/>
      <c r="U32" s="3"/>
      <c r="V32" s="3"/>
    </row>
    <row r="33" ht="14" customHeight="1" spans="1:22">
      <c r="A33" s="47"/>
      <c r="B33" s="39" t="s">
        <v>657</v>
      </c>
      <c r="C33" s="39"/>
      <c r="D33" s="39"/>
      <c r="E33" s="48"/>
      <c r="F33" s="40"/>
      <c r="G33" s="40"/>
      <c r="H33" s="40"/>
      <c r="I33" s="40"/>
      <c r="J33" s="40"/>
      <c r="K33" s="40"/>
      <c r="L33" s="40"/>
      <c r="M33" s="40"/>
      <c r="N33" s="40"/>
      <c r="O33" s="40" t="s">
        <v>481</v>
      </c>
      <c r="P33" s="40"/>
      <c r="Q33" s="40"/>
      <c r="R33" s="40"/>
      <c r="S33" s="40"/>
      <c r="T33" s="41"/>
      <c r="U33" s="3"/>
      <c r="V33" s="3"/>
    </row>
    <row r="34" ht="13.5" customHeight="1" spans="1:22">
      <c r="A34" s="42" t="s">
        <v>507</v>
      </c>
      <c r="B34" s="49" t="s">
        <v>508</v>
      </c>
      <c r="C34" s="49"/>
      <c r="D34" s="49"/>
      <c r="E34" s="50"/>
      <c r="F34" s="51" t="s">
        <v>450</v>
      </c>
      <c r="G34" s="51" t="s">
        <v>450</v>
      </c>
      <c r="H34" s="51" t="s">
        <v>449</v>
      </c>
      <c r="I34" s="51" t="s">
        <v>449</v>
      </c>
      <c r="J34" s="51" t="s">
        <v>449</v>
      </c>
      <c r="K34" s="51" t="s">
        <v>449</v>
      </c>
      <c r="L34" s="51" t="s">
        <v>449</v>
      </c>
      <c r="M34" s="51" t="s">
        <v>449</v>
      </c>
      <c r="N34" s="51" t="s">
        <v>449</v>
      </c>
      <c r="O34" s="51" t="s">
        <v>449</v>
      </c>
      <c r="P34" s="51"/>
      <c r="Q34" s="51"/>
      <c r="R34" s="51"/>
      <c r="S34" s="51"/>
      <c r="T34" s="52"/>
      <c r="U34" s="3"/>
      <c r="V34" s="3"/>
    </row>
    <row r="35" ht="13.5" customHeight="1" spans="1:22">
      <c r="A35" s="47"/>
      <c r="B35" s="53" t="s">
        <v>509</v>
      </c>
      <c r="C35" s="53"/>
      <c r="D35" s="53"/>
      <c r="E35" s="54"/>
      <c r="F35" s="55" t="s">
        <v>510</v>
      </c>
      <c r="G35" s="55" t="s">
        <v>510</v>
      </c>
      <c r="H35" s="55" t="s">
        <v>510</v>
      </c>
      <c r="I35" s="55" t="s">
        <v>510</v>
      </c>
      <c r="J35" s="55" t="s">
        <v>510</v>
      </c>
      <c r="K35" s="55" t="s">
        <v>510</v>
      </c>
      <c r="L35" s="55" t="s">
        <v>510</v>
      </c>
      <c r="M35" s="55" t="s">
        <v>510</v>
      </c>
      <c r="N35" s="55" t="s">
        <v>510</v>
      </c>
      <c r="O35" s="55" t="s">
        <v>510</v>
      </c>
      <c r="P35" s="55"/>
      <c r="Q35" s="55"/>
      <c r="R35" s="55"/>
      <c r="S35" s="55"/>
      <c r="T35" s="56"/>
      <c r="U35" s="3"/>
      <c r="V35" s="3"/>
    </row>
    <row r="36" ht="105" customHeight="1" spans="1:22">
      <c r="A36" s="47"/>
      <c r="B36" s="57" t="s">
        <v>511</v>
      </c>
      <c r="C36" s="57"/>
      <c r="D36" s="57"/>
      <c r="E36" s="58"/>
      <c r="F36" s="59" t="s">
        <v>53</v>
      </c>
      <c r="G36" s="59" t="s">
        <v>53</v>
      </c>
      <c r="H36" s="59" t="s">
        <v>53</v>
      </c>
      <c r="I36" s="59" t="s">
        <v>53</v>
      </c>
      <c r="J36" s="59" t="s">
        <v>53</v>
      </c>
      <c r="K36" s="59" t="s">
        <v>53</v>
      </c>
      <c r="L36" s="59" t="s">
        <v>53</v>
      </c>
      <c r="M36" s="59" t="s">
        <v>53</v>
      </c>
      <c r="N36" s="59" t="s">
        <v>53</v>
      </c>
      <c r="O36" s="59" t="s">
        <v>53</v>
      </c>
      <c r="P36" s="59"/>
      <c r="Q36" s="59"/>
      <c r="R36" s="59"/>
      <c r="S36" s="59"/>
      <c r="T36" s="60"/>
      <c r="U36" s="3"/>
      <c r="V36" s="3"/>
    </row>
    <row r="37" ht="20" customHeight="1" spans="1:22">
      <c r="A37" s="61"/>
      <c r="B37" s="62" t="s">
        <v>512</v>
      </c>
      <c r="C37" s="62"/>
      <c r="D37" s="62"/>
      <c r="E37" s="63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5"/>
      <c r="U37" s="3"/>
      <c r="V37" s="3"/>
    </row>
    <row r="38" ht="13.8"/>
  </sheetData>
  <mergeCells count="48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</mergeCells>
  <dataValidations count="2">
    <dataValidation type="list" allowBlank="1" sqref="F34:O34">
      <formula1>"N,A,B"</formula1>
    </dataValidation>
    <dataValidation type="list" allowBlank="1" sqref="F35:O35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Functions!E21</f>
        <v>FE-CAN-01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Functions!D21</f>
        <v>computeStreakDays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461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21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-5.9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166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COUNTIF(F31:T31,"P")</f>
        <v>8</v>
      </c>
      <c r="B7" s="20"/>
      <c r="C7" s="21">
        <f>COUNTIF(F31:T31,"F")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COUNTIF(F30:T30,"N")</f>
        <v>2</v>
      </c>
      <c r="M7" s="21">
        <f>COUNTIF(F30:T30,"A")</f>
        <v>3</v>
      </c>
      <c r="N7" s="21">
        <f>COUNTIF(F30:T30,"B")</f>
        <v>3</v>
      </c>
      <c r="O7" s="21">
        <f>COUNTA(F9:T9)</f>
        <v>8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 t="s">
        <v>474</v>
      </c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167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 t="s">
        <v>481</v>
      </c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658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659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660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661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662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663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664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4" customHeight="1" spans="1:22">
      <c r="A20" s="38"/>
      <c r="B20" s="39" t="s">
        <v>665</v>
      </c>
      <c r="C20" s="39"/>
      <c r="D20" s="39"/>
      <c r="E20" s="35"/>
      <c r="F20" s="40"/>
      <c r="G20" s="40"/>
      <c r="H20" s="40"/>
      <c r="I20" s="40"/>
      <c r="J20" s="40"/>
      <c r="K20" s="40"/>
      <c r="L20" s="40"/>
      <c r="M20" s="40" t="s">
        <v>481</v>
      </c>
      <c r="N20" s="40"/>
      <c r="O20" s="40"/>
      <c r="P20" s="40"/>
      <c r="Q20" s="40"/>
      <c r="R20" s="40"/>
      <c r="S20" s="40"/>
      <c r="T20" s="41"/>
      <c r="U20" s="3"/>
      <c r="V20" s="9"/>
    </row>
    <row r="21" ht="13.5" customHeight="1" spans="1:22">
      <c r="A21" s="42" t="s">
        <v>494</v>
      </c>
      <c r="B21" s="43" t="s">
        <v>495</v>
      </c>
      <c r="C21" s="44"/>
      <c r="D21" s="45"/>
      <c r="E21" s="4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/>
      <c r="U21" s="3"/>
      <c r="V21" s="3"/>
    </row>
    <row r="22" ht="14" customHeight="1" spans="1:22">
      <c r="A22" s="47"/>
      <c r="B22" s="39" t="s">
        <v>666</v>
      </c>
      <c r="C22" s="39"/>
      <c r="D22" s="39"/>
      <c r="E22" s="48"/>
      <c r="F22" s="40" t="s">
        <v>481</v>
      </c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1"/>
      <c r="U22" s="3"/>
      <c r="V22" s="3"/>
    </row>
    <row r="23" ht="14" customHeight="1" spans="1:22">
      <c r="A23" s="47"/>
      <c r="B23" s="39" t="s">
        <v>667</v>
      </c>
      <c r="C23" s="39"/>
      <c r="D23" s="39"/>
      <c r="E23" s="48"/>
      <c r="F23" s="40"/>
      <c r="G23" s="40" t="s">
        <v>481</v>
      </c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1"/>
      <c r="U23" s="3"/>
      <c r="V23" s="3"/>
    </row>
    <row r="24" ht="14" customHeight="1" spans="1:22">
      <c r="A24" s="47"/>
      <c r="B24" s="39" t="s">
        <v>668</v>
      </c>
      <c r="C24" s="39"/>
      <c r="D24" s="39"/>
      <c r="E24" s="48"/>
      <c r="F24" s="40"/>
      <c r="G24" s="40"/>
      <c r="H24" s="40" t="s">
        <v>481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1"/>
      <c r="U24" s="3"/>
      <c r="V24" s="3"/>
    </row>
    <row r="25" ht="14" customHeight="1" spans="1:22">
      <c r="A25" s="47"/>
      <c r="B25" s="39" t="s">
        <v>669</v>
      </c>
      <c r="C25" s="39"/>
      <c r="D25" s="39"/>
      <c r="E25" s="48"/>
      <c r="F25" s="40"/>
      <c r="G25" s="40"/>
      <c r="H25" s="40"/>
      <c r="I25" s="40" t="s">
        <v>481</v>
      </c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1"/>
      <c r="U25" s="3"/>
      <c r="V25" s="3"/>
    </row>
    <row r="26" ht="14" customHeight="1" spans="1:22">
      <c r="A26" s="47"/>
      <c r="B26" s="39" t="s">
        <v>670</v>
      </c>
      <c r="C26" s="39"/>
      <c r="D26" s="39"/>
      <c r="E26" s="48"/>
      <c r="F26" s="40"/>
      <c r="G26" s="40"/>
      <c r="H26" s="40"/>
      <c r="I26" s="40"/>
      <c r="J26" s="40" t="s">
        <v>481</v>
      </c>
      <c r="K26" s="40"/>
      <c r="L26" s="40"/>
      <c r="M26" s="40"/>
      <c r="N26" s="40"/>
      <c r="O26" s="40"/>
      <c r="P26" s="40"/>
      <c r="Q26" s="40"/>
      <c r="R26" s="40"/>
      <c r="S26" s="40"/>
      <c r="T26" s="41"/>
      <c r="U26" s="3"/>
      <c r="V26" s="3"/>
    </row>
    <row r="27" ht="14" customHeight="1" spans="1:22">
      <c r="A27" s="47"/>
      <c r="B27" s="39" t="s">
        <v>671</v>
      </c>
      <c r="C27" s="39"/>
      <c r="D27" s="39"/>
      <c r="E27" s="48"/>
      <c r="F27" s="40"/>
      <c r="G27" s="40"/>
      <c r="H27" s="40"/>
      <c r="I27" s="40"/>
      <c r="J27" s="40"/>
      <c r="K27" s="40" t="s">
        <v>481</v>
      </c>
      <c r="L27" s="40"/>
      <c r="M27" s="40"/>
      <c r="N27" s="40"/>
      <c r="O27" s="40"/>
      <c r="P27" s="40"/>
      <c r="Q27" s="40"/>
      <c r="R27" s="40"/>
      <c r="S27" s="40"/>
      <c r="T27" s="41"/>
      <c r="U27" s="3"/>
      <c r="V27" s="3"/>
    </row>
    <row r="28" ht="14" customHeight="1" spans="1:22">
      <c r="A28" s="47"/>
      <c r="B28" s="39" t="s">
        <v>672</v>
      </c>
      <c r="C28" s="39"/>
      <c r="D28" s="39"/>
      <c r="E28" s="48"/>
      <c r="F28" s="40"/>
      <c r="G28" s="40"/>
      <c r="H28" s="40"/>
      <c r="I28" s="40"/>
      <c r="J28" s="40"/>
      <c r="K28" s="40"/>
      <c r="L28" s="40" t="s">
        <v>481</v>
      </c>
      <c r="M28" s="40"/>
      <c r="N28" s="40"/>
      <c r="O28" s="40"/>
      <c r="P28" s="40"/>
      <c r="Q28" s="40"/>
      <c r="R28" s="40"/>
      <c r="S28" s="40"/>
      <c r="T28" s="41"/>
      <c r="U28" s="3"/>
      <c r="V28" s="3"/>
    </row>
    <row r="29" ht="14" customHeight="1" spans="1:22">
      <c r="A29" s="47"/>
      <c r="B29" s="39" t="s">
        <v>673</v>
      </c>
      <c r="C29" s="39"/>
      <c r="D29" s="39"/>
      <c r="E29" s="48"/>
      <c r="F29" s="40"/>
      <c r="G29" s="40"/>
      <c r="H29" s="40"/>
      <c r="I29" s="40"/>
      <c r="J29" s="40"/>
      <c r="K29" s="40"/>
      <c r="L29" s="40"/>
      <c r="M29" s="40" t="s">
        <v>481</v>
      </c>
      <c r="N29" s="40"/>
      <c r="O29" s="40"/>
      <c r="P29" s="40"/>
      <c r="Q29" s="40"/>
      <c r="R29" s="40"/>
      <c r="S29" s="40"/>
      <c r="T29" s="41"/>
      <c r="U29" s="3"/>
      <c r="V29" s="3"/>
    </row>
    <row r="30" ht="13.5" customHeight="1" spans="1:22">
      <c r="A30" s="42" t="s">
        <v>507</v>
      </c>
      <c r="B30" s="49" t="s">
        <v>508</v>
      </c>
      <c r="C30" s="49"/>
      <c r="D30" s="49"/>
      <c r="E30" s="50"/>
      <c r="F30" s="51" t="s">
        <v>450</v>
      </c>
      <c r="G30" s="51" t="s">
        <v>449</v>
      </c>
      <c r="H30" s="51" t="s">
        <v>449</v>
      </c>
      <c r="I30" s="51" t="s">
        <v>66</v>
      </c>
      <c r="J30" s="51" t="s">
        <v>450</v>
      </c>
      <c r="K30" s="51" t="s">
        <v>66</v>
      </c>
      <c r="L30" s="51" t="s">
        <v>66</v>
      </c>
      <c r="M30" s="51" t="s">
        <v>450</v>
      </c>
      <c r="N30" s="51"/>
      <c r="O30" s="51"/>
      <c r="P30" s="51"/>
      <c r="Q30" s="51"/>
      <c r="R30" s="51"/>
      <c r="S30" s="51"/>
      <c r="T30" s="52"/>
      <c r="U30" s="3"/>
      <c r="V30" s="3"/>
    </row>
    <row r="31" ht="13.5" customHeight="1" spans="1:22">
      <c r="A31" s="47"/>
      <c r="B31" s="53" t="s">
        <v>509</v>
      </c>
      <c r="C31" s="53"/>
      <c r="D31" s="53"/>
      <c r="E31" s="54"/>
      <c r="F31" s="55" t="s">
        <v>510</v>
      </c>
      <c r="G31" s="55" t="s">
        <v>510</v>
      </c>
      <c r="H31" s="55" t="s">
        <v>510</v>
      </c>
      <c r="I31" s="55" t="s">
        <v>510</v>
      </c>
      <c r="J31" s="55" t="s">
        <v>510</v>
      </c>
      <c r="K31" s="55" t="s">
        <v>510</v>
      </c>
      <c r="L31" s="55" t="s">
        <v>510</v>
      </c>
      <c r="M31" s="55" t="s">
        <v>510</v>
      </c>
      <c r="N31" s="55"/>
      <c r="O31" s="55"/>
      <c r="P31" s="55"/>
      <c r="Q31" s="55"/>
      <c r="R31" s="55"/>
      <c r="S31" s="55"/>
      <c r="T31" s="56"/>
      <c r="U31" s="3"/>
      <c r="V31" s="3"/>
    </row>
    <row r="32" ht="105" customHeight="1" spans="1:22">
      <c r="A32" s="47"/>
      <c r="B32" s="57" t="s">
        <v>511</v>
      </c>
      <c r="C32" s="57"/>
      <c r="D32" s="57"/>
      <c r="E32" s="58"/>
      <c r="F32" s="59" t="s">
        <v>53</v>
      </c>
      <c r="G32" s="59" t="s">
        <v>53</v>
      </c>
      <c r="H32" s="59" t="s">
        <v>53</v>
      </c>
      <c r="I32" s="59" t="s">
        <v>53</v>
      </c>
      <c r="J32" s="59" t="s">
        <v>53</v>
      </c>
      <c r="K32" s="59" t="s">
        <v>53</v>
      </c>
      <c r="L32" s="59" t="s">
        <v>53</v>
      </c>
      <c r="M32" s="59" t="s">
        <v>53</v>
      </c>
      <c r="N32" s="59"/>
      <c r="O32" s="59"/>
      <c r="P32" s="59"/>
      <c r="Q32" s="59"/>
      <c r="R32" s="59"/>
      <c r="S32" s="59"/>
      <c r="T32" s="60"/>
      <c r="U32" s="3"/>
      <c r="V32" s="3"/>
    </row>
    <row r="33" ht="20" customHeight="1" spans="1:22">
      <c r="A33" s="61"/>
      <c r="B33" s="62" t="s">
        <v>512</v>
      </c>
      <c r="C33" s="62"/>
      <c r="D33" s="62"/>
      <c r="E33" s="6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5"/>
      <c r="U33" s="3"/>
      <c r="V33" s="3"/>
    </row>
    <row r="34" ht="13.8"/>
  </sheetData>
  <mergeCells count="44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</mergeCells>
  <dataValidations count="2">
    <dataValidation type="list" allowBlank="1" sqref="F30:M30">
      <formula1>"N,A,B"</formula1>
    </dataValidation>
    <dataValidation type="list" allowBlank="1" sqref="F31:M31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Functions!E22</f>
        <v>FE-CAN-02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Functions!D22</f>
        <v>translateDimensionKey / translateQuestionCategory / getCompanyInitials / getCompanyColor / formatCategoryLabel / getScoreBadgeClass / getScoreLevel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461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49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-4.1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172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COUNTIF(F33:T33,"P")</f>
        <v>9</v>
      </c>
      <c r="B7" s="20"/>
      <c r="C7" s="21">
        <f>COUNTIF(F33:T33,"F")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COUNTIF(F32:T32,"N")</f>
        <v>5</v>
      </c>
      <c r="M7" s="21">
        <f>COUNTIF(F32:T32,"A")</f>
        <v>1</v>
      </c>
      <c r="N7" s="21">
        <f>COUNTIF(F32:T32,"B")</f>
        <v>3</v>
      </c>
      <c r="O7" s="21">
        <f>COUNTA(F9:T9)</f>
        <v>9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 t="s">
        <v>474</v>
      </c>
      <c r="N9" s="28" t="s">
        <v>475</v>
      </c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128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 t="s">
        <v>481</v>
      </c>
      <c r="N11" s="40" t="s">
        <v>481</v>
      </c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674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675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676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677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678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679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680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4" customHeight="1" spans="1:22">
      <c r="A20" s="38"/>
      <c r="B20" s="39" t="s">
        <v>681</v>
      </c>
      <c r="C20" s="39"/>
      <c r="D20" s="39"/>
      <c r="E20" s="35"/>
      <c r="F20" s="40"/>
      <c r="G20" s="40"/>
      <c r="H20" s="40"/>
      <c r="I20" s="40"/>
      <c r="J20" s="40"/>
      <c r="K20" s="40"/>
      <c r="L20" s="40"/>
      <c r="M20" s="40" t="s">
        <v>481</v>
      </c>
      <c r="N20" s="40"/>
      <c r="O20" s="40"/>
      <c r="P20" s="40"/>
      <c r="Q20" s="40"/>
      <c r="R20" s="40"/>
      <c r="S20" s="40"/>
      <c r="T20" s="41"/>
      <c r="U20" s="3"/>
      <c r="V20" s="9"/>
    </row>
    <row r="21" ht="14" customHeight="1" spans="1:22">
      <c r="A21" s="38"/>
      <c r="B21" s="39" t="s">
        <v>682</v>
      </c>
      <c r="C21" s="39"/>
      <c r="D21" s="39"/>
      <c r="E21" s="35"/>
      <c r="F21" s="40"/>
      <c r="G21" s="40"/>
      <c r="H21" s="40"/>
      <c r="I21" s="40"/>
      <c r="J21" s="40"/>
      <c r="K21" s="40"/>
      <c r="L21" s="40"/>
      <c r="M21" s="40"/>
      <c r="N21" s="40" t="s">
        <v>481</v>
      </c>
      <c r="O21" s="40"/>
      <c r="P21" s="40"/>
      <c r="Q21" s="40"/>
      <c r="R21" s="40"/>
      <c r="S21" s="40"/>
      <c r="T21" s="41"/>
      <c r="U21" s="3"/>
      <c r="V21" s="9"/>
    </row>
    <row r="22" ht="13.5" customHeight="1" spans="1:22">
      <c r="A22" s="42" t="s">
        <v>494</v>
      </c>
      <c r="B22" s="43" t="s">
        <v>495</v>
      </c>
      <c r="C22" s="44"/>
      <c r="D22" s="45"/>
      <c r="E22" s="4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7"/>
      <c r="U22" s="3"/>
      <c r="V22" s="3"/>
    </row>
    <row r="23" ht="14" customHeight="1" spans="1:22">
      <c r="A23" s="47"/>
      <c r="B23" s="39" t="s">
        <v>683</v>
      </c>
      <c r="C23" s="39"/>
      <c r="D23" s="39"/>
      <c r="E23" s="48"/>
      <c r="F23" s="40" t="s">
        <v>481</v>
      </c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1"/>
      <c r="U23" s="3"/>
      <c r="V23" s="3"/>
    </row>
    <row r="24" ht="14" customHeight="1" spans="1:22">
      <c r="A24" s="47"/>
      <c r="B24" s="39" t="s">
        <v>684</v>
      </c>
      <c r="C24" s="39"/>
      <c r="D24" s="39"/>
      <c r="E24" s="48"/>
      <c r="F24" s="40"/>
      <c r="G24" s="40" t="s">
        <v>481</v>
      </c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1"/>
      <c r="U24" s="3"/>
      <c r="V24" s="3"/>
    </row>
    <row r="25" ht="14" customHeight="1" spans="1:22">
      <c r="A25" s="47"/>
      <c r="B25" s="39" t="s">
        <v>685</v>
      </c>
      <c r="C25" s="39"/>
      <c r="D25" s="39"/>
      <c r="E25" s="48"/>
      <c r="F25" s="40"/>
      <c r="G25" s="40"/>
      <c r="H25" s="40" t="s">
        <v>481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1"/>
      <c r="U25" s="3"/>
      <c r="V25" s="3"/>
    </row>
    <row r="26" ht="14" customHeight="1" spans="1:22">
      <c r="A26" s="47"/>
      <c r="B26" s="39" t="s">
        <v>686</v>
      </c>
      <c r="C26" s="39"/>
      <c r="D26" s="39"/>
      <c r="E26" s="48"/>
      <c r="F26" s="40"/>
      <c r="G26" s="40"/>
      <c r="H26" s="40"/>
      <c r="I26" s="40" t="s">
        <v>481</v>
      </c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1"/>
      <c r="U26" s="3"/>
      <c r="V26" s="3"/>
    </row>
    <row r="27" ht="14" customHeight="1" spans="1:22">
      <c r="A27" s="47"/>
      <c r="B27" s="39" t="s">
        <v>687</v>
      </c>
      <c r="C27" s="39"/>
      <c r="D27" s="39"/>
      <c r="E27" s="48"/>
      <c r="F27" s="40"/>
      <c r="G27" s="40"/>
      <c r="H27" s="40"/>
      <c r="I27" s="40"/>
      <c r="J27" s="40" t="s">
        <v>481</v>
      </c>
      <c r="K27" s="40"/>
      <c r="L27" s="40"/>
      <c r="M27" s="40"/>
      <c r="N27" s="40"/>
      <c r="O27" s="40"/>
      <c r="P27" s="40"/>
      <c r="Q27" s="40"/>
      <c r="R27" s="40"/>
      <c r="S27" s="40"/>
      <c r="T27" s="41"/>
      <c r="U27" s="3"/>
      <c r="V27" s="3"/>
    </row>
    <row r="28" ht="14" customHeight="1" spans="1:22">
      <c r="A28" s="47"/>
      <c r="B28" s="39" t="s">
        <v>688</v>
      </c>
      <c r="C28" s="39"/>
      <c r="D28" s="39"/>
      <c r="E28" s="48"/>
      <c r="F28" s="40"/>
      <c r="G28" s="40"/>
      <c r="H28" s="40"/>
      <c r="I28" s="40"/>
      <c r="J28" s="40"/>
      <c r="K28" s="40" t="s">
        <v>481</v>
      </c>
      <c r="L28" s="40"/>
      <c r="M28" s="40"/>
      <c r="N28" s="40"/>
      <c r="O28" s="40"/>
      <c r="P28" s="40"/>
      <c r="Q28" s="40"/>
      <c r="R28" s="40"/>
      <c r="S28" s="40"/>
      <c r="T28" s="41"/>
      <c r="U28" s="3"/>
      <c r="V28" s="3"/>
    </row>
    <row r="29" ht="14" customHeight="1" spans="1:22">
      <c r="A29" s="47"/>
      <c r="B29" s="39" t="s">
        <v>689</v>
      </c>
      <c r="C29" s="39"/>
      <c r="D29" s="39"/>
      <c r="E29" s="48"/>
      <c r="F29" s="40"/>
      <c r="G29" s="40"/>
      <c r="H29" s="40"/>
      <c r="I29" s="40"/>
      <c r="J29" s="40"/>
      <c r="K29" s="40"/>
      <c r="L29" s="40" t="s">
        <v>481</v>
      </c>
      <c r="M29" s="40"/>
      <c r="N29" s="40"/>
      <c r="O29" s="40"/>
      <c r="P29" s="40"/>
      <c r="Q29" s="40"/>
      <c r="R29" s="40"/>
      <c r="S29" s="40"/>
      <c r="T29" s="41"/>
      <c r="U29" s="3"/>
      <c r="V29" s="3"/>
    </row>
    <row r="30" ht="14" customHeight="1" spans="1:22">
      <c r="A30" s="47"/>
      <c r="B30" s="39" t="s">
        <v>690</v>
      </c>
      <c r="C30" s="39"/>
      <c r="D30" s="39"/>
      <c r="E30" s="48"/>
      <c r="F30" s="40"/>
      <c r="G30" s="40"/>
      <c r="H30" s="40"/>
      <c r="I30" s="40"/>
      <c r="J30" s="40"/>
      <c r="K30" s="40"/>
      <c r="L30" s="40"/>
      <c r="M30" s="40" t="s">
        <v>481</v>
      </c>
      <c r="N30" s="40"/>
      <c r="O30" s="40"/>
      <c r="P30" s="40"/>
      <c r="Q30" s="40"/>
      <c r="R30" s="40"/>
      <c r="S30" s="40"/>
      <c r="T30" s="41"/>
      <c r="U30" s="3"/>
      <c r="V30" s="3"/>
    </row>
    <row r="31" ht="14" customHeight="1" spans="1:22">
      <c r="A31" s="47"/>
      <c r="B31" s="39" t="s">
        <v>691</v>
      </c>
      <c r="C31" s="39"/>
      <c r="D31" s="39"/>
      <c r="E31" s="48"/>
      <c r="F31" s="40"/>
      <c r="G31" s="40"/>
      <c r="H31" s="40"/>
      <c r="I31" s="40"/>
      <c r="J31" s="40"/>
      <c r="K31" s="40"/>
      <c r="L31" s="40"/>
      <c r="M31" s="40"/>
      <c r="N31" s="40" t="s">
        <v>481</v>
      </c>
      <c r="O31" s="40"/>
      <c r="P31" s="40"/>
      <c r="Q31" s="40"/>
      <c r="R31" s="40"/>
      <c r="S31" s="40"/>
      <c r="T31" s="41"/>
      <c r="U31" s="3"/>
      <c r="V31" s="3"/>
    </row>
    <row r="32" ht="13.5" customHeight="1" spans="1:22">
      <c r="A32" s="42" t="s">
        <v>507</v>
      </c>
      <c r="B32" s="49" t="s">
        <v>508</v>
      </c>
      <c r="C32" s="49"/>
      <c r="D32" s="49"/>
      <c r="E32" s="50"/>
      <c r="F32" s="51" t="s">
        <v>449</v>
      </c>
      <c r="G32" s="51" t="s">
        <v>66</v>
      </c>
      <c r="H32" s="51" t="s">
        <v>449</v>
      </c>
      <c r="I32" s="51" t="s">
        <v>450</v>
      </c>
      <c r="J32" s="51" t="s">
        <v>449</v>
      </c>
      <c r="K32" s="51" t="s">
        <v>449</v>
      </c>
      <c r="L32" s="51" t="s">
        <v>449</v>
      </c>
      <c r="M32" s="51" t="s">
        <v>450</v>
      </c>
      <c r="N32" s="51" t="s">
        <v>450</v>
      </c>
      <c r="O32" s="51"/>
      <c r="P32" s="51"/>
      <c r="Q32" s="51"/>
      <c r="R32" s="51"/>
      <c r="S32" s="51"/>
      <c r="T32" s="52"/>
      <c r="U32" s="3"/>
      <c r="V32" s="3"/>
    </row>
    <row r="33" ht="13.5" customHeight="1" spans="1:22">
      <c r="A33" s="47"/>
      <c r="B33" s="53" t="s">
        <v>509</v>
      </c>
      <c r="C33" s="53"/>
      <c r="D33" s="53"/>
      <c r="E33" s="54"/>
      <c r="F33" s="55" t="s">
        <v>510</v>
      </c>
      <c r="G33" s="55" t="s">
        <v>510</v>
      </c>
      <c r="H33" s="55" t="s">
        <v>510</v>
      </c>
      <c r="I33" s="55" t="s">
        <v>510</v>
      </c>
      <c r="J33" s="55" t="s">
        <v>510</v>
      </c>
      <c r="K33" s="55" t="s">
        <v>510</v>
      </c>
      <c r="L33" s="55" t="s">
        <v>510</v>
      </c>
      <c r="M33" s="55" t="s">
        <v>510</v>
      </c>
      <c r="N33" s="55" t="s">
        <v>510</v>
      </c>
      <c r="O33" s="55"/>
      <c r="P33" s="55"/>
      <c r="Q33" s="55"/>
      <c r="R33" s="55"/>
      <c r="S33" s="55"/>
      <c r="T33" s="56"/>
      <c r="U33" s="3"/>
      <c r="V33" s="3"/>
    </row>
    <row r="34" ht="105" customHeight="1" spans="1:22">
      <c r="A34" s="47"/>
      <c r="B34" s="57" t="s">
        <v>511</v>
      </c>
      <c r="C34" s="57"/>
      <c r="D34" s="57"/>
      <c r="E34" s="58"/>
      <c r="F34" s="59" t="s">
        <v>53</v>
      </c>
      <c r="G34" s="59" t="s">
        <v>53</v>
      </c>
      <c r="H34" s="59" t="s">
        <v>53</v>
      </c>
      <c r="I34" s="59" t="s">
        <v>53</v>
      </c>
      <c r="J34" s="59" t="s">
        <v>53</v>
      </c>
      <c r="K34" s="59" t="s">
        <v>53</v>
      </c>
      <c r="L34" s="59" t="s">
        <v>53</v>
      </c>
      <c r="M34" s="59" t="s">
        <v>53</v>
      </c>
      <c r="N34" s="59" t="s">
        <v>53</v>
      </c>
      <c r="O34" s="59"/>
      <c r="P34" s="59"/>
      <c r="Q34" s="59"/>
      <c r="R34" s="59"/>
      <c r="S34" s="59"/>
      <c r="T34" s="60"/>
      <c r="U34" s="3"/>
      <c r="V34" s="3"/>
    </row>
    <row r="35" ht="20" customHeight="1" spans="1:22">
      <c r="A35" s="61"/>
      <c r="B35" s="62" t="s">
        <v>512</v>
      </c>
      <c r="C35" s="62"/>
      <c r="D35" s="62"/>
      <c r="E35" s="63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5"/>
      <c r="U35" s="3"/>
      <c r="V35" s="3"/>
    </row>
    <row r="36" ht="13.8"/>
  </sheetData>
  <mergeCells count="46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</mergeCells>
  <dataValidations count="2">
    <dataValidation type="list" allowBlank="1" sqref="F32:N32">
      <formula1>"N,A,B"</formula1>
    </dataValidation>
    <dataValidation type="list" allowBlank="1" sqref="F33:N33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3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Functions!E23</f>
        <v>FE-ADM-01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Functions!D23</f>
        <v>toBackendRoleFilter / normalizeAdminRoleKey / getAdminUserStatus / isAdminRole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461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27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-10.3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178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COUNTIF(F40:T40,"P")</f>
        <v>13</v>
      </c>
      <c r="B7" s="20"/>
      <c r="C7" s="21">
        <f>COUNTIF(F40:T40,"F")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COUNTIF(F39:T39,"N")</f>
        <v>8</v>
      </c>
      <c r="M7" s="21">
        <f>COUNTIF(F39:T39,"A")</f>
        <v>2</v>
      </c>
      <c r="N7" s="21">
        <f>COUNTIF(F39:T39,"B")</f>
        <v>3</v>
      </c>
      <c r="O7" s="21">
        <f>COUNTA(F9:T9)</f>
        <v>13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 t="s">
        <v>474</v>
      </c>
      <c r="N9" s="28" t="s">
        <v>475</v>
      </c>
      <c r="O9" s="28" t="s">
        <v>476</v>
      </c>
      <c r="P9" s="28" t="s">
        <v>477</v>
      </c>
      <c r="Q9" s="28" t="s">
        <v>561</v>
      </c>
      <c r="R9" s="28" t="s">
        <v>562</v>
      </c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128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 t="s">
        <v>481</v>
      </c>
      <c r="N11" s="40" t="s">
        <v>481</v>
      </c>
      <c r="O11" s="40" t="s">
        <v>481</v>
      </c>
      <c r="P11" s="40" t="s">
        <v>481</v>
      </c>
      <c r="Q11" s="40" t="s">
        <v>481</v>
      </c>
      <c r="R11" s="40" t="s">
        <v>481</v>
      </c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692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693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694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695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696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697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698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4" customHeight="1" spans="1:22">
      <c r="A20" s="38"/>
      <c r="B20" s="39" t="s">
        <v>699</v>
      </c>
      <c r="C20" s="39"/>
      <c r="D20" s="39"/>
      <c r="E20" s="35"/>
      <c r="F20" s="40"/>
      <c r="G20" s="40"/>
      <c r="H20" s="40"/>
      <c r="I20" s="40"/>
      <c r="J20" s="40"/>
      <c r="K20" s="40"/>
      <c r="L20" s="40"/>
      <c r="M20" s="40" t="s">
        <v>481</v>
      </c>
      <c r="N20" s="40"/>
      <c r="O20" s="40"/>
      <c r="P20" s="40"/>
      <c r="Q20" s="40"/>
      <c r="R20" s="40"/>
      <c r="S20" s="40"/>
      <c r="T20" s="41"/>
      <c r="U20" s="3"/>
      <c r="V20" s="9"/>
    </row>
    <row r="21" ht="14" customHeight="1" spans="1:22">
      <c r="A21" s="38"/>
      <c r="B21" s="39" t="s">
        <v>700</v>
      </c>
      <c r="C21" s="39"/>
      <c r="D21" s="39"/>
      <c r="E21" s="35"/>
      <c r="F21" s="40"/>
      <c r="G21" s="40"/>
      <c r="H21" s="40"/>
      <c r="I21" s="40"/>
      <c r="J21" s="40"/>
      <c r="K21" s="40"/>
      <c r="L21" s="40"/>
      <c r="M21" s="40"/>
      <c r="N21" s="40" t="s">
        <v>481</v>
      </c>
      <c r="O21" s="40"/>
      <c r="P21" s="40"/>
      <c r="Q21" s="40"/>
      <c r="R21" s="40"/>
      <c r="S21" s="40"/>
      <c r="T21" s="41"/>
      <c r="U21" s="3"/>
      <c r="V21" s="9"/>
    </row>
    <row r="22" ht="14" customHeight="1" spans="1:22">
      <c r="A22" s="38"/>
      <c r="B22" s="39" t="s">
        <v>701</v>
      </c>
      <c r="C22" s="39"/>
      <c r="D22" s="39"/>
      <c r="E22" s="35"/>
      <c r="F22" s="40"/>
      <c r="G22" s="40"/>
      <c r="H22" s="40"/>
      <c r="I22" s="40"/>
      <c r="J22" s="40"/>
      <c r="K22" s="40"/>
      <c r="L22" s="40"/>
      <c r="M22" s="40"/>
      <c r="N22" s="40"/>
      <c r="O22" s="40" t="s">
        <v>481</v>
      </c>
      <c r="P22" s="40"/>
      <c r="Q22" s="40"/>
      <c r="R22" s="40"/>
      <c r="S22" s="40"/>
      <c r="T22" s="41"/>
      <c r="U22" s="3"/>
      <c r="V22" s="9"/>
    </row>
    <row r="23" ht="14" customHeight="1" spans="1:22">
      <c r="A23" s="38"/>
      <c r="B23" s="39" t="s">
        <v>702</v>
      </c>
      <c r="C23" s="39"/>
      <c r="D23" s="39"/>
      <c r="E23" s="35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 t="s">
        <v>481</v>
      </c>
      <c r="Q23" s="40"/>
      <c r="R23" s="40"/>
      <c r="S23" s="40"/>
      <c r="T23" s="41"/>
      <c r="U23" s="3"/>
      <c r="V23" s="9"/>
    </row>
    <row r="24" ht="14" customHeight="1" spans="1:22">
      <c r="A24" s="38"/>
      <c r="B24" s="39" t="s">
        <v>703</v>
      </c>
      <c r="C24" s="39"/>
      <c r="D24" s="39"/>
      <c r="E24" s="35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 t="s">
        <v>481</v>
      </c>
      <c r="R24" s="40"/>
      <c r="S24" s="40"/>
      <c r="T24" s="41"/>
      <c r="U24" s="3"/>
      <c r="V24" s="9"/>
    </row>
    <row r="25" ht="14" customHeight="1" spans="1:22">
      <c r="A25" s="38"/>
      <c r="B25" s="39" t="s">
        <v>704</v>
      </c>
      <c r="C25" s="39"/>
      <c r="D25" s="39"/>
      <c r="E25" s="35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 t="s">
        <v>481</v>
      </c>
      <c r="S25" s="40"/>
      <c r="T25" s="41"/>
      <c r="U25" s="3"/>
      <c r="V25" s="9"/>
    </row>
    <row r="26" ht="13.5" customHeight="1" spans="1:22">
      <c r="A26" s="42" t="s">
        <v>494</v>
      </c>
      <c r="B26" s="43" t="s">
        <v>495</v>
      </c>
      <c r="C26" s="44"/>
      <c r="D26" s="45"/>
      <c r="E26" s="4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7"/>
      <c r="U26" s="3"/>
      <c r="V26" s="3"/>
    </row>
    <row r="27" ht="14" customHeight="1" spans="1:22">
      <c r="A27" s="47"/>
      <c r="B27" s="39" t="s">
        <v>705</v>
      </c>
      <c r="C27" s="39"/>
      <c r="D27" s="39"/>
      <c r="E27" s="48"/>
      <c r="F27" s="40" t="s">
        <v>481</v>
      </c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1"/>
      <c r="U27" s="3"/>
      <c r="V27" s="3"/>
    </row>
    <row r="28" ht="14" customHeight="1" spans="1:22">
      <c r="A28" s="47"/>
      <c r="B28" s="39" t="s">
        <v>706</v>
      </c>
      <c r="C28" s="39"/>
      <c r="D28" s="39"/>
      <c r="E28" s="48"/>
      <c r="F28" s="40"/>
      <c r="G28" s="40" t="s">
        <v>481</v>
      </c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1"/>
      <c r="U28" s="3"/>
      <c r="V28" s="3"/>
    </row>
    <row r="29" ht="14" customHeight="1" spans="1:22">
      <c r="A29" s="47"/>
      <c r="B29" s="39" t="s">
        <v>707</v>
      </c>
      <c r="C29" s="39"/>
      <c r="D29" s="39"/>
      <c r="E29" s="48"/>
      <c r="F29" s="40"/>
      <c r="G29" s="40"/>
      <c r="H29" s="40" t="s">
        <v>481</v>
      </c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1"/>
      <c r="U29" s="3"/>
      <c r="V29" s="3"/>
    </row>
    <row r="30" ht="14" customHeight="1" spans="1:22">
      <c r="A30" s="47"/>
      <c r="B30" s="39" t="s">
        <v>708</v>
      </c>
      <c r="C30" s="39"/>
      <c r="D30" s="39"/>
      <c r="E30" s="48"/>
      <c r="F30" s="40"/>
      <c r="G30" s="40"/>
      <c r="H30" s="40"/>
      <c r="I30" s="40" t="s">
        <v>481</v>
      </c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1"/>
      <c r="U30" s="3"/>
      <c r="V30" s="3"/>
    </row>
    <row r="31" ht="14" customHeight="1" spans="1:22">
      <c r="A31" s="47"/>
      <c r="B31" s="39" t="s">
        <v>544</v>
      </c>
      <c r="C31" s="39"/>
      <c r="D31" s="39"/>
      <c r="E31" s="48"/>
      <c r="F31" s="40"/>
      <c r="G31" s="40"/>
      <c r="H31" s="40"/>
      <c r="I31" s="40"/>
      <c r="J31" s="40" t="s">
        <v>481</v>
      </c>
      <c r="K31" s="40"/>
      <c r="L31" s="40"/>
      <c r="M31" s="40"/>
      <c r="N31" s="40"/>
      <c r="O31" s="40"/>
      <c r="P31" s="40"/>
      <c r="Q31" s="40"/>
      <c r="R31" s="40"/>
      <c r="S31" s="40"/>
      <c r="T31" s="41"/>
      <c r="U31" s="3"/>
      <c r="V31" s="3"/>
    </row>
    <row r="32" ht="14" customHeight="1" spans="1:22">
      <c r="A32" s="47"/>
      <c r="B32" s="39" t="s">
        <v>543</v>
      </c>
      <c r="C32" s="39"/>
      <c r="D32" s="39"/>
      <c r="E32" s="48"/>
      <c r="F32" s="40"/>
      <c r="G32" s="40"/>
      <c r="H32" s="40"/>
      <c r="I32" s="40"/>
      <c r="J32" s="40"/>
      <c r="K32" s="40" t="s">
        <v>481</v>
      </c>
      <c r="L32" s="40"/>
      <c r="M32" s="40"/>
      <c r="N32" s="40"/>
      <c r="O32" s="40"/>
      <c r="P32" s="40"/>
      <c r="Q32" s="40"/>
      <c r="R32" s="40"/>
      <c r="S32" s="40"/>
      <c r="T32" s="41"/>
      <c r="U32" s="3"/>
      <c r="V32" s="3"/>
    </row>
    <row r="33" ht="14" customHeight="1" spans="1:22">
      <c r="A33" s="47"/>
      <c r="B33" s="39" t="s">
        <v>545</v>
      </c>
      <c r="C33" s="39"/>
      <c r="D33" s="39"/>
      <c r="E33" s="48"/>
      <c r="F33" s="40"/>
      <c r="G33" s="40"/>
      <c r="H33" s="40"/>
      <c r="I33" s="40"/>
      <c r="J33" s="40"/>
      <c r="K33" s="40"/>
      <c r="L33" s="40" t="s">
        <v>481</v>
      </c>
      <c r="M33" s="40"/>
      <c r="N33" s="40"/>
      <c r="O33" s="40"/>
      <c r="P33" s="40"/>
      <c r="Q33" s="40"/>
      <c r="R33" s="40"/>
      <c r="S33" s="40"/>
      <c r="T33" s="41"/>
      <c r="U33" s="3"/>
      <c r="V33" s="3"/>
    </row>
    <row r="34" ht="14" customHeight="1" spans="1:22">
      <c r="A34" s="47"/>
      <c r="B34" s="39" t="s">
        <v>709</v>
      </c>
      <c r="C34" s="39"/>
      <c r="D34" s="39"/>
      <c r="E34" s="48"/>
      <c r="F34" s="40"/>
      <c r="G34" s="40"/>
      <c r="H34" s="40"/>
      <c r="I34" s="40"/>
      <c r="J34" s="40"/>
      <c r="K34" s="40"/>
      <c r="L34" s="40"/>
      <c r="M34" s="40" t="s">
        <v>481</v>
      </c>
      <c r="N34" s="40" t="s">
        <v>481</v>
      </c>
      <c r="O34" s="40"/>
      <c r="P34" s="40"/>
      <c r="Q34" s="40"/>
      <c r="R34" s="40"/>
      <c r="S34" s="40"/>
      <c r="T34" s="41"/>
      <c r="U34" s="3"/>
      <c r="V34" s="3"/>
    </row>
    <row r="35" ht="14" customHeight="1" spans="1:22">
      <c r="A35" s="47"/>
      <c r="B35" s="39" t="s">
        <v>710</v>
      </c>
      <c r="C35" s="39"/>
      <c r="D35" s="39"/>
      <c r="E35" s="48"/>
      <c r="F35" s="40"/>
      <c r="G35" s="40"/>
      <c r="H35" s="40"/>
      <c r="I35" s="40"/>
      <c r="J35" s="40"/>
      <c r="K35" s="40"/>
      <c r="L35" s="40"/>
      <c r="M35" s="40"/>
      <c r="N35" s="40"/>
      <c r="O35" s="40" t="s">
        <v>481</v>
      </c>
      <c r="P35" s="40"/>
      <c r="Q35" s="40"/>
      <c r="R35" s="40"/>
      <c r="S35" s="40"/>
      <c r="T35" s="41"/>
      <c r="U35" s="3"/>
      <c r="V35" s="3"/>
    </row>
    <row r="36" ht="14" customHeight="1" spans="1:22">
      <c r="A36" s="47"/>
      <c r="B36" s="39" t="s">
        <v>711</v>
      </c>
      <c r="C36" s="39"/>
      <c r="D36" s="39"/>
      <c r="E36" s="48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 t="s">
        <v>481</v>
      </c>
      <c r="Q36" s="40"/>
      <c r="R36" s="40"/>
      <c r="S36" s="40"/>
      <c r="T36" s="41"/>
      <c r="U36" s="3"/>
      <c r="V36" s="3"/>
    </row>
    <row r="37" ht="14" customHeight="1" spans="1:22">
      <c r="A37" s="47"/>
      <c r="B37" s="39" t="s">
        <v>712</v>
      </c>
      <c r="C37" s="39"/>
      <c r="D37" s="39"/>
      <c r="E37" s="48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 t="s">
        <v>481</v>
      </c>
      <c r="R37" s="40"/>
      <c r="S37" s="40"/>
      <c r="T37" s="41"/>
      <c r="U37" s="3"/>
      <c r="V37" s="3"/>
    </row>
    <row r="38" ht="14" customHeight="1" spans="1:22">
      <c r="A38" s="47"/>
      <c r="B38" s="39" t="s">
        <v>713</v>
      </c>
      <c r="C38" s="39"/>
      <c r="D38" s="39"/>
      <c r="E38" s="48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 t="s">
        <v>481</v>
      </c>
      <c r="S38" s="40"/>
      <c r="T38" s="41"/>
      <c r="U38" s="3"/>
      <c r="V38" s="3"/>
    </row>
    <row r="39" ht="13.5" customHeight="1" spans="1:22">
      <c r="A39" s="42" t="s">
        <v>507</v>
      </c>
      <c r="B39" s="49" t="s">
        <v>508</v>
      </c>
      <c r="C39" s="49"/>
      <c r="D39" s="49"/>
      <c r="E39" s="50"/>
      <c r="F39" s="51" t="s">
        <v>449</v>
      </c>
      <c r="G39" s="51" t="s">
        <v>449</v>
      </c>
      <c r="H39" s="51" t="s">
        <v>449</v>
      </c>
      <c r="I39" s="51" t="s">
        <v>66</v>
      </c>
      <c r="J39" s="51" t="s">
        <v>449</v>
      </c>
      <c r="K39" s="51" t="s">
        <v>449</v>
      </c>
      <c r="L39" s="51" t="s">
        <v>449</v>
      </c>
      <c r="M39" s="51" t="s">
        <v>66</v>
      </c>
      <c r="N39" s="51" t="s">
        <v>450</v>
      </c>
      <c r="O39" s="51" t="s">
        <v>449</v>
      </c>
      <c r="P39" s="51" t="s">
        <v>449</v>
      </c>
      <c r="Q39" s="51" t="s">
        <v>450</v>
      </c>
      <c r="R39" s="51" t="s">
        <v>450</v>
      </c>
      <c r="S39" s="51"/>
      <c r="T39" s="52"/>
      <c r="U39" s="3"/>
      <c r="V39" s="3"/>
    </row>
    <row r="40" ht="13.5" customHeight="1" spans="1:22">
      <c r="A40" s="47"/>
      <c r="B40" s="53" t="s">
        <v>509</v>
      </c>
      <c r="C40" s="53"/>
      <c r="D40" s="53"/>
      <c r="E40" s="54"/>
      <c r="F40" s="55" t="s">
        <v>510</v>
      </c>
      <c r="G40" s="55" t="s">
        <v>510</v>
      </c>
      <c r="H40" s="55" t="s">
        <v>510</v>
      </c>
      <c r="I40" s="55" t="s">
        <v>510</v>
      </c>
      <c r="J40" s="55" t="s">
        <v>510</v>
      </c>
      <c r="K40" s="55" t="s">
        <v>510</v>
      </c>
      <c r="L40" s="55" t="s">
        <v>510</v>
      </c>
      <c r="M40" s="55" t="s">
        <v>510</v>
      </c>
      <c r="N40" s="55" t="s">
        <v>510</v>
      </c>
      <c r="O40" s="55" t="s">
        <v>510</v>
      </c>
      <c r="P40" s="55" t="s">
        <v>510</v>
      </c>
      <c r="Q40" s="55" t="s">
        <v>510</v>
      </c>
      <c r="R40" s="55" t="s">
        <v>510</v>
      </c>
      <c r="S40" s="55"/>
      <c r="T40" s="56"/>
      <c r="U40" s="3"/>
      <c r="V40" s="3"/>
    </row>
    <row r="41" ht="105" customHeight="1" spans="1:22">
      <c r="A41" s="47"/>
      <c r="B41" s="57" t="s">
        <v>511</v>
      </c>
      <c r="C41" s="57"/>
      <c r="D41" s="57"/>
      <c r="E41" s="58"/>
      <c r="F41" s="59" t="s">
        <v>53</v>
      </c>
      <c r="G41" s="59" t="s">
        <v>53</v>
      </c>
      <c r="H41" s="59" t="s">
        <v>53</v>
      </c>
      <c r="I41" s="59" t="s">
        <v>53</v>
      </c>
      <c r="J41" s="59" t="s">
        <v>53</v>
      </c>
      <c r="K41" s="59" t="s">
        <v>53</v>
      </c>
      <c r="L41" s="59" t="s">
        <v>53</v>
      </c>
      <c r="M41" s="59" t="s">
        <v>53</v>
      </c>
      <c r="N41" s="59" t="s">
        <v>53</v>
      </c>
      <c r="O41" s="59" t="s">
        <v>53</v>
      </c>
      <c r="P41" s="59" t="s">
        <v>53</v>
      </c>
      <c r="Q41" s="59" t="s">
        <v>53</v>
      </c>
      <c r="R41" s="59" t="s">
        <v>53</v>
      </c>
      <c r="S41" s="59"/>
      <c r="T41" s="60"/>
      <c r="U41" s="3"/>
      <c r="V41" s="3"/>
    </row>
    <row r="42" ht="20" customHeight="1" spans="1:22">
      <c r="A42" s="61"/>
      <c r="B42" s="62" t="s">
        <v>512</v>
      </c>
      <c r="C42" s="62"/>
      <c r="D42" s="62"/>
      <c r="E42" s="63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5"/>
      <c r="U42" s="3"/>
      <c r="V42" s="3"/>
    </row>
    <row r="43" ht="13.8"/>
  </sheetData>
  <mergeCells count="53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</mergeCells>
  <dataValidations count="2">
    <dataValidation type="list" allowBlank="1" sqref="F39:R39">
      <formula1>"N,A,B"</formula1>
    </dataValidation>
    <dataValidation type="list" allowBlank="1" sqref="F40:R40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Functions!E24</f>
        <v>FE-SHR-01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Functions!D24</f>
        <v>getTimeOfDayGreeting / buildWelcomeMessage / mark-has-clearLoginWelcomePending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461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29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-5.1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184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COUNTIF(F31:T31,"P")</f>
        <v>8</v>
      </c>
      <c r="B7" s="20"/>
      <c r="C7" s="21">
        <f>COUNTIF(F31:T31,"F")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COUNTIF(F30:T30,"N")</f>
        <v>2</v>
      </c>
      <c r="M7" s="21">
        <f>COUNTIF(F30:T30,"A")</f>
        <v>1</v>
      </c>
      <c r="N7" s="21">
        <f>COUNTIF(F30:T30,"B")</f>
        <v>5</v>
      </c>
      <c r="O7" s="21">
        <f>COUNTA(F9:T9)</f>
        <v>8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 t="s">
        <v>474</v>
      </c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185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 t="s">
        <v>481</v>
      </c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714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715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716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717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718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719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720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4" customHeight="1" spans="1:22">
      <c r="A20" s="38"/>
      <c r="B20" s="39" t="s">
        <v>721</v>
      </c>
      <c r="C20" s="39"/>
      <c r="D20" s="39"/>
      <c r="E20" s="35"/>
      <c r="F20" s="40"/>
      <c r="G20" s="40"/>
      <c r="H20" s="40"/>
      <c r="I20" s="40"/>
      <c r="J20" s="40"/>
      <c r="K20" s="40"/>
      <c r="L20" s="40"/>
      <c r="M20" s="40" t="s">
        <v>481</v>
      </c>
      <c r="N20" s="40"/>
      <c r="O20" s="40"/>
      <c r="P20" s="40"/>
      <c r="Q20" s="40"/>
      <c r="R20" s="40"/>
      <c r="S20" s="40"/>
      <c r="T20" s="41"/>
      <c r="U20" s="3"/>
      <c r="V20" s="9"/>
    </row>
    <row r="21" ht="13.5" customHeight="1" spans="1:22">
      <c r="A21" s="42" t="s">
        <v>494</v>
      </c>
      <c r="B21" s="43" t="s">
        <v>495</v>
      </c>
      <c r="C21" s="44"/>
      <c r="D21" s="45"/>
      <c r="E21" s="4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/>
      <c r="U21" s="3"/>
      <c r="V21" s="3"/>
    </row>
    <row r="22" ht="14" customHeight="1" spans="1:22">
      <c r="A22" s="47"/>
      <c r="B22" s="39" t="s">
        <v>722</v>
      </c>
      <c r="C22" s="39"/>
      <c r="D22" s="39"/>
      <c r="E22" s="48"/>
      <c r="F22" s="40" t="s">
        <v>481</v>
      </c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1"/>
      <c r="U22" s="3"/>
      <c r="V22" s="3"/>
    </row>
    <row r="23" ht="14" customHeight="1" spans="1:22">
      <c r="A23" s="47"/>
      <c r="B23" s="39" t="s">
        <v>723</v>
      </c>
      <c r="C23" s="39"/>
      <c r="D23" s="39"/>
      <c r="E23" s="48"/>
      <c r="F23" s="40"/>
      <c r="G23" s="40" t="s">
        <v>481</v>
      </c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1"/>
      <c r="U23" s="3"/>
      <c r="V23" s="3"/>
    </row>
    <row r="24" ht="14" customHeight="1" spans="1:22">
      <c r="A24" s="47"/>
      <c r="B24" s="39" t="s">
        <v>724</v>
      </c>
      <c r="C24" s="39"/>
      <c r="D24" s="39"/>
      <c r="E24" s="48"/>
      <c r="F24" s="40"/>
      <c r="G24" s="40"/>
      <c r="H24" s="40" t="s">
        <v>481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1"/>
      <c r="U24" s="3"/>
      <c r="V24" s="3"/>
    </row>
    <row r="25" ht="14" customHeight="1" spans="1:22">
      <c r="A25" s="47"/>
      <c r="B25" s="39" t="s">
        <v>725</v>
      </c>
      <c r="C25" s="39"/>
      <c r="D25" s="39"/>
      <c r="E25" s="48"/>
      <c r="F25" s="40"/>
      <c r="G25" s="40"/>
      <c r="H25" s="40"/>
      <c r="I25" s="40" t="s">
        <v>481</v>
      </c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1"/>
      <c r="U25" s="3"/>
      <c r="V25" s="3"/>
    </row>
    <row r="26" ht="14" customHeight="1" spans="1:22">
      <c r="A26" s="47"/>
      <c r="B26" s="39" t="s">
        <v>726</v>
      </c>
      <c r="C26" s="39"/>
      <c r="D26" s="39"/>
      <c r="E26" s="48"/>
      <c r="F26" s="40"/>
      <c r="G26" s="40"/>
      <c r="H26" s="40"/>
      <c r="I26" s="40"/>
      <c r="J26" s="40" t="s">
        <v>481</v>
      </c>
      <c r="K26" s="40"/>
      <c r="L26" s="40"/>
      <c r="M26" s="40"/>
      <c r="N26" s="40"/>
      <c r="O26" s="40"/>
      <c r="P26" s="40"/>
      <c r="Q26" s="40"/>
      <c r="R26" s="40"/>
      <c r="S26" s="40"/>
      <c r="T26" s="41"/>
      <c r="U26" s="3"/>
      <c r="V26" s="3"/>
    </row>
    <row r="27" ht="14" customHeight="1" spans="1:22">
      <c r="A27" s="47"/>
      <c r="B27" s="39" t="s">
        <v>727</v>
      </c>
      <c r="C27" s="39"/>
      <c r="D27" s="39"/>
      <c r="E27" s="48"/>
      <c r="F27" s="40"/>
      <c r="G27" s="40"/>
      <c r="H27" s="40"/>
      <c r="I27" s="40"/>
      <c r="J27" s="40"/>
      <c r="K27" s="40" t="s">
        <v>481</v>
      </c>
      <c r="L27" s="40"/>
      <c r="M27" s="40"/>
      <c r="N27" s="40"/>
      <c r="O27" s="40"/>
      <c r="P27" s="40"/>
      <c r="Q27" s="40"/>
      <c r="R27" s="40"/>
      <c r="S27" s="40"/>
      <c r="T27" s="41"/>
      <c r="U27" s="3"/>
      <c r="V27" s="3"/>
    </row>
    <row r="28" ht="14" customHeight="1" spans="1:22">
      <c r="A28" s="47"/>
      <c r="B28" s="39" t="s">
        <v>728</v>
      </c>
      <c r="C28" s="39"/>
      <c r="D28" s="39"/>
      <c r="E28" s="48"/>
      <c r="F28" s="40"/>
      <c r="G28" s="40"/>
      <c r="H28" s="40"/>
      <c r="I28" s="40"/>
      <c r="J28" s="40"/>
      <c r="K28" s="40"/>
      <c r="L28" s="40" t="s">
        <v>481</v>
      </c>
      <c r="M28" s="40"/>
      <c r="N28" s="40"/>
      <c r="O28" s="40"/>
      <c r="P28" s="40"/>
      <c r="Q28" s="40"/>
      <c r="R28" s="40"/>
      <c r="S28" s="40"/>
      <c r="T28" s="41"/>
      <c r="U28" s="3"/>
      <c r="V28" s="3"/>
    </row>
    <row r="29" ht="14" customHeight="1" spans="1:22">
      <c r="A29" s="47"/>
      <c r="B29" s="39" t="s">
        <v>729</v>
      </c>
      <c r="C29" s="39"/>
      <c r="D29" s="39"/>
      <c r="E29" s="48"/>
      <c r="F29" s="40"/>
      <c r="G29" s="40"/>
      <c r="H29" s="40"/>
      <c r="I29" s="40"/>
      <c r="J29" s="40"/>
      <c r="K29" s="40"/>
      <c r="L29" s="40"/>
      <c r="M29" s="40" t="s">
        <v>481</v>
      </c>
      <c r="N29" s="40"/>
      <c r="O29" s="40"/>
      <c r="P29" s="40"/>
      <c r="Q29" s="40"/>
      <c r="R29" s="40"/>
      <c r="S29" s="40"/>
      <c r="T29" s="41"/>
      <c r="U29" s="3"/>
      <c r="V29" s="3"/>
    </row>
    <row r="30" ht="13.5" customHeight="1" spans="1:22">
      <c r="A30" s="42" t="s">
        <v>507</v>
      </c>
      <c r="B30" s="49" t="s">
        <v>508</v>
      </c>
      <c r="C30" s="49"/>
      <c r="D30" s="49"/>
      <c r="E30" s="50"/>
      <c r="F30" s="51" t="s">
        <v>450</v>
      </c>
      <c r="G30" s="51" t="s">
        <v>450</v>
      </c>
      <c r="H30" s="51" t="s">
        <v>450</v>
      </c>
      <c r="I30" s="51" t="s">
        <v>450</v>
      </c>
      <c r="J30" s="51" t="s">
        <v>450</v>
      </c>
      <c r="K30" s="51" t="s">
        <v>449</v>
      </c>
      <c r="L30" s="51" t="s">
        <v>66</v>
      </c>
      <c r="M30" s="51" t="s">
        <v>449</v>
      </c>
      <c r="N30" s="51"/>
      <c r="O30" s="51"/>
      <c r="P30" s="51"/>
      <c r="Q30" s="51"/>
      <c r="R30" s="51"/>
      <c r="S30" s="51"/>
      <c r="T30" s="52"/>
      <c r="U30" s="3"/>
      <c r="V30" s="3"/>
    </row>
    <row r="31" ht="13.5" customHeight="1" spans="1:22">
      <c r="A31" s="47"/>
      <c r="B31" s="53" t="s">
        <v>509</v>
      </c>
      <c r="C31" s="53"/>
      <c r="D31" s="53"/>
      <c r="E31" s="54"/>
      <c r="F31" s="55" t="s">
        <v>510</v>
      </c>
      <c r="G31" s="55" t="s">
        <v>510</v>
      </c>
      <c r="H31" s="55" t="s">
        <v>510</v>
      </c>
      <c r="I31" s="55" t="s">
        <v>510</v>
      </c>
      <c r="J31" s="55" t="s">
        <v>510</v>
      </c>
      <c r="K31" s="55" t="s">
        <v>510</v>
      </c>
      <c r="L31" s="55" t="s">
        <v>510</v>
      </c>
      <c r="M31" s="55" t="s">
        <v>510</v>
      </c>
      <c r="N31" s="55"/>
      <c r="O31" s="55"/>
      <c r="P31" s="55"/>
      <c r="Q31" s="55"/>
      <c r="R31" s="55"/>
      <c r="S31" s="55"/>
      <c r="T31" s="56"/>
      <c r="U31" s="3"/>
      <c r="V31" s="3"/>
    </row>
    <row r="32" ht="105" customHeight="1" spans="1:22">
      <c r="A32" s="47"/>
      <c r="B32" s="57" t="s">
        <v>511</v>
      </c>
      <c r="C32" s="57"/>
      <c r="D32" s="57"/>
      <c r="E32" s="58"/>
      <c r="F32" s="59" t="s">
        <v>53</v>
      </c>
      <c r="G32" s="59" t="s">
        <v>53</v>
      </c>
      <c r="H32" s="59" t="s">
        <v>53</v>
      </c>
      <c r="I32" s="59" t="s">
        <v>53</v>
      </c>
      <c r="J32" s="59" t="s">
        <v>53</v>
      </c>
      <c r="K32" s="59" t="s">
        <v>53</v>
      </c>
      <c r="L32" s="59" t="s">
        <v>53</v>
      </c>
      <c r="M32" s="59" t="s">
        <v>53</v>
      </c>
      <c r="N32" s="59"/>
      <c r="O32" s="59"/>
      <c r="P32" s="59"/>
      <c r="Q32" s="59"/>
      <c r="R32" s="59"/>
      <c r="S32" s="59"/>
      <c r="T32" s="60"/>
      <c r="U32" s="3"/>
      <c r="V32" s="3"/>
    </row>
    <row r="33" ht="20" customHeight="1" spans="1:22">
      <c r="A33" s="61"/>
      <c r="B33" s="62" t="s">
        <v>512</v>
      </c>
      <c r="C33" s="62"/>
      <c r="D33" s="62"/>
      <c r="E33" s="6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5"/>
      <c r="U33" s="3"/>
      <c r="V33" s="3"/>
    </row>
    <row r="34" ht="13.8"/>
  </sheetData>
  <mergeCells count="44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</mergeCells>
  <dataValidations count="2">
    <dataValidation type="list" allowBlank="1" sqref="F30:M30">
      <formula1>"N,A,B"</formula1>
    </dataValidation>
    <dataValidation type="list" allowBlank="1" sqref="F31:M31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Functions!E25</f>
        <v>FE-SHR-02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Functions!D25</f>
        <v>formatRelativeTime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461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19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-7.1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190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COUNTIF(F33:T33,"P")</f>
        <v>9</v>
      </c>
      <c r="B7" s="20"/>
      <c r="C7" s="21">
        <f>COUNTIF(F33:T33,"F")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COUNTIF(F32:T32,"N")</f>
        <v>6</v>
      </c>
      <c r="M7" s="21">
        <f>COUNTIF(F32:T32,"A")</f>
        <v>1</v>
      </c>
      <c r="N7" s="21">
        <f>COUNTIF(F32:T32,"B")</f>
        <v>2</v>
      </c>
      <c r="O7" s="21">
        <f>COUNTA(F9:T9)</f>
        <v>9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 t="s">
        <v>474</v>
      </c>
      <c r="N9" s="28" t="s">
        <v>475</v>
      </c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160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 t="s">
        <v>481</v>
      </c>
      <c r="N11" s="40" t="s">
        <v>481</v>
      </c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730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731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732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733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734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735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736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4" customHeight="1" spans="1:22">
      <c r="A20" s="38"/>
      <c r="B20" s="39" t="s">
        <v>737</v>
      </c>
      <c r="C20" s="39"/>
      <c r="D20" s="39"/>
      <c r="E20" s="35"/>
      <c r="F20" s="40"/>
      <c r="G20" s="40"/>
      <c r="H20" s="40"/>
      <c r="I20" s="40"/>
      <c r="J20" s="40"/>
      <c r="K20" s="40"/>
      <c r="L20" s="40"/>
      <c r="M20" s="40" t="s">
        <v>481</v>
      </c>
      <c r="N20" s="40"/>
      <c r="O20" s="40"/>
      <c r="P20" s="40"/>
      <c r="Q20" s="40"/>
      <c r="R20" s="40"/>
      <c r="S20" s="40"/>
      <c r="T20" s="41"/>
      <c r="U20" s="3"/>
      <c r="V20" s="9"/>
    </row>
    <row r="21" ht="14" customHeight="1" spans="1:22">
      <c r="A21" s="38"/>
      <c r="B21" s="39" t="s">
        <v>738</v>
      </c>
      <c r="C21" s="39"/>
      <c r="D21" s="39"/>
      <c r="E21" s="35"/>
      <c r="F21" s="40"/>
      <c r="G21" s="40"/>
      <c r="H21" s="40"/>
      <c r="I21" s="40"/>
      <c r="J21" s="40"/>
      <c r="K21" s="40"/>
      <c r="L21" s="40"/>
      <c r="M21" s="40"/>
      <c r="N21" s="40" t="s">
        <v>481</v>
      </c>
      <c r="O21" s="40"/>
      <c r="P21" s="40"/>
      <c r="Q21" s="40"/>
      <c r="R21" s="40"/>
      <c r="S21" s="40"/>
      <c r="T21" s="41"/>
      <c r="U21" s="3"/>
      <c r="V21" s="9"/>
    </row>
    <row r="22" ht="13.5" customHeight="1" spans="1:22">
      <c r="A22" s="42" t="s">
        <v>494</v>
      </c>
      <c r="B22" s="43" t="s">
        <v>495</v>
      </c>
      <c r="C22" s="44"/>
      <c r="D22" s="45"/>
      <c r="E22" s="4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7"/>
      <c r="U22" s="3"/>
      <c r="V22" s="3"/>
    </row>
    <row r="23" ht="14" customHeight="1" spans="1:22">
      <c r="A23" s="47"/>
      <c r="B23" s="39" t="s">
        <v>739</v>
      </c>
      <c r="C23" s="39"/>
      <c r="D23" s="39"/>
      <c r="E23" s="48"/>
      <c r="F23" s="40" t="s">
        <v>481</v>
      </c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1"/>
      <c r="U23" s="3"/>
      <c r="V23" s="3"/>
    </row>
    <row r="24" ht="14" customHeight="1" spans="1:22">
      <c r="A24" s="47"/>
      <c r="B24" s="39" t="s">
        <v>740</v>
      </c>
      <c r="C24" s="39"/>
      <c r="D24" s="39"/>
      <c r="E24" s="48"/>
      <c r="F24" s="40"/>
      <c r="G24" s="40" t="s">
        <v>481</v>
      </c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1"/>
      <c r="U24" s="3"/>
      <c r="V24" s="3"/>
    </row>
    <row r="25" ht="14" customHeight="1" spans="1:22">
      <c r="A25" s="47"/>
      <c r="B25" s="39" t="s">
        <v>741</v>
      </c>
      <c r="C25" s="39"/>
      <c r="D25" s="39"/>
      <c r="E25" s="48"/>
      <c r="F25" s="40"/>
      <c r="G25" s="40"/>
      <c r="H25" s="40" t="s">
        <v>481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1"/>
      <c r="U25" s="3"/>
      <c r="V25" s="3"/>
    </row>
    <row r="26" ht="14" customHeight="1" spans="1:22">
      <c r="A26" s="47"/>
      <c r="B26" s="39" t="s">
        <v>742</v>
      </c>
      <c r="C26" s="39"/>
      <c r="D26" s="39"/>
      <c r="E26" s="48"/>
      <c r="F26" s="40"/>
      <c r="G26" s="40"/>
      <c r="H26" s="40"/>
      <c r="I26" s="40" t="s">
        <v>481</v>
      </c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1"/>
      <c r="U26" s="3"/>
      <c r="V26" s="3"/>
    </row>
    <row r="27" ht="14" customHeight="1" spans="1:22">
      <c r="A27" s="47"/>
      <c r="B27" s="39" t="s">
        <v>743</v>
      </c>
      <c r="C27" s="39"/>
      <c r="D27" s="39"/>
      <c r="E27" s="48"/>
      <c r="F27" s="40"/>
      <c r="G27" s="40"/>
      <c r="H27" s="40"/>
      <c r="I27" s="40"/>
      <c r="J27" s="40" t="s">
        <v>481</v>
      </c>
      <c r="K27" s="40"/>
      <c r="L27" s="40"/>
      <c r="M27" s="40"/>
      <c r="N27" s="40"/>
      <c r="O27" s="40"/>
      <c r="P27" s="40"/>
      <c r="Q27" s="40"/>
      <c r="R27" s="40"/>
      <c r="S27" s="40"/>
      <c r="T27" s="41"/>
      <c r="U27" s="3"/>
      <c r="V27" s="3"/>
    </row>
    <row r="28" ht="14" customHeight="1" spans="1:22">
      <c r="A28" s="47"/>
      <c r="B28" s="39" t="s">
        <v>744</v>
      </c>
      <c r="C28" s="39"/>
      <c r="D28" s="39"/>
      <c r="E28" s="48"/>
      <c r="F28" s="40"/>
      <c r="G28" s="40"/>
      <c r="H28" s="40"/>
      <c r="I28" s="40"/>
      <c r="J28" s="40"/>
      <c r="K28" s="40" t="s">
        <v>481</v>
      </c>
      <c r="L28" s="40"/>
      <c r="M28" s="40"/>
      <c r="N28" s="40"/>
      <c r="O28" s="40"/>
      <c r="P28" s="40"/>
      <c r="Q28" s="40"/>
      <c r="R28" s="40"/>
      <c r="S28" s="40"/>
      <c r="T28" s="41"/>
      <c r="U28" s="3"/>
      <c r="V28" s="3"/>
    </row>
    <row r="29" ht="14" customHeight="1" spans="1:22">
      <c r="A29" s="47"/>
      <c r="B29" s="39" t="s">
        <v>745</v>
      </c>
      <c r="C29" s="39"/>
      <c r="D29" s="39"/>
      <c r="E29" s="48"/>
      <c r="F29" s="40"/>
      <c r="G29" s="40"/>
      <c r="H29" s="40"/>
      <c r="I29" s="40"/>
      <c r="J29" s="40"/>
      <c r="K29" s="40"/>
      <c r="L29" s="40" t="s">
        <v>481</v>
      </c>
      <c r="M29" s="40"/>
      <c r="N29" s="40"/>
      <c r="O29" s="40"/>
      <c r="P29" s="40"/>
      <c r="Q29" s="40"/>
      <c r="R29" s="40"/>
      <c r="S29" s="40"/>
      <c r="T29" s="41"/>
      <c r="U29" s="3"/>
      <c r="V29" s="3"/>
    </row>
    <row r="30" ht="14" customHeight="1" spans="1:22">
      <c r="A30" s="47"/>
      <c r="B30" s="39" t="s">
        <v>746</v>
      </c>
      <c r="C30" s="39"/>
      <c r="D30" s="39"/>
      <c r="E30" s="48"/>
      <c r="F30" s="40"/>
      <c r="G30" s="40"/>
      <c r="H30" s="40"/>
      <c r="I30" s="40"/>
      <c r="J30" s="40"/>
      <c r="K30" s="40"/>
      <c r="L30" s="40"/>
      <c r="M30" s="40" t="s">
        <v>481</v>
      </c>
      <c r="N30" s="40"/>
      <c r="O30" s="40"/>
      <c r="P30" s="40"/>
      <c r="Q30" s="40"/>
      <c r="R30" s="40"/>
      <c r="S30" s="40"/>
      <c r="T30" s="41"/>
      <c r="U30" s="3"/>
      <c r="V30" s="3"/>
    </row>
    <row r="31" ht="14" customHeight="1" spans="1:22">
      <c r="A31" s="47"/>
      <c r="B31" s="39" t="s">
        <v>747</v>
      </c>
      <c r="C31" s="39"/>
      <c r="D31" s="39"/>
      <c r="E31" s="48"/>
      <c r="F31" s="40"/>
      <c r="G31" s="40"/>
      <c r="H31" s="40"/>
      <c r="I31" s="40"/>
      <c r="J31" s="40"/>
      <c r="K31" s="40"/>
      <c r="L31" s="40"/>
      <c r="M31" s="40"/>
      <c r="N31" s="40" t="s">
        <v>481</v>
      </c>
      <c r="O31" s="40"/>
      <c r="P31" s="40"/>
      <c r="Q31" s="40"/>
      <c r="R31" s="40"/>
      <c r="S31" s="40"/>
      <c r="T31" s="41"/>
      <c r="U31" s="3"/>
      <c r="V31" s="3"/>
    </row>
    <row r="32" ht="13.5" customHeight="1" spans="1:22">
      <c r="A32" s="42" t="s">
        <v>507</v>
      </c>
      <c r="B32" s="49" t="s">
        <v>508</v>
      </c>
      <c r="C32" s="49"/>
      <c r="D32" s="49"/>
      <c r="E32" s="50"/>
      <c r="F32" s="51" t="s">
        <v>66</v>
      </c>
      <c r="G32" s="51" t="s">
        <v>450</v>
      </c>
      <c r="H32" s="51" t="s">
        <v>450</v>
      </c>
      <c r="I32" s="51" t="s">
        <v>449</v>
      </c>
      <c r="J32" s="51" t="s">
        <v>449</v>
      </c>
      <c r="K32" s="51" t="s">
        <v>449</v>
      </c>
      <c r="L32" s="51" t="s">
        <v>449</v>
      </c>
      <c r="M32" s="51" t="s">
        <v>449</v>
      </c>
      <c r="N32" s="51" t="s">
        <v>449</v>
      </c>
      <c r="O32" s="51"/>
      <c r="P32" s="51"/>
      <c r="Q32" s="51"/>
      <c r="R32" s="51"/>
      <c r="S32" s="51"/>
      <c r="T32" s="52"/>
      <c r="U32" s="3"/>
      <c r="V32" s="3"/>
    </row>
    <row r="33" ht="13.5" customHeight="1" spans="1:22">
      <c r="A33" s="47"/>
      <c r="B33" s="53" t="s">
        <v>509</v>
      </c>
      <c r="C33" s="53"/>
      <c r="D33" s="53"/>
      <c r="E33" s="54"/>
      <c r="F33" s="55" t="s">
        <v>510</v>
      </c>
      <c r="G33" s="55" t="s">
        <v>510</v>
      </c>
      <c r="H33" s="55" t="s">
        <v>510</v>
      </c>
      <c r="I33" s="55" t="s">
        <v>510</v>
      </c>
      <c r="J33" s="55" t="s">
        <v>510</v>
      </c>
      <c r="K33" s="55" t="s">
        <v>510</v>
      </c>
      <c r="L33" s="55" t="s">
        <v>510</v>
      </c>
      <c r="M33" s="55" t="s">
        <v>510</v>
      </c>
      <c r="N33" s="55" t="s">
        <v>510</v>
      </c>
      <c r="O33" s="55"/>
      <c r="P33" s="55"/>
      <c r="Q33" s="55"/>
      <c r="R33" s="55"/>
      <c r="S33" s="55"/>
      <c r="T33" s="56"/>
      <c r="U33" s="3"/>
      <c r="V33" s="3"/>
    </row>
    <row r="34" ht="105" customHeight="1" spans="1:22">
      <c r="A34" s="47"/>
      <c r="B34" s="57" t="s">
        <v>511</v>
      </c>
      <c r="C34" s="57"/>
      <c r="D34" s="57"/>
      <c r="E34" s="58"/>
      <c r="F34" s="59" t="s">
        <v>53</v>
      </c>
      <c r="G34" s="59" t="s">
        <v>53</v>
      </c>
      <c r="H34" s="59" t="s">
        <v>53</v>
      </c>
      <c r="I34" s="59" t="s">
        <v>53</v>
      </c>
      <c r="J34" s="59" t="s">
        <v>53</v>
      </c>
      <c r="K34" s="59" t="s">
        <v>53</v>
      </c>
      <c r="L34" s="59" t="s">
        <v>53</v>
      </c>
      <c r="M34" s="59" t="s">
        <v>53</v>
      </c>
      <c r="N34" s="59" t="s">
        <v>53</v>
      </c>
      <c r="O34" s="59"/>
      <c r="P34" s="59"/>
      <c r="Q34" s="59"/>
      <c r="R34" s="59"/>
      <c r="S34" s="59"/>
      <c r="T34" s="60"/>
      <c r="U34" s="3"/>
      <c r="V34" s="3"/>
    </row>
    <row r="35" ht="20" customHeight="1" spans="1:22">
      <c r="A35" s="61"/>
      <c r="B35" s="62" t="s">
        <v>512</v>
      </c>
      <c r="C35" s="62"/>
      <c r="D35" s="62"/>
      <c r="E35" s="63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5"/>
      <c r="U35" s="3"/>
      <c r="V35" s="3"/>
    </row>
    <row r="36" ht="13.8"/>
  </sheetData>
  <mergeCells count="46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</mergeCells>
  <dataValidations count="2">
    <dataValidation type="list" allowBlank="1" sqref="F32:N32">
      <formula1>"N,A,B"</formula1>
    </dataValidation>
    <dataValidation type="list" allowBlank="1" sqref="F33:N33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3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Functions!E26</f>
        <v>FE-SHR-03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Functions!D26</f>
        <v>isAdminNavActive / isHrNavActive / getInitials / resolveAvatarUrl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461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57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-2.3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195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COUNTIF(F30:T30,"P")</f>
        <v>8</v>
      </c>
      <c r="B7" s="20"/>
      <c r="C7" s="21">
        <f>COUNTIF(F30:T30,"F")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COUNTIF(F29:T29,"N")</f>
        <v>4</v>
      </c>
      <c r="M7" s="21">
        <f>COUNTIF(F29:T29,"A")</f>
        <v>2</v>
      </c>
      <c r="N7" s="21">
        <f>COUNTIF(F29:T29,"B")</f>
        <v>2</v>
      </c>
      <c r="O7" s="21">
        <f>COUNTA(F9:T9)</f>
        <v>8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 t="s">
        <v>474</v>
      </c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128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 t="s">
        <v>481</v>
      </c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748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749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750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751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752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753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754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4" customHeight="1" spans="1:22">
      <c r="A20" s="38"/>
      <c r="B20" s="39" t="s">
        <v>755</v>
      </c>
      <c r="C20" s="39"/>
      <c r="D20" s="39"/>
      <c r="E20" s="35"/>
      <c r="F20" s="40"/>
      <c r="G20" s="40"/>
      <c r="H20" s="40"/>
      <c r="I20" s="40"/>
      <c r="J20" s="40"/>
      <c r="K20" s="40"/>
      <c r="L20" s="40"/>
      <c r="M20" s="40" t="s">
        <v>481</v>
      </c>
      <c r="N20" s="40"/>
      <c r="O20" s="40"/>
      <c r="P20" s="40"/>
      <c r="Q20" s="40"/>
      <c r="R20" s="40"/>
      <c r="S20" s="40"/>
      <c r="T20" s="41"/>
      <c r="U20" s="3"/>
      <c r="V20" s="9"/>
    </row>
    <row r="21" ht="13.5" customHeight="1" spans="1:22">
      <c r="A21" s="42" t="s">
        <v>494</v>
      </c>
      <c r="B21" s="43" t="s">
        <v>495</v>
      </c>
      <c r="C21" s="44"/>
      <c r="D21" s="45"/>
      <c r="E21" s="4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/>
      <c r="U21" s="3"/>
      <c r="V21" s="3"/>
    </row>
    <row r="22" ht="14" customHeight="1" spans="1:22">
      <c r="A22" s="47"/>
      <c r="B22" s="39" t="s">
        <v>756</v>
      </c>
      <c r="C22" s="39"/>
      <c r="D22" s="39"/>
      <c r="E22" s="48"/>
      <c r="F22" s="40" t="s">
        <v>481</v>
      </c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1"/>
      <c r="U22" s="3"/>
      <c r="V22" s="3"/>
    </row>
    <row r="23" ht="14" customHeight="1" spans="1:22">
      <c r="A23" s="47"/>
      <c r="B23" s="39" t="s">
        <v>555</v>
      </c>
      <c r="C23" s="39"/>
      <c r="D23" s="39"/>
      <c r="E23" s="48"/>
      <c r="F23" s="40"/>
      <c r="G23" s="40" t="s">
        <v>481</v>
      </c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1"/>
      <c r="U23" s="3"/>
      <c r="V23" s="3"/>
    </row>
    <row r="24" ht="14" customHeight="1" spans="1:22">
      <c r="A24" s="47"/>
      <c r="B24" s="39" t="s">
        <v>757</v>
      </c>
      <c r="C24" s="39"/>
      <c r="D24" s="39"/>
      <c r="E24" s="48"/>
      <c r="F24" s="40"/>
      <c r="G24" s="40"/>
      <c r="H24" s="40" t="s">
        <v>481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1"/>
      <c r="U24" s="3"/>
      <c r="V24" s="3"/>
    </row>
    <row r="25" ht="14" customHeight="1" spans="1:22">
      <c r="A25" s="47"/>
      <c r="B25" s="39" t="s">
        <v>758</v>
      </c>
      <c r="C25" s="39"/>
      <c r="D25" s="39"/>
      <c r="E25" s="48"/>
      <c r="F25" s="40"/>
      <c r="G25" s="40"/>
      <c r="H25" s="40"/>
      <c r="I25" s="40" t="s">
        <v>481</v>
      </c>
      <c r="J25" s="40" t="s">
        <v>481</v>
      </c>
      <c r="K25" s="40"/>
      <c r="L25" s="40"/>
      <c r="M25" s="40"/>
      <c r="N25" s="40"/>
      <c r="O25" s="40"/>
      <c r="P25" s="40"/>
      <c r="Q25" s="40"/>
      <c r="R25" s="40"/>
      <c r="S25" s="40"/>
      <c r="T25" s="41"/>
      <c r="U25" s="3"/>
      <c r="V25" s="3"/>
    </row>
    <row r="26" ht="14" customHeight="1" spans="1:22">
      <c r="A26" s="47"/>
      <c r="B26" s="39" t="s">
        <v>759</v>
      </c>
      <c r="C26" s="39"/>
      <c r="D26" s="39"/>
      <c r="E26" s="48"/>
      <c r="F26" s="40"/>
      <c r="G26" s="40"/>
      <c r="H26" s="40"/>
      <c r="I26" s="40"/>
      <c r="J26" s="40"/>
      <c r="K26" s="40" t="s">
        <v>481</v>
      </c>
      <c r="L26" s="40"/>
      <c r="M26" s="40"/>
      <c r="N26" s="40"/>
      <c r="O26" s="40"/>
      <c r="P26" s="40"/>
      <c r="Q26" s="40"/>
      <c r="R26" s="40"/>
      <c r="S26" s="40"/>
      <c r="T26" s="41"/>
      <c r="U26" s="3"/>
      <c r="V26" s="3"/>
    </row>
    <row r="27" ht="14" customHeight="1" spans="1:22">
      <c r="A27" s="47"/>
      <c r="B27" s="39" t="s">
        <v>547</v>
      </c>
      <c r="C27" s="39"/>
      <c r="D27" s="39"/>
      <c r="E27" s="48"/>
      <c r="F27" s="40"/>
      <c r="G27" s="40"/>
      <c r="H27" s="40"/>
      <c r="I27" s="40"/>
      <c r="J27" s="40"/>
      <c r="K27" s="40"/>
      <c r="L27" s="40" t="s">
        <v>481</v>
      </c>
      <c r="M27" s="40"/>
      <c r="N27" s="40"/>
      <c r="O27" s="40"/>
      <c r="P27" s="40"/>
      <c r="Q27" s="40"/>
      <c r="R27" s="40"/>
      <c r="S27" s="40"/>
      <c r="T27" s="41"/>
      <c r="U27" s="3"/>
      <c r="V27" s="3"/>
    </row>
    <row r="28" ht="14" customHeight="1" spans="1:22">
      <c r="A28" s="47"/>
      <c r="B28" s="39" t="s">
        <v>760</v>
      </c>
      <c r="C28" s="39"/>
      <c r="D28" s="39"/>
      <c r="E28" s="48"/>
      <c r="F28" s="40"/>
      <c r="G28" s="40"/>
      <c r="H28" s="40"/>
      <c r="I28" s="40"/>
      <c r="J28" s="40"/>
      <c r="K28" s="40"/>
      <c r="L28" s="40"/>
      <c r="M28" s="40" t="s">
        <v>481</v>
      </c>
      <c r="N28" s="40"/>
      <c r="O28" s="40"/>
      <c r="P28" s="40"/>
      <c r="Q28" s="40"/>
      <c r="R28" s="40"/>
      <c r="S28" s="40"/>
      <c r="T28" s="41"/>
      <c r="U28" s="3"/>
      <c r="V28" s="3"/>
    </row>
    <row r="29" ht="13.5" customHeight="1" spans="1:22">
      <c r="A29" s="42" t="s">
        <v>507</v>
      </c>
      <c r="B29" s="49" t="s">
        <v>508</v>
      </c>
      <c r="C29" s="49"/>
      <c r="D29" s="49"/>
      <c r="E29" s="50"/>
      <c r="F29" s="51" t="s">
        <v>449</v>
      </c>
      <c r="G29" s="51" t="s">
        <v>450</v>
      </c>
      <c r="H29" s="51" t="s">
        <v>66</v>
      </c>
      <c r="I29" s="51" t="s">
        <v>449</v>
      </c>
      <c r="J29" s="51" t="s">
        <v>449</v>
      </c>
      <c r="K29" s="51" t="s">
        <v>450</v>
      </c>
      <c r="L29" s="51" t="s">
        <v>66</v>
      </c>
      <c r="M29" s="51" t="s">
        <v>449</v>
      </c>
      <c r="N29" s="51"/>
      <c r="O29" s="51"/>
      <c r="P29" s="51"/>
      <c r="Q29" s="51"/>
      <c r="R29" s="51"/>
      <c r="S29" s="51"/>
      <c r="T29" s="52"/>
      <c r="U29" s="3"/>
      <c r="V29" s="3"/>
    </row>
    <row r="30" ht="13.5" customHeight="1" spans="1:22">
      <c r="A30" s="47"/>
      <c r="B30" s="53" t="s">
        <v>509</v>
      </c>
      <c r="C30" s="53"/>
      <c r="D30" s="53"/>
      <c r="E30" s="54"/>
      <c r="F30" s="55" t="s">
        <v>510</v>
      </c>
      <c r="G30" s="55" t="s">
        <v>510</v>
      </c>
      <c r="H30" s="55" t="s">
        <v>510</v>
      </c>
      <c r="I30" s="55" t="s">
        <v>510</v>
      </c>
      <c r="J30" s="55" t="s">
        <v>510</v>
      </c>
      <c r="K30" s="55" t="s">
        <v>510</v>
      </c>
      <c r="L30" s="55" t="s">
        <v>510</v>
      </c>
      <c r="M30" s="55" t="s">
        <v>510</v>
      </c>
      <c r="N30" s="55"/>
      <c r="O30" s="55"/>
      <c r="P30" s="55"/>
      <c r="Q30" s="55"/>
      <c r="R30" s="55"/>
      <c r="S30" s="55"/>
      <c r="T30" s="56"/>
      <c r="U30" s="3"/>
      <c r="V30" s="3"/>
    </row>
    <row r="31" ht="105" customHeight="1" spans="1:22">
      <c r="A31" s="47"/>
      <c r="B31" s="57" t="s">
        <v>511</v>
      </c>
      <c r="C31" s="57"/>
      <c r="D31" s="57"/>
      <c r="E31" s="58"/>
      <c r="F31" s="59" t="s">
        <v>53</v>
      </c>
      <c r="G31" s="59" t="s">
        <v>53</v>
      </c>
      <c r="H31" s="59" t="s">
        <v>53</v>
      </c>
      <c r="I31" s="59" t="s">
        <v>53</v>
      </c>
      <c r="J31" s="59" t="s">
        <v>53</v>
      </c>
      <c r="K31" s="59" t="s">
        <v>53</v>
      </c>
      <c r="L31" s="59" t="s">
        <v>53</v>
      </c>
      <c r="M31" s="59" t="s">
        <v>53</v>
      </c>
      <c r="N31" s="59"/>
      <c r="O31" s="59"/>
      <c r="P31" s="59"/>
      <c r="Q31" s="59"/>
      <c r="R31" s="59"/>
      <c r="S31" s="59"/>
      <c r="T31" s="60"/>
      <c r="U31" s="3"/>
      <c r="V31" s="3"/>
    </row>
    <row r="32" ht="20" customHeight="1" spans="1:22">
      <c r="A32" s="61"/>
      <c r="B32" s="62" t="s">
        <v>512</v>
      </c>
      <c r="C32" s="62"/>
      <c r="D32" s="62"/>
      <c r="E32" s="63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5"/>
      <c r="U32" s="3"/>
      <c r="V32" s="3"/>
    </row>
    <row r="33" ht="13.8"/>
  </sheetData>
  <mergeCells count="43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</mergeCells>
  <dataValidations count="2">
    <dataValidation type="list" allowBlank="1" sqref="F29:M29">
      <formula1>"N,A,B"</formula1>
    </dataValidation>
    <dataValidation type="list" allowBlank="1" sqref="F30:M30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0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Functions!E27</f>
        <v>FE-SHR-04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Functions!D27</f>
        <v>isValidUrl / mapAvatarUploadError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461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22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-4.8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200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COUNTIF(F27:T27,"P")</f>
        <v>7</v>
      </c>
      <c r="B7" s="20"/>
      <c r="C7" s="21">
        <f>COUNTIF(F27:T27,"F")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COUNTIF(F26:T26,"N")</f>
        <v>3</v>
      </c>
      <c r="M7" s="21">
        <f>COUNTIF(F26:T26,"A")</f>
        <v>3</v>
      </c>
      <c r="N7" s="21">
        <f>COUNTIF(F26:T26,"B")</f>
        <v>1</v>
      </c>
      <c r="O7" s="21">
        <f>COUNTA(F9:T9)</f>
        <v>7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128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761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762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763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764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765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766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767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3.5" customHeight="1" spans="1:22">
      <c r="A20" s="42" t="s">
        <v>494</v>
      </c>
      <c r="B20" s="43" t="s">
        <v>495</v>
      </c>
      <c r="C20" s="44"/>
      <c r="D20" s="45"/>
      <c r="E20" s="4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7"/>
      <c r="U20" s="3"/>
      <c r="V20" s="3"/>
    </row>
    <row r="21" ht="14" customHeight="1" spans="1:22">
      <c r="A21" s="47"/>
      <c r="B21" s="39" t="s">
        <v>555</v>
      </c>
      <c r="C21" s="39"/>
      <c r="D21" s="39"/>
      <c r="E21" s="48"/>
      <c r="F21" s="40" t="s">
        <v>481</v>
      </c>
      <c r="G21" s="40" t="s">
        <v>481</v>
      </c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1"/>
      <c r="U21" s="3"/>
      <c r="V21" s="3"/>
    </row>
    <row r="22" ht="14" customHeight="1" spans="1:22">
      <c r="A22" s="47"/>
      <c r="B22" s="39" t="s">
        <v>556</v>
      </c>
      <c r="C22" s="39"/>
      <c r="D22" s="39"/>
      <c r="E22" s="48"/>
      <c r="F22" s="40"/>
      <c r="G22" s="40"/>
      <c r="H22" s="40" t="s">
        <v>481</v>
      </c>
      <c r="I22" s="40" t="s">
        <v>481</v>
      </c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1"/>
      <c r="U22" s="3"/>
      <c r="V22" s="3"/>
    </row>
    <row r="23" ht="14" customHeight="1" spans="1:22">
      <c r="A23" s="47"/>
      <c r="B23" s="39" t="s">
        <v>768</v>
      </c>
      <c r="C23" s="39"/>
      <c r="D23" s="39"/>
      <c r="E23" s="48"/>
      <c r="F23" s="40"/>
      <c r="G23" s="40"/>
      <c r="H23" s="40"/>
      <c r="I23" s="40"/>
      <c r="J23" s="40" t="s">
        <v>481</v>
      </c>
      <c r="K23" s="40"/>
      <c r="L23" s="40"/>
      <c r="M23" s="40"/>
      <c r="N23" s="40"/>
      <c r="O23" s="40"/>
      <c r="P23" s="40"/>
      <c r="Q23" s="40"/>
      <c r="R23" s="40"/>
      <c r="S23" s="40"/>
      <c r="T23" s="41"/>
      <c r="U23" s="3"/>
      <c r="V23" s="3"/>
    </row>
    <row r="24" ht="14" customHeight="1" spans="1:22">
      <c r="A24" s="47"/>
      <c r="B24" s="39" t="s">
        <v>769</v>
      </c>
      <c r="C24" s="39"/>
      <c r="D24" s="39"/>
      <c r="E24" s="48"/>
      <c r="F24" s="40"/>
      <c r="G24" s="40"/>
      <c r="H24" s="40"/>
      <c r="I24" s="40"/>
      <c r="J24" s="40"/>
      <c r="K24" s="40" t="s">
        <v>481</v>
      </c>
      <c r="L24" s="40"/>
      <c r="M24" s="40"/>
      <c r="N24" s="40"/>
      <c r="O24" s="40"/>
      <c r="P24" s="40"/>
      <c r="Q24" s="40"/>
      <c r="R24" s="40"/>
      <c r="S24" s="40"/>
      <c r="T24" s="41"/>
      <c r="U24" s="3"/>
      <c r="V24" s="3"/>
    </row>
    <row r="25" ht="14" customHeight="1" spans="1:22">
      <c r="A25" s="47"/>
      <c r="B25" s="39" t="s">
        <v>770</v>
      </c>
      <c r="C25" s="39"/>
      <c r="D25" s="39"/>
      <c r="E25" s="48"/>
      <c r="F25" s="40"/>
      <c r="G25" s="40"/>
      <c r="H25" s="40"/>
      <c r="I25" s="40"/>
      <c r="J25" s="40"/>
      <c r="K25" s="40"/>
      <c r="L25" s="40" t="s">
        <v>481</v>
      </c>
      <c r="M25" s="40"/>
      <c r="N25" s="40"/>
      <c r="O25" s="40"/>
      <c r="P25" s="40"/>
      <c r="Q25" s="40"/>
      <c r="R25" s="40"/>
      <c r="S25" s="40"/>
      <c r="T25" s="41"/>
      <c r="U25" s="3"/>
      <c r="V25" s="3"/>
    </row>
    <row r="26" ht="13.5" customHeight="1" spans="1:22">
      <c r="A26" s="42" t="s">
        <v>507</v>
      </c>
      <c r="B26" s="49" t="s">
        <v>508</v>
      </c>
      <c r="C26" s="49"/>
      <c r="D26" s="49"/>
      <c r="E26" s="50"/>
      <c r="F26" s="51" t="s">
        <v>450</v>
      </c>
      <c r="G26" s="51" t="s">
        <v>449</v>
      </c>
      <c r="H26" s="51" t="s">
        <v>66</v>
      </c>
      <c r="I26" s="51" t="s">
        <v>66</v>
      </c>
      <c r="J26" s="51" t="s">
        <v>449</v>
      </c>
      <c r="K26" s="51" t="s">
        <v>449</v>
      </c>
      <c r="L26" s="51" t="s">
        <v>66</v>
      </c>
      <c r="M26" s="51"/>
      <c r="N26" s="51"/>
      <c r="O26" s="51"/>
      <c r="P26" s="51"/>
      <c r="Q26" s="51"/>
      <c r="R26" s="51"/>
      <c r="S26" s="51"/>
      <c r="T26" s="52"/>
      <c r="U26" s="3"/>
      <c r="V26" s="3"/>
    </row>
    <row r="27" ht="13.5" customHeight="1" spans="1:22">
      <c r="A27" s="47"/>
      <c r="B27" s="53" t="s">
        <v>509</v>
      </c>
      <c r="C27" s="53"/>
      <c r="D27" s="53"/>
      <c r="E27" s="54"/>
      <c r="F27" s="55" t="s">
        <v>510</v>
      </c>
      <c r="G27" s="55" t="s">
        <v>510</v>
      </c>
      <c r="H27" s="55" t="s">
        <v>510</v>
      </c>
      <c r="I27" s="55" t="s">
        <v>510</v>
      </c>
      <c r="J27" s="55" t="s">
        <v>510</v>
      </c>
      <c r="K27" s="55" t="s">
        <v>510</v>
      </c>
      <c r="L27" s="55" t="s">
        <v>510</v>
      </c>
      <c r="M27" s="55"/>
      <c r="N27" s="55"/>
      <c r="O27" s="55"/>
      <c r="P27" s="55"/>
      <c r="Q27" s="55"/>
      <c r="R27" s="55"/>
      <c r="S27" s="55"/>
      <c r="T27" s="56"/>
      <c r="U27" s="3"/>
      <c r="V27" s="3"/>
    </row>
    <row r="28" ht="105" customHeight="1" spans="1:22">
      <c r="A28" s="47"/>
      <c r="B28" s="57" t="s">
        <v>511</v>
      </c>
      <c r="C28" s="57"/>
      <c r="D28" s="57"/>
      <c r="E28" s="58"/>
      <c r="F28" s="59" t="s">
        <v>53</v>
      </c>
      <c r="G28" s="59" t="s">
        <v>53</v>
      </c>
      <c r="H28" s="59" t="s">
        <v>53</v>
      </c>
      <c r="I28" s="59" t="s">
        <v>53</v>
      </c>
      <c r="J28" s="59" t="s">
        <v>53</v>
      </c>
      <c r="K28" s="59" t="s">
        <v>53</v>
      </c>
      <c r="L28" s="59" t="s">
        <v>53</v>
      </c>
      <c r="M28" s="59"/>
      <c r="N28" s="59"/>
      <c r="O28" s="59"/>
      <c r="P28" s="59"/>
      <c r="Q28" s="59"/>
      <c r="R28" s="59"/>
      <c r="S28" s="59"/>
      <c r="T28" s="60"/>
      <c r="U28" s="3"/>
      <c r="V28" s="3"/>
    </row>
    <row r="29" ht="20" customHeight="1" spans="1:22">
      <c r="A29" s="61"/>
      <c r="B29" s="62" t="s">
        <v>512</v>
      </c>
      <c r="C29" s="62"/>
      <c r="D29" s="62"/>
      <c r="E29" s="63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5"/>
      <c r="U29" s="3"/>
      <c r="V29" s="3"/>
    </row>
    <row r="30" ht="13.8"/>
  </sheetData>
  <mergeCells count="40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</mergeCells>
  <dataValidations count="2">
    <dataValidation type="list" allowBlank="1" sqref="F26:L26">
      <formula1>"N,A,B"</formula1>
    </dataValidation>
    <dataValidation type="list" allowBlank="1" sqref="F27:L27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1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Functions!E28</f>
        <v>FE-SUB-01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Functions!D28</f>
        <v>createSubscriptionPaymentHubConnection / useSubscriptionRealtime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461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59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-0.0999999999999996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206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COUNTIF(F28:T28,"P")</f>
        <v>6</v>
      </c>
      <c r="B7" s="20"/>
      <c r="C7" s="21">
        <f>COUNTIF(F28:T28,"F")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COUNTIF(F27:T27,"N")</f>
        <v>3</v>
      </c>
      <c r="M7" s="21">
        <f>COUNTIF(F27:T27,"A")</f>
        <v>2</v>
      </c>
      <c r="N7" s="21">
        <f>COUNTIF(F27:T27,"B")</f>
        <v>1</v>
      </c>
      <c r="O7" s="21">
        <f>COUNTA(F9:T9)</f>
        <v>6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771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4" customHeight="1" spans="1:22">
      <c r="A12" s="38"/>
      <c r="B12" s="39" t="s">
        <v>772</v>
      </c>
      <c r="C12" s="39"/>
      <c r="D12" s="39"/>
      <c r="E12" s="35"/>
      <c r="F12" s="40" t="s">
        <v>481</v>
      </c>
      <c r="G12" s="40" t="s">
        <v>481</v>
      </c>
      <c r="H12" s="40" t="s">
        <v>481</v>
      </c>
      <c r="I12" s="40" t="s">
        <v>481</v>
      </c>
      <c r="J12" s="40" t="s">
        <v>481</v>
      </c>
      <c r="K12" s="40" t="s">
        <v>481</v>
      </c>
      <c r="L12" s="40"/>
      <c r="M12" s="40"/>
      <c r="N12" s="40"/>
      <c r="O12" s="40"/>
      <c r="P12" s="40"/>
      <c r="Q12" s="40"/>
      <c r="R12" s="40"/>
      <c r="S12" s="40"/>
      <c r="T12" s="41"/>
      <c r="U12" s="3"/>
      <c r="V12" s="9"/>
    </row>
    <row r="13" ht="13.5" customHeight="1" spans="1:22">
      <c r="A13" s="31"/>
      <c r="B13" s="32" t="s">
        <v>483</v>
      </c>
      <c r="C13" s="33"/>
      <c r="D13" s="34"/>
      <c r="E13" s="35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7"/>
      <c r="U13" s="3"/>
      <c r="V13" s="3"/>
    </row>
    <row r="14" ht="14" customHeight="1" spans="1:22">
      <c r="A14" s="38"/>
      <c r="B14" s="39" t="s">
        <v>773</v>
      </c>
      <c r="C14" s="39"/>
      <c r="D14" s="39"/>
      <c r="E14" s="35"/>
      <c r="F14" s="40" t="s">
        <v>481</v>
      </c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774</v>
      </c>
      <c r="C15" s="39"/>
      <c r="D15" s="39"/>
      <c r="E15" s="35"/>
      <c r="F15" s="40"/>
      <c r="G15" s="40" t="s">
        <v>481</v>
      </c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775</v>
      </c>
      <c r="C16" s="39"/>
      <c r="D16" s="39"/>
      <c r="E16" s="35"/>
      <c r="F16" s="40"/>
      <c r="G16" s="40"/>
      <c r="H16" s="40" t="s">
        <v>481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776</v>
      </c>
      <c r="C17" s="39"/>
      <c r="D17" s="39"/>
      <c r="E17" s="35"/>
      <c r="F17" s="40"/>
      <c r="G17" s="40"/>
      <c r="H17" s="40"/>
      <c r="I17" s="40" t="s">
        <v>481</v>
      </c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777</v>
      </c>
      <c r="C18" s="39"/>
      <c r="D18" s="39"/>
      <c r="E18" s="35"/>
      <c r="F18" s="40"/>
      <c r="G18" s="40"/>
      <c r="H18" s="40"/>
      <c r="I18" s="40"/>
      <c r="J18" s="40" t="s">
        <v>481</v>
      </c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778</v>
      </c>
      <c r="C19" s="39"/>
      <c r="D19" s="39"/>
      <c r="E19" s="35"/>
      <c r="F19" s="40"/>
      <c r="G19" s="40"/>
      <c r="H19" s="40"/>
      <c r="I19" s="40"/>
      <c r="J19" s="40"/>
      <c r="K19" s="40" t="s">
        <v>481</v>
      </c>
      <c r="L19" s="40"/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3.5" customHeight="1" spans="1:22">
      <c r="A20" s="42" t="s">
        <v>494</v>
      </c>
      <c r="B20" s="43" t="s">
        <v>495</v>
      </c>
      <c r="C20" s="44"/>
      <c r="D20" s="45"/>
      <c r="E20" s="4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7"/>
      <c r="U20" s="3"/>
      <c r="V20" s="3"/>
    </row>
    <row r="21" ht="14" customHeight="1" spans="1:22">
      <c r="A21" s="47"/>
      <c r="B21" s="39" t="s">
        <v>779</v>
      </c>
      <c r="C21" s="39"/>
      <c r="D21" s="39"/>
      <c r="E21" s="48"/>
      <c r="F21" s="40" t="s">
        <v>481</v>
      </c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1"/>
      <c r="U21" s="3"/>
      <c r="V21" s="3"/>
    </row>
    <row r="22" ht="14" customHeight="1" spans="1:22">
      <c r="A22" s="47"/>
      <c r="B22" s="39" t="s">
        <v>780</v>
      </c>
      <c r="C22" s="39"/>
      <c r="D22" s="39"/>
      <c r="E22" s="48"/>
      <c r="F22" s="40"/>
      <c r="G22" s="40" t="s">
        <v>481</v>
      </c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1"/>
      <c r="U22" s="3"/>
      <c r="V22" s="3"/>
    </row>
    <row r="23" ht="14" customHeight="1" spans="1:22">
      <c r="A23" s="47"/>
      <c r="B23" s="39" t="s">
        <v>781</v>
      </c>
      <c r="C23" s="39"/>
      <c r="D23" s="39"/>
      <c r="E23" s="48"/>
      <c r="F23" s="40"/>
      <c r="G23" s="40"/>
      <c r="H23" s="40" t="s">
        <v>481</v>
      </c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1"/>
      <c r="U23" s="3"/>
      <c r="V23" s="3"/>
    </row>
    <row r="24" ht="14" customHeight="1" spans="1:22">
      <c r="A24" s="47"/>
      <c r="B24" s="39" t="s">
        <v>782</v>
      </c>
      <c r="C24" s="39"/>
      <c r="D24" s="39"/>
      <c r="E24" s="48"/>
      <c r="F24" s="40"/>
      <c r="G24" s="40"/>
      <c r="H24" s="40"/>
      <c r="I24" s="40" t="s">
        <v>481</v>
      </c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1"/>
      <c r="U24" s="3"/>
      <c r="V24" s="3"/>
    </row>
    <row r="25" ht="14" customHeight="1" spans="1:22">
      <c r="A25" s="47"/>
      <c r="B25" s="39" t="s">
        <v>783</v>
      </c>
      <c r="C25" s="39"/>
      <c r="D25" s="39"/>
      <c r="E25" s="48"/>
      <c r="F25" s="40"/>
      <c r="G25" s="40"/>
      <c r="H25" s="40"/>
      <c r="I25" s="40"/>
      <c r="J25" s="40" t="s">
        <v>481</v>
      </c>
      <c r="K25" s="40"/>
      <c r="L25" s="40"/>
      <c r="M25" s="40"/>
      <c r="N25" s="40"/>
      <c r="O25" s="40"/>
      <c r="P25" s="40"/>
      <c r="Q25" s="40"/>
      <c r="R25" s="40"/>
      <c r="S25" s="40"/>
      <c r="T25" s="41"/>
      <c r="U25" s="3"/>
      <c r="V25" s="3"/>
    </row>
    <row r="26" ht="14" customHeight="1" spans="1:22">
      <c r="A26" s="47"/>
      <c r="B26" s="39" t="s">
        <v>784</v>
      </c>
      <c r="C26" s="39"/>
      <c r="D26" s="39"/>
      <c r="E26" s="48"/>
      <c r="F26" s="40"/>
      <c r="G26" s="40"/>
      <c r="H26" s="40"/>
      <c r="I26" s="40"/>
      <c r="J26" s="40"/>
      <c r="K26" s="40" t="s">
        <v>481</v>
      </c>
      <c r="L26" s="40"/>
      <c r="M26" s="40"/>
      <c r="N26" s="40"/>
      <c r="O26" s="40"/>
      <c r="P26" s="40"/>
      <c r="Q26" s="40"/>
      <c r="R26" s="40"/>
      <c r="S26" s="40"/>
      <c r="T26" s="41"/>
      <c r="U26" s="3"/>
      <c r="V26" s="3"/>
    </row>
    <row r="27" ht="13.5" customHeight="1" spans="1:22">
      <c r="A27" s="42" t="s">
        <v>507</v>
      </c>
      <c r="B27" s="49" t="s">
        <v>508</v>
      </c>
      <c r="C27" s="49"/>
      <c r="D27" s="49"/>
      <c r="E27" s="50"/>
      <c r="F27" s="51" t="s">
        <v>66</v>
      </c>
      <c r="G27" s="51" t="s">
        <v>66</v>
      </c>
      <c r="H27" s="51" t="s">
        <v>449</v>
      </c>
      <c r="I27" s="51" t="s">
        <v>450</v>
      </c>
      <c r="J27" s="51" t="s">
        <v>449</v>
      </c>
      <c r="K27" s="51" t="s">
        <v>449</v>
      </c>
      <c r="L27" s="51"/>
      <c r="M27" s="51"/>
      <c r="N27" s="51"/>
      <c r="O27" s="51"/>
      <c r="P27" s="51"/>
      <c r="Q27" s="51"/>
      <c r="R27" s="51"/>
      <c r="S27" s="51"/>
      <c r="T27" s="52"/>
      <c r="U27" s="3"/>
      <c r="V27" s="3"/>
    </row>
    <row r="28" ht="13.5" customHeight="1" spans="1:22">
      <c r="A28" s="47"/>
      <c r="B28" s="53" t="s">
        <v>509</v>
      </c>
      <c r="C28" s="53"/>
      <c r="D28" s="53"/>
      <c r="E28" s="54"/>
      <c r="F28" s="55" t="s">
        <v>510</v>
      </c>
      <c r="G28" s="55" t="s">
        <v>510</v>
      </c>
      <c r="H28" s="55" t="s">
        <v>510</v>
      </c>
      <c r="I28" s="55" t="s">
        <v>510</v>
      </c>
      <c r="J28" s="55" t="s">
        <v>510</v>
      </c>
      <c r="K28" s="55" t="s">
        <v>510</v>
      </c>
      <c r="L28" s="55"/>
      <c r="M28" s="55"/>
      <c r="N28" s="55"/>
      <c r="O28" s="55"/>
      <c r="P28" s="55"/>
      <c r="Q28" s="55"/>
      <c r="R28" s="55"/>
      <c r="S28" s="55"/>
      <c r="T28" s="56"/>
      <c r="U28" s="3"/>
      <c r="V28" s="3"/>
    </row>
    <row r="29" ht="105" customHeight="1" spans="1:22">
      <c r="A29" s="47"/>
      <c r="B29" s="57" t="s">
        <v>511</v>
      </c>
      <c r="C29" s="57"/>
      <c r="D29" s="57"/>
      <c r="E29" s="58"/>
      <c r="F29" s="59" t="s">
        <v>53</v>
      </c>
      <c r="G29" s="59" t="s">
        <v>53</v>
      </c>
      <c r="H29" s="59" t="s">
        <v>53</v>
      </c>
      <c r="I29" s="59" t="s">
        <v>53</v>
      </c>
      <c r="J29" s="59" t="s">
        <v>53</v>
      </c>
      <c r="K29" s="59" t="s">
        <v>53</v>
      </c>
      <c r="L29" s="59"/>
      <c r="M29" s="59"/>
      <c r="N29" s="59"/>
      <c r="O29" s="59"/>
      <c r="P29" s="59"/>
      <c r="Q29" s="59"/>
      <c r="R29" s="59"/>
      <c r="S29" s="59"/>
      <c r="T29" s="60"/>
      <c r="U29" s="3"/>
      <c r="V29" s="3"/>
    </row>
    <row r="30" ht="20" customHeight="1" spans="1:22">
      <c r="A30" s="61"/>
      <c r="B30" s="62" t="s">
        <v>512</v>
      </c>
      <c r="C30" s="62"/>
      <c r="D30" s="62"/>
      <c r="E30" s="63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5"/>
      <c r="U30" s="3"/>
      <c r="V30" s="3"/>
    </row>
    <row r="31" ht="13.8"/>
  </sheetData>
  <mergeCells count="41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2:D12"/>
    <mergeCell ref="B14:D14"/>
    <mergeCell ref="B15:D15"/>
    <mergeCell ref="B16:D16"/>
    <mergeCell ref="B17:D17"/>
    <mergeCell ref="B18:D18"/>
    <mergeCell ref="B19:D19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</mergeCells>
  <dataValidations count="2">
    <dataValidation type="list" allowBlank="1" sqref="F27:K27">
      <formula1>"N,A,B"</formula1>
    </dataValidation>
    <dataValidation type="list" allowBlank="1" sqref="F28:K28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6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Functions!E29</f>
        <v>FE-SUB-02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Functions!D29</f>
        <v>CandidateSubscriptionProvider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461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36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-0.4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212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COUNTIF(F23:T23,"P")</f>
        <v>4</v>
      </c>
      <c r="B7" s="20"/>
      <c r="C7" s="21">
        <f>COUNTIF(F23:T23,"F")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COUNTIF(F22:T22,"N")</f>
        <v>2</v>
      </c>
      <c r="M7" s="21">
        <f>COUNTIF(F22:T22,"A")</f>
        <v>1</v>
      </c>
      <c r="N7" s="21">
        <f>COUNTIF(F22:T22,"B")</f>
        <v>1</v>
      </c>
      <c r="O7" s="21">
        <f>COUNTA(F9:T9)</f>
        <v>4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213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785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786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787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788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3.5" customHeight="1" spans="1:22">
      <c r="A17" s="42" t="s">
        <v>494</v>
      </c>
      <c r="B17" s="43" t="s">
        <v>495</v>
      </c>
      <c r="C17" s="44"/>
      <c r="D17" s="45"/>
      <c r="E17" s="4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7"/>
      <c r="U17" s="3"/>
      <c r="V17" s="3"/>
    </row>
    <row r="18" ht="14" customHeight="1" spans="1:22">
      <c r="A18" s="47"/>
      <c r="B18" s="39" t="s">
        <v>789</v>
      </c>
      <c r="C18" s="39"/>
      <c r="D18" s="39"/>
      <c r="E18" s="48"/>
      <c r="F18" s="40" t="s">
        <v>481</v>
      </c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3"/>
    </row>
    <row r="19" ht="14" customHeight="1" spans="1:22">
      <c r="A19" s="47"/>
      <c r="B19" s="39" t="s">
        <v>790</v>
      </c>
      <c r="C19" s="39"/>
      <c r="D19" s="39"/>
      <c r="E19" s="48"/>
      <c r="F19" s="40"/>
      <c r="G19" s="40" t="s">
        <v>481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1"/>
      <c r="U19" s="3"/>
      <c r="V19" s="3"/>
    </row>
    <row r="20" ht="14" customHeight="1" spans="1:22">
      <c r="A20" s="47"/>
      <c r="B20" s="39" t="s">
        <v>791</v>
      </c>
      <c r="C20" s="39"/>
      <c r="D20" s="39"/>
      <c r="E20" s="48"/>
      <c r="F20" s="40"/>
      <c r="G20" s="40"/>
      <c r="H20" s="40" t="s">
        <v>481</v>
      </c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1"/>
      <c r="U20" s="3"/>
      <c r="V20" s="3"/>
    </row>
    <row r="21" ht="14" customHeight="1" spans="1:22">
      <c r="A21" s="47"/>
      <c r="B21" s="39" t="s">
        <v>792</v>
      </c>
      <c r="C21" s="39"/>
      <c r="D21" s="39"/>
      <c r="E21" s="48"/>
      <c r="F21" s="40"/>
      <c r="G21" s="40"/>
      <c r="H21" s="40"/>
      <c r="I21" s="40" t="s">
        <v>481</v>
      </c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1"/>
      <c r="U21" s="3"/>
      <c r="V21" s="3"/>
    </row>
    <row r="22" ht="13.5" customHeight="1" spans="1:22">
      <c r="A22" s="42" t="s">
        <v>507</v>
      </c>
      <c r="B22" s="49" t="s">
        <v>508</v>
      </c>
      <c r="C22" s="49"/>
      <c r="D22" s="49"/>
      <c r="E22" s="50"/>
      <c r="F22" s="51" t="s">
        <v>66</v>
      </c>
      <c r="G22" s="51" t="s">
        <v>449</v>
      </c>
      <c r="H22" s="51" t="s">
        <v>449</v>
      </c>
      <c r="I22" s="51" t="s">
        <v>450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2"/>
      <c r="U22" s="3"/>
      <c r="V22" s="3"/>
    </row>
    <row r="23" ht="13.5" customHeight="1" spans="1:22">
      <c r="A23" s="47"/>
      <c r="B23" s="53" t="s">
        <v>509</v>
      </c>
      <c r="C23" s="53"/>
      <c r="D23" s="53"/>
      <c r="E23" s="54"/>
      <c r="F23" s="55" t="s">
        <v>510</v>
      </c>
      <c r="G23" s="55" t="s">
        <v>510</v>
      </c>
      <c r="H23" s="55" t="s">
        <v>510</v>
      </c>
      <c r="I23" s="55" t="s">
        <v>510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6"/>
      <c r="U23" s="3"/>
      <c r="V23" s="3"/>
    </row>
    <row r="24" ht="105" customHeight="1" spans="1:22">
      <c r="A24" s="47"/>
      <c r="B24" s="57" t="s">
        <v>511</v>
      </c>
      <c r="C24" s="57"/>
      <c r="D24" s="57"/>
      <c r="E24" s="58"/>
      <c r="F24" s="59" t="s">
        <v>53</v>
      </c>
      <c r="G24" s="59" t="s">
        <v>53</v>
      </c>
      <c r="H24" s="59" t="s">
        <v>53</v>
      </c>
      <c r="I24" s="59" t="s">
        <v>53</v>
      </c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60"/>
      <c r="U24" s="3"/>
      <c r="V24" s="3"/>
    </row>
    <row r="25" ht="20" customHeight="1" spans="1:22">
      <c r="A25" s="61"/>
      <c r="B25" s="62" t="s">
        <v>512</v>
      </c>
      <c r="C25" s="62"/>
      <c r="D25" s="62"/>
      <c r="E25" s="63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5"/>
      <c r="U25" s="3"/>
      <c r="V25" s="3"/>
    </row>
    <row r="26" ht="13.8"/>
  </sheetData>
  <mergeCells count="36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8:D18"/>
    <mergeCell ref="B19:D19"/>
    <mergeCell ref="B20:D20"/>
    <mergeCell ref="B21:D21"/>
    <mergeCell ref="B22:D22"/>
    <mergeCell ref="B23:D23"/>
    <mergeCell ref="B24:D24"/>
    <mergeCell ref="B25:D25"/>
  </mergeCells>
  <dataValidations count="2">
    <dataValidation type="list" allowBlank="1" sqref="F22:I22">
      <formula1>"N,A,B"</formula1>
    </dataValidation>
    <dataValidation type="list" allowBlank="1" sqref="F23:I23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Functions!E30</f>
        <v>BE-CAN-01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Functions!D30</f>
        <v>BuildSyntheticJd / DiagnosticHrNote / BuildCvContext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793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34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0.4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219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COUNTIF(F21:T21,"P")</f>
        <v>3</v>
      </c>
      <c r="B7" s="20"/>
      <c r="C7" s="21">
        <f>COUNTIF(F21:T21,"F")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COUNTIF(F20:T20,"N")</f>
        <v>3</v>
      </c>
      <c r="M7" s="21">
        <f>COUNTIF(F20:T20,"A")</f>
        <v>0</v>
      </c>
      <c r="N7" s="21">
        <f>COUNTIF(F20:T20,"B")</f>
        <v>0</v>
      </c>
      <c r="O7" s="21">
        <f>COUNTA(F9:T9)</f>
        <v>3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220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794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795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796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3.5" customHeight="1" spans="1:22">
      <c r="A16" s="42" t="s">
        <v>494</v>
      </c>
      <c r="B16" s="43" t="s">
        <v>495</v>
      </c>
      <c r="C16" s="44"/>
      <c r="D16" s="45"/>
      <c r="E16" s="4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7"/>
      <c r="U16" s="3"/>
      <c r="V16" s="3"/>
    </row>
    <row r="17" ht="14" customHeight="1" spans="1:22">
      <c r="A17" s="47"/>
      <c r="B17" s="39" t="s">
        <v>797</v>
      </c>
      <c r="C17" s="39"/>
      <c r="D17" s="39"/>
      <c r="E17" s="48"/>
      <c r="F17" s="40" t="s">
        <v>481</v>
      </c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3"/>
    </row>
    <row r="18" ht="14" customHeight="1" spans="1:22">
      <c r="A18" s="47"/>
      <c r="B18" s="39" t="s">
        <v>798</v>
      </c>
      <c r="C18" s="39"/>
      <c r="D18" s="39"/>
      <c r="E18" s="48"/>
      <c r="F18" s="40"/>
      <c r="G18" s="40" t="s">
        <v>481</v>
      </c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3"/>
    </row>
    <row r="19" ht="14" customHeight="1" spans="1:22">
      <c r="A19" s="47"/>
      <c r="B19" s="39" t="s">
        <v>799</v>
      </c>
      <c r="C19" s="39"/>
      <c r="D19" s="39"/>
      <c r="E19" s="48"/>
      <c r="F19" s="40"/>
      <c r="G19" s="40"/>
      <c r="H19" s="40" t="s">
        <v>481</v>
      </c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1"/>
      <c r="U19" s="3"/>
      <c r="V19" s="3"/>
    </row>
    <row r="20" ht="13.5" customHeight="1" spans="1:22">
      <c r="A20" s="42" t="s">
        <v>507</v>
      </c>
      <c r="B20" s="49" t="s">
        <v>508</v>
      </c>
      <c r="C20" s="49"/>
      <c r="D20" s="49"/>
      <c r="E20" s="50"/>
      <c r="F20" s="51" t="s">
        <v>449</v>
      </c>
      <c r="G20" s="51" t="s">
        <v>449</v>
      </c>
      <c r="H20" s="51" t="s">
        <v>449</v>
      </c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2"/>
      <c r="U20" s="3"/>
      <c r="V20" s="3"/>
    </row>
    <row r="21" ht="13.5" customHeight="1" spans="1:22">
      <c r="A21" s="47"/>
      <c r="B21" s="53" t="s">
        <v>509</v>
      </c>
      <c r="C21" s="53"/>
      <c r="D21" s="53"/>
      <c r="E21" s="54"/>
      <c r="F21" s="55" t="s">
        <v>510</v>
      </c>
      <c r="G21" s="55" t="s">
        <v>510</v>
      </c>
      <c r="H21" s="55" t="s">
        <v>510</v>
      </c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6"/>
      <c r="U21" s="3"/>
      <c r="V21" s="3"/>
    </row>
    <row r="22" ht="105" customHeight="1" spans="1:22">
      <c r="A22" s="47"/>
      <c r="B22" s="57" t="s">
        <v>511</v>
      </c>
      <c r="C22" s="57"/>
      <c r="D22" s="57"/>
      <c r="E22" s="58"/>
      <c r="F22" s="59" t="s">
        <v>53</v>
      </c>
      <c r="G22" s="59" t="s">
        <v>53</v>
      </c>
      <c r="H22" s="59" t="s">
        <v>53</v>
      </c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60"/>
      <c r="U22" s="3"/>
      <c r="V22" s="3"/>
    </row>
    <row r="23" ht="20" customHeight="1" spans="1:22">
      <c r="A23" s="61"/>
      <c r="B23" s="62" t="s">
        <v>512</v>
      </c>
      <c r="C23" s="62"/>
      <c r="D23" s="62"/>
      <c r="E23" s="63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5"/>
      <c r="U23" s="3"/>
      <c r="V23" s="3"/>
    </row>
    <row r="24" ht="13.8"/>
  </sheetData>
  <mergeCells count="34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7:D17"/>
    <mergeCell ref="B18:D18"/>
    <mergeCell ref="B19:D19"/>
    <mergeCell ref="B20:D20"/>
    <mergeCell ref="B21:D21"/>
    <mergeCell ref="B22:D22"/>
    <mergeCell ref="B23:D23"/>
  </mergeCells>
  <dataValidations count="2">
    <dataValidation type="list" allowBlank="1" sqref="F20:H20">
      <formula1>"N,A,B"</formula1>
    </dataValidation>
    <dataValidation type="list" allowBlank="1" sqref="F21:H21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Functions!E31</f>
        <v>BE-CAN-02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Functions!D31</f>
        <v>ResolveStatus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793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8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-0.2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225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COUNTIF(F17:T17,"P")</f>
        <v>1</v>
      </c>
      <c r="B7" s="20"/>
      <c r="C7" s="21">
        <f>COUNTIF(F17:T17,"F")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COUNTIF(F16:T16,"N")</f>
        <v>0</v>
      </c>
      <c r="M7" s="21">
        <f>COUNTIF(F16:T16,"A")</f>
        <v>0</v>
      </c>
      <c r="N7" s="21">
        <f>COUNTIF(F16:T16,"B")</f>
        <v>1</v>
      </c>
      <c r="O7" s="21">
        <f>COUNTA(F9:T9)</f>
        <v>1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226</v>
      </c>
      <c r="C11" s="39"/>
      <c r="D11" s="39"/>
      <c r="E11" s="35"/>
      <c r="F11" s="40" t="s">
        <v>481</v>
      </c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800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3.5" customHeight="1" spans="1:22">
      <c r="A14" s="42" t="s">
        <v>494</v>
      </c>
      <c r="B14" s="43" t="s">
        <v>495</v>
      </c>
      <c r="C14" s="44"/>
      <c r="D14" s="45"/>
      <c r="E14" s="4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3"/>
      <c r="V14" s="3"/>
    </row>
    <row r="15" ht="14" customHeight="1" spans="1:22">
      <c r="A15" s="47"/>
      <c r="B15" s="39" t="s">
        <v>801</v>
      </c>
      <c r="C15" s="39"/>
      <c r="D15" s="39"/>
      <c r="E15" s="48"/>
      <c r="F15" s="40" t="s">
        <v>481</v>
      </c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3"/>
    </row>
    <row r="16" ht="13.5" customHeight="1" spans="1:22">
      <c r="A16" s="42" t="s">
        <v>507</v>
      </c>
      <c r="B16" s="49" t="s">
        <v>508</v>
      </c>
      <c r="C16" s="49"/>
      <c r="D16" s="49"/>
      <c r="E16" s="50"/>
      <c r="F16" s="51" t="s">
        <v>450</v>
      </c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2"/>
      <c r="U16" s="3"/>
      <c r="V16" s="3"/>
    </row>
    <row r="17" ht="13.5" customHeight="1" spans="1:22">
      <c r="A17" s="47"/>
      <c r="B17" s="53" t="s">
        <v>509</v>
      </c>
      <c r="C17" s="53"/>
      <c r="D17" s="53"/>
      <c r="E17" s="54"/>
      <c r="F17" s="55" t="s">
        <v>510</v>
      </c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6"/>
      <c r="U17" s="3"/>
      <c r="V17" s="3"/>
    </row>
    <row r="18" ht="105" customHeight="1" spans="1:22">
      <c r="A18" s="47"/>
      <c r="B18" s="57" t="s">
        <v>511</v>
      </c>
      <c r="C18" s="57"/>
      <c r="D18" s="57"/>
      <c r="E18" s="58"/>
      <c r="F18" s="59" t="s">
        <v>53</v>
      </c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60"/>
      <c r="U18" s="3"/>
      <c r="V18" s="3"/>
    </row>
    <row r="19" ht="20" customHeight="1" spans="1:22">
      <c r="A19" s="61"/>
      <c r="B19" s="62" t="s">
        <v>512</v>
      </c>
      <c r="C19" s="62"/>
      <c r="D19" s="62"/>
      <c r="E19" s="63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5"/>
      <c r="U19" s="3"/>
      <c r="V19" s="3"/>
    </row>
    <row r="20" ht="13.8"/>
  </sheetData>
  <mergeCells count="30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5:D15"/>
    <mergeCell ref="B16:D16"/>
    <mergeCell ref="B17:D17"/>
    <mergeCell ref="B18:D18"/>
    <mergeCell ref="B19:D19"/>
  </mergeCells>
  <dataValidations count="2">
    <dataValidation type="list" allowBlank="1" sqref="F16">
      <formula1>"N,A,B"</formula1>
    </dataValidation>
    <dataValidation type="list" allowBlank="1" sqref="F17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Functions!E32</f>
        <v>BE-CAN-03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Functions!D32</f>
        <v>Compute / UnionCvSkills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802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64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3.4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231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COUNTIF(F21:T21,"P")</f>
        <v>3</v>
      </c>
      <c r="B7" s="20"/>
      <c r="C7" s="21">
        <f>COUNTIF(F21:T21,"F")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COUNTIF(F20:T20,"N")</f>
        <v>2</v>
      </c>
      <c r="M7" s="21">
        <f>COUNTIF(F20:T20,"A")</f>
        <v>0</v>
      </c>
      <c r="N7" s="21">
        <f>COUNTIF(F20:T20,"B")</f>
        <v>1</v>
      </c>
      <c r="O7" s="21">
        <f>COUNTA(F9:T9)</f>
        <v>3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232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803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804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805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3.5" customHeight="1" spans="1:22">
      <c r="A16" s="42" t="s">
        <v>494</v>
      </c>
      <c r="B16" s="43" t="s">
        <v>495</v>
      </c>
      <c r="C16" s="44"/>
      <c r="D16" s="45"/>
      <c r="E16" s="4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7"/>
      <c r="U16" s="3"/>
      <c r="V16" s="3"/>
    </row>
    <row r="17" ht="14" customHeight="1" spans="1:22">
      <c r="A17" s="47"/>
      <c r="B17" s="39" t="s">
        <v>806</v>
      </c>
      <c r="C17" s="39"/>
      <c r="D17" s="39"/>
      <c r="E17" s="48"/>
      <c r="F17" s="40" t="s">
        <v>481</v>
      </c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3"/>
    </row>
    <row r="18" ht="14" customHeight="1" spans="1:22">
      <c r="A18" s="47"/>
      <c r="B18" s="39" t="s">
        <v>807</v>
      </c>
      <c r="C18" s="39"/>
      <c r="D18" s="39"/>
      <c r="E18" s="48"/>
      <c r="F18" s="40"/>
      <c r="G18" s="40" t="s">
        <v>481</v>
      </c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3"/>
    </row>
    <row r="19" ht="14" customHeight="1" spans="1:22">
      <c r="A19" s="47"/>
      <c r="B19" s="39" t="s">
        <v>808</v>
      </c>
      <c r="C19" s="39"/>
      <c r="D19" s="39"/>
      <c r="E19" s="48"/>
      <c r="F19" s="40"/>
      <c r="G19" s="40"/>
      <c r="H19" s="40" t="s">
        <v>481</v>
      </c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1"/>
      <c r="U19" s="3"/>
      <c r="V19" s="3"/>
    </row>
    <row r="20" ht="13.5" customHeight="1" spans="1:22">
      <c r="A20" s="42" t="s">
        <v>507</v>
      </c>
      <c r="B20" s="49" t="s">
        <v>508</v>
      </c>
      <c r="C20" s="49"/>
      <c r="D20" s="49"/>
      <c r="E20" s="50"/>
      <c r="F20" s="51" t="s">
        <v>449</v>
      </c>
      <c r="G20" s="51" t="s">
        <v>450</v>
      </c>
      <c r="H20" s="51" t="s">
        <v>449</v>
      </c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2"/>
      <c r="U20" s="3"/>
      <c r="V20" s="3"/>
    </row>
    <row r="21" ht="13.5" customHeight="1" spans="1:22">
      <c r="A21" s="47"/>
      <c r="B21" s="53" t="s">
        <v>509</v>
      </c>
      <c r="C21" s="53"/>
      <c r="D21" s="53"/>
      <c r="E21" s="54"/>
      <c r="F21" s="55" t="s">
        <v>510</v>
      </c>
      <c r="G21" s="55" t="s">
        <v>510</v>
      </c>
      <c r="H21" s="55" t="s">
        <v>510</v>
      </c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6"/>
      <c r="U21" s="3"/>
      <c r="V21" s="3"/>
    </row>
    <row r="22" ht="105" customHeight="1" spans="1:22">
      <c r="A22" s="47"/>
      <c r="B22" s="57" t="s">
        <v>511</v>
      </c>
      <c r="C22" s="57"/>
      <c r="D22" s="57"/>
      <c r="E22" s="58"/>
      <c r="F22" s="59" t="s">
        <v>53</v>
      </c>
      <c r="G22" s="59" t="s">
        <v>53</v>
      </c>
      <c r="H22" s="59" t="s">
        <v>53</v>
      </c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60"/>
      <c r="U22" s="3"/>
      <c r="V22" s="3"/>
    </row>
    <row r="23" ht="20" customHeight="1" spans="1:22">
      <c r="A23" s="61"/>
      <c r="B23" s="62" t="s">
        <v>512</v>
      </c>
      <c r="C23" s="62"/>
      <c r="D23" s="62"/>
      <c r="E23" s="63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5"/>
      <c r="U23" s="3"/>
      <c r="V23" s="3"/>
    </row>
    <row r="24" ht="13.8"/>
  </sheetData>
  <mergeCells count="34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7:D17"/>
    <mergeCell ref="B18:D18"/>
    <mergeCell ref="B19:D19"/>
    <mergeCell ref="B20:D20"/>
    <mergeCell ref="B21:D21"/>
    <mergeCell ref="B22:D22"/>
    <mergeCell ref="B23:D23"/>
  </mergeCells>
  <dataValidations count="2">
    <dataValidation type="list" allowBlank="1" sqref="F20:H20">
      <formula1>"N,A,B"</formula1>
    </dataValidation>
    <dataValidation type="list" allowBlank="1" sqref="F21:H21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5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Functions!E33</f>
        <v>BE-GAM-01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Functions!D33</f>
        <v>IsUnlocked / Code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802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55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-3.5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238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COUNTIF(F32:T32,"P")</f>
        <v>9</v>
      </c>
      <c r="B7" s="20"/>
      <c r="C7" s="21">
        <f>COUNTIF(F32:T32,"F")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COUNTIF(F31:T31,"N")</f>
        <v>1</v>
      </c>
      <c r="M7" s="21">
        <f>COUNTIF(F31:T31,"A")</f>
        <v>0</v>
      </c>
      <c r="N7" s="21">
        <f>COUNTIF(F31:T31,"B")</f>
        <v>8</v>
      </c>
      <c r="O7" s="21">
        <f>COUNTA(F9:T9)</f>
        <v>9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 t="s">
        <v>474</v>
      </c>
      <c r="N9" s="28" t="s">
        <v>475</v>
      </c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239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 t="s">
        <v>481</v>
      </c>
      <c r="N11" s="40" t="s">
        <v>481</v>
      </c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809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810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811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812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813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814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815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4" customHeight="1" spans="1:22">
      <c r="A20" s="38"/>
      <c r="B20" s="39" t="s">
        <v>816</v>
      </c>
      <c r="C20" s="39"/>
      <c r="D20" s="39"/>
      <c r="E20" s="35"/>
      <c r="F20" s="40"/>
      <c r="G20" s="40"/>
      <c r="H20" s="40"/>
      <c r="I20" s="40"/>
      <c r="J20" s="40"/>
      <c r="K20" s="40"/>
      <c r="L20" s="40"/>
      <c r="M20" s="40" t="s">
        <v>481</v>
      </c>
      <c r="N20" s="40"/>
      <c r="O20" s="40"/>
      <c r="P20" s="40"/>
      <c r="Q20" s="40"/>
      <c r="R20" s="40"/>
      <c r="S20" s="40"/>
      <c r="T20" s="41"/>
      <c r="U20" s="3"/>
      <c r="V20" s="9"/>
    </row>
    <row r="21" ht="14" customHeight="1" spans="1:22">
      <c r="A21" s="38"/>
      <c r="B21" s="39" t="s">
        <v>817</v>
      </c>
      <c r="C21" s="39"/>
      <c r="D21" s="39"/>
      <c r="E21" s="35"/>
      <c r="F21" s="40"/>
      <c r="G21" s="40"/>
      <c r="H21" s="40"/>
      <c r="I21" s="40"/>
      <c r="J21" s="40"/>
      <c r="K21" s="40"/>
      <c r="L21" s="40"/>
      <c r="M21" s="40"/>
      <c r="N21" s="40" t="s">
        <v>481</v>
      </c>
      <c r="O21" s="40"/>
      <c r="P21" s="40"/>
      <c r="Q21" s="40"/>
      <c r="R21" s="40"/>
      <c r="S21" s="40"/>
      <c r="T21" s="41"/>
      <c r="U21" s="3"/>
      <c r="V21" s="9"/>
    </row>
    <row r="22" ht="13.5" customHeight="1" spans="1:22">
      <c r="A22" s="42" t="s">
        <v>494</v>
      </c>
      <c r="B22" s="43" t="s">
        <v>495</v>
      </c>
      <c r="C22" s="44"/>
      <c r="D22" s="45"/>
      <c r="E22" s="4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7"/>
      <c r="U22" s="3"/>
      <c r="V22" s="3"/>
    </row>
    <row r="23" ht="14" customHeight="1" spans="1:22">
      <c r="A23" s="47"/>
      <c r="B23" s="39" t="s">
        <v>818</v>
      </c>
      <c r="C23" s="39"/>
      <c r="D23" s="39"/>
      <c r="E23" s="48"/>
      <c r="F23" s="40" t="s">
        <v>481</v>
      </c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1"/>
      <c r="U23" s="3"/>
      <c r="V23" s="3"/>
    </row>
    <row r="24" ht="14" customHeight="1" spans="1:22">
      <c r="A24" s="47"/>
      <c r="B24" s="39" t="s">
        <v>819</v>
      </c>
      <c r="C24" s="39"/>
      <c r="D24" s="39"/>
      <c r="E24" s="48"/>
      <c r="F24" s="40"/>
      <c r="G24" s="40" t="s">
        <v>481</v>
      </c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1"/>
      <c r="U24" s="3"/>
      <c r="V24" s="3"/>
    </row>
    <row r="25" ht="14" customHeight="1" spans="1:22">
      <c r="A25" s="47"/>
      <c r="B25" s="39" t="s">
        <v>820</v>
      </c>
      <c r="C25" s="39"/>
      <c r="D25" s="39"/>
      <c r="E25" s="48"/>
      <c r="F25" s="40"/>
      <c r="G25" s="40"/>
      <c r="H25" s="40" t="s">
        <v>481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1"/>
      <c r="U25" s="3"/>
      <c r="V25" s="3"/>
    </row>
    <row r="26" ht="14" customHeight="1" spans="1:22">
      <c r="A26" s="47"/>
      <c r="B26" s="39" t="s">
        <v>821</v>
      </c>
      <c r="C26" s="39"/>
      <c r="D26" s="39"/>
      <c r="E26" s="48"/>
      <c r="F26" s="40"/>
      <c r="G26" s="40"/>
      <c r="H26" s="40"/>
      <c r="I26" s="40" t="s">
        <v>481</v>
      </c>
      <c r="J26" s="40"/>
      <c r="K26" s="40"/>
      <c r="L26" s="40"/>
      <c r="M26" s="40" t="s">
        <v>481</v>
      </c>
      <c r="N26" s="40"/>
      <c r="O26" s="40"/>
      <c r="P26" s="40"/>
      <c r="Q26" s="40"/>
      <c r="R26" s="40"/>
      <c r="S26" s="40"/>
      <c r="T26" s="41"/>
      <c r="U26" s="3"/>
      <c r="V26" s="3"/>
    </row>
    <row r="27" ht="14" customHeight="1" spans="1:22">
      <c r="A27" s="47"/>
      <c r="B27" s="39" t="s">
        <v>822</v>
      </c>
      <c r="C27" s="39"/>
      <c r="D27" s="39"/>
      <c r="E27" s="48"/>
      <c r="F27" s="40"/>
      <c r="G27" s="40"/>
      <c r="H27" s="40"/>
      <c r="I27" s="40"/>
      <c r="J27" s="40" t="s">
        <v>481</v>
      </c>
      <c r="K27" s="40"/>
      <c r="L27" s="40"/>
      <c r="M27" s="40"/>
      <c r="N27" s="40"/>
      <c r="O27" s="40"/>
      <c r="P27" s="40"/>
      <c r="Q27" s="40"/>
      <c r="R27" s="40"/>
      <c r="S27" s="40"/>
      <c r="T27" s="41"/>
      <c r="U27" s="3"/>
      <c r="V27" s="3"/>
    </row>
    <row r="28" ht="14" customHeight="1" spans="1:22">
      <c r="A28" s="47"/>
      <c r="B28" s="39" t="s">
        <v>823</v>
      </c>
      <c r="C28" s="39"/>
      <c r="D28" s="39"/>
      <c r="E28" s="48"/>
      <c r="F28" s="40"/>
      <c r="G28" s="40"/>
      <c r="H28" s="40"/>
      <c r="I28" s="40"/>
      <c r="J28" s="40"/>
      <c r="K28" s="40" t="s">
        <v>481</v>
      </c>
      <c r="L28" s="40"/>
      <c r="M28" s="40"/>
      <c r="N28" s="40"/>
      <c r="O28" s="40"/>
      <c r="P28" s="40"/>
      <c r="Q28" s="40"/>
      <c r="R28" s="40"/>
      <c r="S28" s="40"/>
      <c r="T28" s="41"/>
      <c r="U28" s="3"/>
      <c r="V28" s="3"/>
    </row>
    <row r="29" ht="14" customHeight="1" spans="1:22">
      <c r="A29" s="47"/>
      <c r="B29" s="39" t="s">
        <v>824</v>
      </c>
      <c r="C29" s="39"/>
      <c r="D29" s="39"/>
      <c r="E29" s="48"/>
      <c r="F29" s="40"/>
      <c r="G29" s="40"/>
      <c r="H29" s="40"/>
      <c r="I29" s="40"/>
      <c r="J29" s="40"/>
      <c r="K29" s="40"/>
      <c r="L29" s="40" t="s">
        <v>481</v>
      </c>
      <c r="M29" s="40"/>
      <c r="N29" s="40"/>
      <c r="O29" s="40"/>
      <c r="P29" s="40"/>
      <c r="Q29" s="40"/>
      <c r="R29" s="40"/>
      <c r="S29" s="40"/>
      <c r="T29" s="41"/>
      <c r="U29" s="3"/>
      <c r="V29" s="3"/>
    </row>
    <row r="30" ht="14" customHeight="1" spans="1:22">
      <c r="A30" s="47"/>
      <c r="B30" s="39" t="s">
        <v>825</v>
      </c>
      <c r="C30" s="39"/>
      <c r="D30" s="39"/>
      <c r="E30" s="48"/>
      <c r="F30" s="40"/>
      <c r="G30" s="40"/>
      <c r="H30" s="40"/>
      <c r="I30" s="40"/>
      <c r="J30" s="40"/>
      <c r="K30" s="40"/>
      <c r="L30" s="40"/>
      <c r="M30" s="40"/>
      <c r="N30" s="40" t="s">
        <v>481</v>
      </c>
      <c r="O30" s="40"/>
      <c r="P30" s="40"/>
      <c r="Q30" s="40"/>
      <c r="R30" s="40"/>
      <c r="S30" s="40"/>
      <c r="T30" s="41"/>
      <c r="U30" s="3"/>
      <c r="V30" s="3"/>
    </row>
    <row r="31" ht="13.5" customHeight="1" spans="1:22">
      <c r="A31" s="42" t="s">
        <v>507</v>
      </c>
      <c r="B31" s="49" t="s">
        <v>508</v>
      </c>
      <c r="C31" s="49"/>
      <c r="D31" s="49"/>
      <c r="E31" s="50"/>
      <c r="F31" s="51" t="s">
        <v>450</v>
      </c>
      <c r="G31" s="51" t="s">
        <v>450</v>
      </c>
      <c r="H31" s="51" t="s">
        <v>450</v>
      </c>
      <c r="I31" s="51" t="s">
        <v>450</v>
      </c>
      <c r="J31" s="51" t="s">
        <v>450</v>
      </c>
      <c r="K31" s="51" t="s">
        <v>450</v>
      </c>
      <c r="L31" s="51" t="s">
        <v>450</v>
      </c>
      <c r="M31" s="51" t="s">
        <v>450</v>
      </c>
      <c r="N31" s="51" t="s">
        <v>449</v>
      </c>
      <c r="O31" s="51"/>
      <c r="P31" s="51"/>
      <c r="Q31" s="51"/>
      <c r="R31" s="51"/>
      <c r="S31" s="51"/>
      <c r="T31" s="52"/>
      <c r="U31" s="3"/>
      <c r="V31" s="3"/>
    </row>
    <row r="32" ht="13.5" customHeight="1" spans="1:22">
      <c r="A32" s="47"/>
      <c r="B32" s="53" t="s">
        <v>509</v>
      </c>
      <c r="C32" s="53"/>
      <c r="D32" s="53"/>
      <c r="E32" s="54"/>
      <c r="F32" s="55" t="s">
        <v>510</v>
      </c>
      <c r="G32" s="55" t="s">
        <v>510</v>
      </c>
      <c r="H32" s="55" t="s">
        <v>510</v>
      </c>
      <c r="I32" s="55" t="s">
        <v>510</v>
      </c>
      <c r="J32" s="55" t="s">
        <v>510</v>
      </c>
      <c r="K32" s="55" t="s">
        <v>510</v>
      </c>
      <c r="L32" s="55" t="s">
        <v>510</v>
      </c>
      <c r="M32" s="55" t="s">
        <v>510</v>
      </c>
      <c r="N32" s="55" t="s">
        <v>510</v>
      </c>
      <c r="O32" s="55"/>
      <c r="P32" s="55"/>
      <c r="Q32" s="55"/>
      <c r="R32" s="55"/>
      <c r="S32" s="55"/>
      <c r="T32" s="56"/>
      <c r="U32" s="3"/>
      <c r="V32" s="3"/>
    </row>
    <row r="33" ht="105" customHeight="1" spans="1:22">
      <c r="A33" s="47"/>
      <c r="B33" s="57" t="s">
        <v>511</v>
      </c>
      <c r="C33" s="57"/>
      <c r="D33" s="57"/>
      <c r="E33" s="58"/>
      <c r="F33" s="59" t="s">
        <v>53</v>
      </c>
      <c r="G33" s="59" t="s">
        <v>53</v>
      </c>
      <c r="H33" s="59" t="s">
        <v>53</v>
      </c>
      <c r="I33" s="59" t="s">
        <v>53</v>
      </c>
      <c r="J33" s="59" t="s">
        <v>53</v>
      </c>
      <c r="K33" s="59" t="s">
        <v>53</v>
      </c>
      <c r="L33" s="59" t="s">
        <v>53</v>
      </c>
      <c r="M33" s="59" t="s">
        <v>53</v>
      </c>
      <c r="N33" s="59" t="s">
        <v>53</v>
      </c>
      <c r="O33" s="59"/>
      <c r="P33" s="59"/>
      <c r="Q33" s="59"/>
      <c r="R33" s="59"/>
      <c r="S33" s="59"/>
      <c r="T33" s="60"/>
      <c r="U33" s="3"/>
      <c r="V33" s="3"/>
    </row>
    <row r="34" ht="20" customHeight="1" spans="1:22">
      <c r="A34" s="61"/>
      <c r="B34" s="62" t="s">
        <v>512</v>
      </c>
      <c r="C34" s="62"/>
      <c r="D34" s="62"/>
      <c r="E34" s="63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5"/>
      <c r="U34" s="3"/>
      <c r="V34" s="3"/>
    </row>
    <row r="35" ht="13.8"/>
  </sheetData>
  <mergeCells count="45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</mergeCells>
  <dataValidations count="2">
    <dataValidation type="list" allowBlank="1" sqref="F31:N31">
      <formula1>"N,A,B"</formula1>
    </dataValidation>
    <dataValidation type="list" allowBlank="1" sqref="F32:N32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0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Functions!E34</f>
        <v>BE-GAM-02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Functions!D34</f>
        <v>CalculateLevel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802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10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-14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244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COUNTIF(F37:T37,"P")</f>
        <v>15</v>
      </c>
      <c r="B7" s="20"/>
      <c r="C7" s="21">
        <f>COUNTIF(F37:T37,"F")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COUNTIF(F36:T36,"N")</f>
        <v>0</v>
      </c>
      <c r="M7" s="21">
        <f>COUNTIF(F36:T36,"A")</f>
        <v>0</v>
      </c>
      <c r="N7" s="21">
        <f>COUNTIF(F36:T36,"B")</f>
        <v>15</v>
      </c>
      <c r="O7" s="21">
        <f>COUNTA(F9:T9)</f>
        <v>15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 t="s">
        <v>474</v>
      </c>
      <c r="N9" s="28" t="s">
        <v>475</v>
      </c>
      <c r="O9" s="28" t="s">
        <v>476</v>
      </c>
      <c r="P9" s="28" t="s">
        <v>477</v>
      </c>
      <c r="Q9" s="28" t="s">
        <v>561</v>
      </c>
      <c r="R9" s="28" t="s">
        <v>562</v>
      </c>
      <c r="S9" s="28" t="s">
        <v>609</v>
      </c>
      <c r="T9" s="29" t="s">
        <v>826</v>
      </c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245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 t="s">
        <v>481</v>
      </c>
      <c r="N11" s="40" t="s">
        <v>481</v>
      </c>
      <c r="O11" s="40" t="s">
        <v>481</v>
      </c>
      <c r="P11" s="40" t="s">
        <v>481</v>
      </c>
      <c r="Q11" s="40" t="s">
        <v>481</v>
      </c>
      <c r="R11" s="40" t="s">
        <v>481</v>
      </c>
      <c r="S11" s="40" t="s">
        <v>481</v>
      </c>
      <c r="T11" s="41" t="s">
        <v>481</v>
      </c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827</v>
      </c>
      <c r="C13" s="39"/>
      <c r="D13" s="39"/>
      <c r="E13" s="35"/>
      <c r="F13" s="40" t="s">
        <v>481</v>
      </c>
      <c r="G13" s="40" t="s">
        <v>481</v>
      </c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828</v>
      </c>
      <c r="C14" s="39"/>
      <c r="D14" s="39"/>
      <c r="E14" s="35"/>
      <c r="F14" s="40"/>
      <c r="G14" s="40"/>
      <c r="H14" s="40" t="s">
        <v>481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829</v>
      </c>
      <c r="C15" s="39"/>
      <c r="D15" s="39"/>
      <c r="E15" s="35"/>
      <c r="F15" s="40"/>
      <c r="G15" s="40"/>
      <c r="H15" s="40"/>
      <c r="I15" s="40" t="s">
        <v>481</v>
      </c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830</v>
      </c>
      <c r="C16" s="39"/>
      <c r="D16" s="39"/>
      <c r="E16" s="35"/>
      <c r="F16" s="40"/>
      <c r="G16" s="40"/>
      <c r="H16" s="40"/>
      <c r="I16" s="40"/>
      <c r="J16" s="40" t="s">
        <v>481</v>
      </c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831</v>
      </c>
      <c r="C17" s="39"/>
      <c r="D17" s="39"/>
      <c r="E17" s="35"/>
      <c r="F17" s="40"/>
      <c r="G17" s="40"/>
      <c r="H17" s="40"/>
      <c r="I17" s="40"/>
      <c r="J17" s="40"/>
      <c r="K17" s="40" t="s">
        <v>481</v>
      </c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832</v>
      </c>
      <c r="C18" s="39"/>
      <c r="D18" s="39"/>
      <c r="E18" s="35"/>
      <c r="F18" s="40"/>
      <c r="G18" s="40"/>
      <c r="H18" s="40"/>
      <c r="I18" s="40"/>
      <c r="J18" s="40"/>
      <c r="K18" s="40"/>
      <c r="L18" s="40" t="s">
        <v>481</v>
      </c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833</v>
      </c>
      <c r="C19" s="39"/>
      <c r="D19" s="39"/>
      <c r="E19" s="35"/>
      <c r="F19" s="40"/>
      <c r="G19" s="40"/>
      <c r="H19" s="40"/>
      <c r="I19" s="40"/>
      <c r="J19" s="40"/>
      <c r="K19" s="40"/>
      <c r="L19" s="40"/>
      <c r="M19" s="40" t="s">
        <v>481</v>
      </c>
      <c r="N19" s="40"/>
      <c r="O19" s="40"/>
      <c r="P19" s="40"/>
      <c r="Q19" s="40"/>
      <c r="R19" s="40"/>
      <c r="S19" s="40"/>
      <c r="T19" s="41"/>
      <c r="U19" s="3"/>
      <c r="V19" s="9"/>
    </row>
    <row r="20" ht="14" customHeight="1" spans="1:22">
      <c r="A20" s="38"/>
      <c r="B20" s="39" t="s">
        <v>834</v>
      </c>
      <c r="C20" s="39"/>
      <c r="D20" s="39"/>
      <c r="E20" s="35"/>
      <c r="F20" s="40"/>
      <c r="G20" s="40"/>
      <c r="H20" s="40"/>
      <c r="I20" s="40"/>
      <c r="J20" s="40"/>
      <c r="K20" s="40"/>
      <c r="L20" s="40"/>
      <c r="M20" s="40"/>
      <c r="N20" s="40" t="s">
        <v>481</v>
      </c>
      <c r="O20" s="40"/>
      <c r="P20" s="40"/>
      <c r="Q20" s="40"/>
      <c r="R20" s="40"/>
      <c r="S20" s="40"/>
      <c r="T20" s="41"/>
      <c r="U20" s="3"/>
      <c r="V20" s="9"/>
    </row>
    <row r="21" ht="14" customHeight="1" spans="1:22">
      <c r="A21" s="38"/>
      <c r="B21" s="39" t="s">
        <v>835</v>
      </c>
      <c r="C21" s="39"/>
      <c r="D21" s="39"/>
      <c r="E21" s="35"/>
      <c r="F21" s="40"/>
      <c r="G21" s="40"/>
      <c r="H21" s="40"/>
      <c r="I21" s="40"/>
      <c r="J21" s="40"/>
      <c r="K21" s="40"/>
      <c r="L21" s="40"/>
      <c r="M21" s="40"/>
      <c r="N21" s="40"/>
      <c r="O21" s="40" t="s">
        <v>481</v>
      </c>
      <c r="P21" s="40"/>
      <c r="Q21" s="40"/>
      <c r="R21" s="40"/>
      <c r="S21" s="40"/>
      <c r="T21" s="41"/>
      <c r="U21" s="3"/>
      <c r="V21" s="9"/>
    </row>
    <row r="22" ht="14" customHeight="1" spans="1:22">
      <c r="A22" s="38"/>
      <c r="B22" s="39" t="s">
        <v>836</v>
      </c>
      <c r="C22" s="39"/>
      <c r="D22" s="39"/>
      <c r="E22" s="35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 t="s">
        <v>481</v>
      </c>
      <c r="Q22" s="40"/>
      <c r="R22" s="40"/>
      <c r="S22" s="40"/>
      <c r="T22" s="41"/>
      <c r="U22" s="3"/>
      <c r="V22" s="9"/>
    </row>
    <row r="23" ht="14" customHeight="1" spans="1:22">
      <c r="A23" s="38"/>
      <c r="B23" s="39" t="s">
        <v>837</v>
      </c>
      <c r="C23" s="39"/>
      <c r="D23" s="39"/>
      <c r="E23" s="35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 t="s">
        <v>481</v>
      </c>
      <c r="R23" s="40"/>
      <c r="S23" s="40"/>
      <c r="T23" s="41"/>
      <c r="U23" s="3"/>
      <c r="V23" s="9"/>
    </row>
    <row r="24" ht="14" customHeight="1" spans="1:22">
      <c r="A24" s="38"/>
      <c r="B24" s="39" t="s">
        <v>838</v>
      </c>
      <c r="C24" s="39"/>
      <c r="D24" s="39"/>
      <c r="E24" s="35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 t="s">
        <v>481</v>
      </c>
      <c r="S24" s="40"/>
      <c r="T24" s="41"/>
      <c r="U24" s="3"/>
      <c r="V24" s="9"/>
    </row>
    <row r="25" ht="14" customHeight="1" spans="1:22">
      <c r="A25" s="38"/>
      <c r="B25" s="39" t="s">
        <v>839</v>
      </c>
      <c r="C25" s="39"/>
      <c r="D25" s="39"/>
      <c r="E25" s="35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 t="s">
        <v>481</v>
      </c>
      <c r="T25" s="41"/>
      <c r="U25" s="3"/>
      <c r="V25" s="9"/>
    </row>
    <row r="26" ht="14" customHeight="1" spans="1:22">
      <c r="A26" s="38"/>
      <c r="B26" s="39" t="s">
        <v>840</v>
      </c>
      <c r="C26" s="39"/>
      <c r="D26" s="39"/>
      <c r="E26" s="35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1" t="s">
        <v>481</v>
      </c>
      <c r="U26" s="3"/>
      <c r="V26" s="9"/>
    </row>
    <row r="27" ht="13.5" customHeight="1" spans="1:22">
      <c r="A27" s="42" t="s">
        <v>494</v>
      </c>
      <c r="B27" s="43" t="s">
        <v>495</v>
      </c>
      <c r="C27" s="44"/>
      <c r="D27" s="45"/>
      <c r="E27" s="4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7"/>
      <c r="U27" s="3"/>
      <c r="V27" s="3"/>
    </row>
    <row r="28" ht="14" customHeight="1" spans="1:22">
      <c r="A28" s="47"/>
      <c r="B28" s="39" t="s">
        <v>841</v>
      </c>
      <c r="C28" s="39"/>
      <c r="D28" s="39"/>
      <c r="E28" s="48"/>
      <c r="F28" s="40" t="s">
        <v>481</v>
      </c>
      <c r="G28" s="40" t="s">
        <v>481</v>
      </c>
      <c r="H28" s="40" t="s">
        <v>481</v>
      </c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1"/>
      <c r="U28" s="3"/>
      <c r="V28" s="3"/>
    </row>
    <row r="29" ht="14" customHeight="1" spans="1:22">
      <c r="A29" s="47"/>
      <c r="B29" s="39" t="s">
        <v>842</v>
      </c>
      <c r="C29" s="39"/>
      <c r="D29" s="39"/>
      <c r="E29" s="48"/>
      <c r="F29" s="40"/>
      <c r="G29" s="40"/>
      <c r="H29" s="40"/>
      <c r="I29" s="40" t="s">
        <v>481</v>
      </c>
      <c r="J29" s="40" t="s">
        <v>481</v>
      </c>
      <c r="K29" s="40"/>
      <c r="L29" s="40"/>
      <c r="M29" s="40"/>
      <c r="N29" s="40"/>
      <c r="O29" s="40"/>
      <c r="P29" s="40"/>
      <c r="Q29" s="40"/>
      <c r="R29" s="40"/>
      <c r="S29" s="40"/>
      <c r="T29" s="41"/>
      <c r="U29" s="3"/>
      <c r="V29" s="3"/>
    </row>
    <row r="30" ht="14" customHeight="1" spans="1:22">
      <c r="A30" s="47"/>
      <c r="B30" s="39" t="s">
        <v>843</v>
      </c>
      <c r="C30" s="39"/>
      <c r="D30" s="39"/>
      <c r="E30" s="48"/>
      <c r="F30" s="40"/>
      <c r="G30" s="40"/>
      <c r="H30" s="40"/>
      <c r="I30" s="40"/>
      <c r="J30" s="40"/>
      <c r="K30" s="40" t="s">
        <v>481</v>
      </c>
      <c r="L30" s="40" t="s">
        <v>481</v>
      </c>
      <c r="M30" s="40"/>
      <c r="N30" s="40"/>
      <c r="O30" s="40"/>
      <c r="P30" s="40"/>
      <c r="Q30" s="40"/>
      <c r="R30" s="40"/>
      <c r="S30" s="40"/>
      <c r="T30" s="41"/>
      <c r="U30" s="3"/>
      <c r="V30" s="3"/>
    </row>
    <row r="31" ht="14" customHeight="1" spans="1:22">
      <c r="A31" s="47"/>
      <c r="B31" s="39" t="s">
        <v>844</v>
      </c>
      <c r="C31" s="39"/>
      <c r="D31" s="39"/>
      <c r="E31" s="48"/>
      <c r="F31" s="40"/>
      <c r="G31" s="40"/>
      <c r="H31" s="40"/>
      <c r="I31" s="40"/>
      <c r="J31" s="40"/>
      <c r="K31" s="40"/>
      <c r="L31" s="40"/>
      <c r="M31" s="40" t="s">
        <v>481</v>
      </c>
      <c r="N31" s="40" t="s">
        <v>481</v>
      </c>
      <c r="O31" s="40"/>
      <c r="P31" s="40"/>
      <c r="Q31" s="40"/>
      <c r="R31" s="40"/>
      <c r="S31" s="40"/>
      <c r="T31" s="41"/>
      <c r="U31" s="3"/>
      <c r="V31" s="3"/>
    </row>
    <row r="32" ht="14" customHeight="1" spans="1:22">
      <c r="A32" s="47"/>
      <c r="B32" s="39" t="s">
        <v>845</v>
      </c>
      <c r="C32" s="39"/>
      <c r="D32" s="39"/>
      <c r="E32" s="48"/>
      <c r="F32" s="40"/>
      <c r="G32" s="40"/>
      <c r="H32" s="40"/>
      <c r="I32" s="40"/>
      <c r="J32" s="40"/>
      <c r="K32" s="40"/>
      <c r="L32" s="40"/>
      <c r="M32" s="40"/>
      <c r="N32" s="40"/>
      <c r="O32" s="40" t="s">
        <v>481</v>
      </c>
      <c r="P32" s="40" t="s">
        <v>481</v>
      </c>
      <c r="Q32" s="40"/>
      <c r="R32" s="40"/>
      <c r="S32" s="40"/>
      <c r="T32" s="41"/>
      <c r="U32" s="3"/>
      <c r="V32" s="3"/>
    </row>
    <row r="33" ht="14" customHeight="1" spans="1:22">
      <c r="A33" s="47"/>
      <c r="B33" s="39" t="s">
        <v>846</v>
      </c>
      <c r="C33" s="39"/>
      <c r="D33" s="39"/>
      <c r="E33" s="48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 t="s">
        <v>481</v>
      </c>
      <c r="R33" s="40" t="s">
        <v>481</v>
      </c>
      <c r="S33" s="40"/>
      <c r="T33" s="41"/>
      <c r="U33" s="3"/>
      <c r="V33" s="3"/>
    </row>
    <row r="34" ht="14" customHeight="1" spans="1:22">
      <c r="A34" s="47"/>
      <c r="B34" s="39" t="s">
        <v>847</v>
      </c>
      <c r="C34" s="39"/>
      <c r="D34" s="39"/>
      <c r="E34" s="48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 t="s">
        <v>481</v>
      </c>
      <c r="T34" s="41"/>
      <c r="U34" s="3"/>
      <c r="V34" s="3"/>
    </row>
    <row r="35" ht="14" customHeight="1" spans="1:22">
      <c r="A35" s="47"/>
      <c r="B35" s="39" t="s">
        <v>848</v>
      </c>
      <c r="C35" s="39"/>
      <c r="D35" s="39"/>
      <c r="E35" s="48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1" t="s">
        <v>481</v>
      </c>
      <c r="U35" s="3"/>
      <c r="V35" s="3"/>
    </row>
    <row r="36" ht="13.5" customHeight="1" spans="1:22">
      <c r="A36" s="42" t="s">
        <v>507</v>
      </c>
      <c r="B36" s="49" t="s">
        <v>508</v>
      </c>
      <c r="C36" s="49"/>
      <c r="D36" s="49"/>
      <c r="E36" s="50"/>
      <c r="F36" s="51" t="s">
        <v>450</v>
      </c>
      <c r="G36" s="51" t="s">
        <v>450</v>
      </c>
      <c r="H36" s="51" t="s">
        <v>450</v>
      </c>
      <c r="I36" s="51" t="s">
        <v>450</v>
      </c>
      <c r="J36" s="51" t="s">
        <v>450</v>
      </c>
      <c r="K36" s="51" t="s">
        <v>450</v>
      </c>
      <c r="L36" s="51" t="s">
        <v>450</v>
      </c>
      <c r="M36" s="51" t="s">
        <v>450</v>
      </c>
      <c r="N36" s="51" t="s">
        <v>450</v>
      </c>
      <c r="O36" s="51" t="s">
        <v>450</v>
      </c>
      <c r="P36" s="51" t="s">
        <v>450</v>
      </c>
      <c r="Q36" s="51" t="s">
        <v>450</v>
      </c>
      <c r="R36" s="51" t="s">
        <v>450</v>
      </c>
      <c r="S36" s="51" t="s">
        <v>450</v>
      </c>
      <c r="T36" s="52" t="s">
        <v>450</v>
      </c>
      <c r="U36" s="3"/>
      <c r="V36" s="3"/>
    </row>
    <row r="37" ht="13.5" customHeight="1" spans="1:22">
      <c r="A37" s="47"/>
      <c r="B37" s="53" t="s">
        <v>509</v>
      </c>
      <c r="C37" s="53"/>
      <c r="D37" s="53"/>
      <c r="E37" s="54"/>
      <c r="F37" s="55" t="s">
        <v>510</v>
      </c>
      <c r="G37" s="55" t="s">
        <v>510</v>
      </c>
      <c r="H37" s="55" t="s">
        <v>510</v>
      </c>
      <c r="I37" s="55" t="s">
        <v>510</v>
      </c>
      <c r="J37" s="55" t="s">
        <v>510</v>
      </c>
      <c r="K37" s="55" t="s">
        <v>510</v>
      </c>
      <c r="L37" s="55" t="s">
        <v>510</v>
      </c>
      <c r="M37" s="55" t="s">
        <v>510</v>
      </c>
      <c r="N37" s="55" t="s">
        <v>510</v>
      </c>
      <c r="O37" s="55" t="s">
        <v>510</v>
      </c>
      <c r="P37" s="55" t="s">
        <v>510</v>
      </c>
      <c r="Q37" s="55" t="s">
        <v>510</v>
      </c>
      <c r="R37" s="55" t="s">
        <v>510</v>
      </c>
      <c r="S37" s="55" t="s">
        <v>510</v>
      </c>
      <c r="T37" s="56" t="s">
        <v>510</v>
      </c>
      <c r="U37" s="3"/>
      <c r="V37" s="3"/>
    </row>
    <row r="38" ht="105" customHeight="1" spans="1:22">
      <c r="A38" s="47"/>
      <c r="B38" s="57" t="s">
        <v>511</v>
      </c>
      <c r="C38" s="57"/>
      <c r="D38" s="57"/>
      <c r="E38" s="58"/>
      <c r="F38" s="59" t="s">
        <v>53</v>
      </c>
      <c r="G38" s="59" t="s">
        <v>53</v>
      </c>
      <c r="H38" s="59" t="s">
        <v>53</v>
      </c>
      <c r="I38" s="59" t="s">
        <v>53</v>
      </c>
      <c r="J38" s="59" t="s">
        <v>53</v>
      </c>
      <c r="K38" s="59" t="s">
        <v>53</v>
      </c>
      <c r="L38" s="59" t="s">
        <v>53</v>
      </c>
      <c r="M38" s="59" t="s">
        <v>53</v>
      </c>
      <c r="N38" s="59" t="s">
        <v>53</v>
      </c>
      <c r="O38" s="59" t="s">
        <v>53</v>
      </c>
      <c r="P38" s="59" t="s">
        <v>53</v>
      </c>
      <c r="Q38" s="59" t="s">
        <v>53</v>
      </c>
      <c r="R38" s="59" t="s">
        <v>53</v>
      </c>
      <c r="S38" s="59" t="s">
        <v>53</v>
      </c>
      <c r="T38" s="60" t="s">
        <v>53</v>
      </c>
      <c r="U38" s="3"/>
      <c r="V38" s="3"/>
    </row>
    <row r="39" ht="20" customHeight="1" spans="1:22">
      <c r="A39" s="61"/>
      <c r="B39" s="62" t="s">
        <v>512</v>
      </c>
      <c r="C39" s="62"/>
      <c r="D39" s="62"/>
      <c r="E39" s="63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5"/>
      <c r="U39" s="3"/>
      <c r="V39" s="3"/>
    </row>
    <row r="40" ht="13.8"/>
  </sheetData>
  <mergeCells count="50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</mergeCells>
  <dataValidations count="2">
    <dataValidation type="list" allowBlank="1" sqref="F36:T36">
      <formula1>"N,A,B"</formula1>
    </dataValidation>
    <dataValidation type="list" allowBlank="1" sqref="F37:T37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8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Functions!E35</f>
        <v>BE-GAM-03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Functions!D35</f>
        <v>GetXpRequiredForNextLevel / GetTotalXpForLevel / GetCurrentLevelXp / GetProgressPercentage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802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28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-12.2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249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COUNTIF(F45:T45,"P")</f>
        <v>15</v>
      </c>
      <c r="B7" s="20"/>
      <c r="C7" s="21">
        <f>COUNTIF(F45:T45,"F")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COUNTIF(F44:T44,"N")</f>
        <v>13</v>
      </c>
      <c r="M7" s="21">
        <f>COUNTIF(F44:T44,"A")</f>
        <v>0</v>
      </c>
      <c r="N7" s="21">
        <f>COUNTIF(F44:T44,"B")</f>
        <v>2</v>
      </c>
      <c r="O7" s="21">
        <f>COUNTA(F9:T9)</f>
        <v>15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 t="s">
        <v>474</v>
      </c>
      <c r="N9" s="28" t="s">
        <v>475</v>
      </c>
      <c r="O9" s="28" t="s">
        <v>476</v>
      </c>
      <c r="P9" s="28" t="s">
        <v>477</v>
      </c>
      <c r="Q9" s="28" t="s">
        <v>561</v>
      </c>
      <c r="R9" s="28" t="s">
        <v>562</v>
      </c>
      <c r="S9" s="28" t="s">
        <v>609</v>
      </c>
      <c r="T9" s="29" t="s">
        <v>826</v>
      </c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245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 t="s">
        <v>481</v>
      </c>
      <c r="N11" s="40" t="s">
        <v>481</v>
      </c>
      <c r="O11" s="40" t="s">
        <v>481</v>
      </c>
      <c r="P11" s="40" t="s">
        <v>481</v>
      </c>
      <c r="Q11" s="40" t="s">
        <v>481</v>
      </c>
      <c r="R11" s="40" t="s">
        <v>481</v>
      </c>
      <c r="S11" s="40" t="s">
        <v>481</v>
      </c>
      <c r="T11" s="41" t="s">
        <v>481</v>
      </c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849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850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851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852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853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854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855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4" customHeight="1" spans="1:22">
      <c r="A20" s="38"/>
      <c r="B20" s="39" t="s">
        <v>856</v>
      </c>
      <c r="C20" s="39"/>
      <c r="D20" s="39"/>
      <c r="E20" s="35"/>
      <c r="F20" s="40"/>
      <c r="G20" s="40"/>
      <c r="H20" s="40"/>
      <c r="I20" s="40"/>
      <c r="J20" s="40"/>
      <c r="K20" s="40"/>
      <c r="L20" s="40"/>
      <c r="M20" s="40" t="s">
        <v>481</v>
      </c>
      <c r="N20" s="40"/>
      <c r="O20" s="40"/>
      <c r="P20" s="40"/>
      <c r="Q20" s="40"/>
      <c r="R20" s="40"/>
      <c r="S20" s="40"/>
      <c r="T20" s="41"/>
      <c r="U20" s="3"/>
      <c r="V20" s="9"/>
    </row>
    <row r="21" ht="14" customHeight="1" spans="1:22">
      <c r="A21" s="38"/>
      <c r="B21" s="39" t="s">
        <v>857</v>
      </c>
      <c r="C21" s="39"/>
      <c r="D21" s="39"/>
      <c r="E21" s="35"/>
      <c r="F21" s="40"/>
      <c r="G21" s="40"/>
      <c r="H21" s="40"/>
      <c r="I21" s="40"/>
      <c r="J21" s="40"/>
      <c r="K21" s="40"/>
      <c r="L21" s="40"/>
      <c r="M21" s="40"/>
      <c r="N21" s="40" t="s">
        <v>481</v>
      </c>
      <c r="O21" s="40"/>
      <c r="P21" s="40"/>
      <c r="Q21" s="40"/>
      <c r="R21" s="40"/>
      <c r="S21" s="40"/>
      <c r="T21" s="41"/>
      <c r="U21" s="3"/>
      <c r="V21" s="9"/>
    </row>
    <row r="22" ht="14" customHeight="1" spans="1:22">
      <c r="A22" s="38"/>
      <c r="B22" s="39" t="s">
        <v>858</v>
      </c>
      <c r="C22" s="39"/>
      <c r="D22" s="39"/>
      <c r="E22" s="35"/>
      <c r="F22" s="40"/>
      <c r="G22" s="40"/>
      <c r="H22" s="40"/>
      <c r="I22" s="40"/>
      <c r="J22" s="40"/>
      <c r="K22" s="40"/>
      <c r="L22" s="40"/>
      <c r="M22" s="40"/>
      <c r="N22" s="40"/>
      <c r="O22" s="40" t="s">
        <v>481</v>
      </c>
      <c r="P22" s="40"/>
      <c r="Q22" s="40"/>
      <c r="R22" s="40"/>
      <c r="S22" s="40"/>
      <c r="T22" s="41"/>
      <c r="U22" s="3"/>
      <c r="V22" s="9"/>
    </row>
    <row r="23" ht="14" customHeight="1" spans="1:22">
      <c r="A23" s="38"/>
      <c r="B23" s="39" t="s">
        <v>859</v>
      </c>
      <c r="C23" s="39"/>
      <c r="D23" s="39"/>
      <c r="E23" s="35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 t="s">
        <v>481</v>
      </c>
      <c r="Q23" s="40"/>
      <c r="R23" s="40"/>
      <c r="S23" s="40"/>
      <c r="T23" s="41"/>
      <c r="U23" s="3"/>
      <c r="V23" s="9"/>
    </row>
    <row r="24" ht="14" customHeight="1" spans="1:22">
      <c r="A24" s="38"/>
      <c r="B24" s="39" t="s">
        <v>860</v>
      </c>
      <c r="C24" s="39"/>
      <c r="D24" s="39"/>
      <c r="E24" s="35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 t="s">
        <v>481</v>
      </c>
      <c r="R24" s="40"/>
      <c r="S24" s="40"/>
      <c r="T24" s="41"/>
      <c r="U24" s="3"/>
      <c r="V24" s="9"/>
    </row>
    <row r="25" ht="14" customHeight="1" spans="1:22">
      <c r="A25" s="38"/>
      <c r="B25" s="39" t="s">
        <v>861</v>
      </c>
      <c r="C25" s="39"/>
      <c r="D25" s="39"/>
      <c r="E25" s="35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 t="s">
        <v>481</v>
      </c>
      <c r="S25" s="40"/>
      <c r="T25" s="41"/>
      <c r="U25" s="3"/>
      <c r="V25" s="9"/>
    </row>
    <row r="26" ht="14" customHeight="1" spans="1:22">
      <c r="A26" s="38"/>
      <c r="B26" s="39" t="s">
        <v>862</v>
      </c>
      <c r="C26" s="39"/>
      <c r="D26" s="39"/>
      <c r="E26" s="35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 t="s">
        <v>481</v>
      </c>
      <c r="T26" s="41"/>
      <c r="U26" s="3"/>
      <c r="V26" s="9"/>
    </row>
    <row r="27" ht="14" customHeight="1" spans="1:22">
      <c r="A27" s="38"/>
      <c r="B27" s="39" t="s">
        <v>827</v>
      </c>
      <c r="C27" s="39"/>
      <c r="D27" s="39"/>
      <c r="E27" s="35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1" t="s">
        <v>481</v>
      </c>
      <c r="U27" s="3"/>
      <c r="V27" s="9"/>
    </row>
    <row r="28" ht="13.5" customHeight="1" spans="1:22">
      <c r="A28" s="42" t="s">
        <v>494</v>
      </c>
      <c r="B28" s="43" t="s">
        <v>495</v>
      </c>
      <c r="C28" s="44"/>
      <c r="D28" s="45"/>
      <c r="E28" s="4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7"/>
      <c r="U28" s="3"/>
      <c r="V28" s="3"/>
    </row>
    <row r="29" ht="14" customHeight="1" spans="1:22">
      <c r="A29" s="47"/>
      <c r="B29" s="39" t="s">
        <v>863</v>
      </c>
      <c r="C29" s="39"/>
      <c r="D29" s="39"/>
      <c r="E29" s="48"/>
      <c r="F29" s="40" t="s">
        <v>481</v>
      </c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1"/>
      <c r="U29" s="3"/>
      <c r="V29" s="3"/>
    </row>
    <row r="30" ht="14" customHeight="1" spans="1:22">
      <c r="A30" s="47"/>
      <c r="B30" s="39" t="s">
        <v>864</v>
      </c>
      <c r="C30" s="39"/>
      <c r="D30" s="39"/>
      <c r="E30" s="48"/>
      <c r="F30" s="40"/>
      <c r="G30" s="40" t="s">
        <v>481</v>
      </c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1"/>
      <c r="U30" s="3"/>
      <c r="V30" s="3"/>
    </row>
    <row r="31" ht="14" customHeight="1" spans="1:22">
      <c r="A31" s="47"/>
      <c r="B31" s="39" t="s">
        <v>865</v>
      </c>
      <c r="C31" s="39"/>
      <c r="D31" s="39"/>
      <c r="E31" s="48"/>
      <c r="F31" s="40"/>
      <c r="G31" s="40"/>
      <c r="H31" s="40" t="s">
        <v>481</v>
      </c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1"/>
      <c r="U31" s="3"/>
      <c r="V31" s="3"/>
    </row>
    <row r="32" ht="14" customHeight="1" spans="1:22">
      <c r="A32" s="47"/>
      <c r="B32" s="39" t="s">
        <v>866</v>
      </c>
      <c r="C32" s="39"/>
      <c r="D32" s="39"/>
      <c r="E32" s="48"/>
      <c r="F32" s="40"/>
      <c r="G32" s="40"/>
      <c r="H32" s="40"/>
      <c r="I32" s="40" t="s">
        <v>481</v>
      </c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1"/>
      <c r="U32" s="3"/>
      <c r="V32" s="3"/>
    </row>
    <row r="33" ht="14" customHeight="1" spans="1:22">
      <c r="A33" s="47"/>
      <c r="B33" s="39" t="s">
        <v>867</v>
      </c>
      <c r="C33" s="39"/>
      <c r="D33" s="39"/>
      <c r="E33" s="48"/>
      <c r="F33" s="40"/>
      <c r="G33" s="40"/>
      <c r="H33" s="40"/>
      <c r="I33" s="40"/>
      <c r="J33" s="40" t="s">
        <v>481</v>
      </c>
      <c r="K33" s="40"/>
      <c r="L33" s="40"/>
      <c r="M33" s="40"/>
      <c r="N33" s="40"/>
      <c r="O33" s="40"/>
      <c r="P33" s="40"/>
      <c r="Q33" s="40"/>
      <c r="R33" s="40"/>
      <c r="S33" s="40"/>
      <c r="T33" s="41"/>
      <c r="U33" s="3"/>
      <c r="V33" s="3"/>
    </row>
    <row r="34" ht="14" customHeight="1" spans="1:22">
      <c r="A34" s="47"/>
      <c r="B34" s="39" t="s">
        <v>868</v>
      </c>
      <c r="C34" s="39"/>
      <c r="D34" s="39"/>
      <c r="E34" s="48"/>
      <c r="F34" s="40"/>
      <c r="G34" s="40"/>
      <c r="H34" s="40"/>
      <c r="I34" s="40"/>
      <c r="J34" s="40"/>
      <c r="K34" s="40" t="s">
        <v>481</v>
      </c>
      <c r="L34" s="40"/>
      <c r="M34" s="40"/>
      <c r="N34" s="40"/>
      <c r="O34" s="40"/>
      <c r="P34" s="40"/>
      <c r="Q34" s="40"/>
      <c r="R34" s="40"/>
      <c r="S34" s="40"/>
      <c r="T34" s="41"/>
      <c r="U34" s="3"/>
      <c r="V34" s="3"/>
    </row>
    <row r="35" ht="14" customHeight="1" spans="1:22">
      <c r="A35" s="47"/>
      <c r="B35" s="39" t="s">
        <v>869</v>
      </c>
      <c r="C35" s="39"/>
      <c r="D35" s="39"/>
      <c r="E35" s="48"/>
      <c r="F35" s="40"/>
      <c r="G35" s="40"/>
      <c r="H35" s="40"/>
      <c r="I35" s="40"/>
      <c r="J35" s="40"/>
      <c r="K35" s="40"/>
      <c r="L35" s="40" t="s">
        <v>481</v>
      </c>
      <c r="M35" s="40"/>
      <c r="N35" s="40"/>
      <c r="O35" s="40"/>
      <c r="P35" s="40"/>
      <c r="Q35" s="40"/>
      <c r="R35" s="40"/>
      <c r="S35" s="40"/>
      <c r="T35" s="41"/>
      <c r="U35" s="3"/>
      <c r="V35" s="3"/>
    </row>
    <row r="36" ht="14" customHeight="1" spans="1:22">
      <c r="A36" s="47"/>
      <c r="B36" s="39" t="s">
        <v>870</v>
      </c>
      <c r="C36" s="39"/>
      <c r="D36" s="39"/>
      <c r="E36" s="48"/>
      <c r="F36" s="40"/>
      <c r="G36" s="40"/>
      <c r="H36" s="40"/>
      <c r="I36" s="40"/>
      <c r="J36" s="40"/>
      <c r="K36" s="40"/>
      <c r="L36" s="40"/>
      <c r="M36" s="40" t="s">
        <v>481</v>
      </c>
      <c r="N36" s="40"/>
      <c r="O36" s="40"/>
      <c r="P36" s="40"/>
      <c r="Q36" s="40"/>
      <c r="R36" s="40"/>
      <c r="S36" s="40"/>
      <c r="T36" s="41"/>
      <c r="U36" s="3"/>
      <c r="V36" s="3"/>
    </row>
    <row r="37" ht="14" customHeight="1" spans="1:22">
      <c r="A37" s="47"/>
      <c r="B37" s="39" t="s">
        <v>871</v>
      </c>
      <c r="C37" s="39"/>
      <c r="D37" s="39"/>
      <c r="E37" s="48"/>
      <c r="F37" s="40"/>
      <c r="G37" s="40"/>
      <c r="H37" s="40"/>
      <c r="I37" s="40"/>
      <c r="J37" s="40"/>
      <c r="K37" s="40"/>
      <c r="L37" s="40"/>
      <c r="M37" s="40"/>
      <c r="N37" s="40" t="s">
        <v>481</v>
      </c>
      <c r="O37" s="40"/>
      <c r="P37" s="40"/>
      <c r="Q37" s="40"/>
      <c r="R37" s="40"/>
      <c r="S37" s="40"/>
      <c r="T37" s="41"/>
      <c r="U37" s="3"/>
      <c r="V37" s="3"/>
    </row>
    <row r="38" ht="14" customHeight="1" spans="1:22">
      <c r="A38" s="47"/>
      <c r="B38" s="39" t="s">
        <v>872</v>
      </c>
      <c r="C38" s="39"/>
      <c r="D38" s="39"/>
      <c r="E38" s="48"/>
      <c r="F38" s="40"/>
      <c r="G38" s="40"/>
      <c r="H38" s="40"/>
      <c r="I38" s="40"/>
      <c r="J38" s="40"/>
      <c r="K38" s="40"/>
      <c r="L38" s="40"/>
      <c r="M38" s="40"/>
      <c r="N38" s="40"/>
      <c r="O38" s="40" t="s">
        <v>481</v>
      </c>
      <c r="P38" s="40"/>
      <c r="Q38" s="40"/>
      <c r="R38" s="40"/>
      <c r="S38" s="40"/>
      <c r="T38" s="41"/>
      <c r="U38" s="3"/>
      <c r="V38" s="3"/>
    </row>
    <row r="39" ht="14" customHeight="1" spans="1:22">
      <c r="A39" s="47"/>
      <c r="B39" s="39" t="s">
        <v>873</v>
      </c>
      <c r="C39" s="39"/>
      <c r="D39" s="39"/>
      <c r="E39" s="48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 t="s">
        <v>481</v>
      </c>
      <c r="Q39" s="40"/>
      <c r="R39" s="40"/>
      <c r="S39" s="40"/>
      <c r="T39" s="41"/>
      <c r="U39" s="3"/>
      <c r="V39" s="3"/>
    </row>
    <row r="40" ht="14" customHeight="1" spans="1:22">
      <c r="A40" s="47"/>
      <c r="B40" s="39" t="s">
        <v>874</v>
      </c>
      <c r="C40" s="39"/>
      <c r="D40" s="39"/>
      <c r="E40" s="48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 t="s">
        <v>481</v>
      </c>
      <c r="R40" s="40"/>
      <c r="S40" s="40"/>
      <c r="T40" s="41"/>
      <c r="U40" s="3"/>
      <c r="V40" s="3"/>
    </row>
    <row r="41" ht="14" customHeight="1" spans="1:22">
      <c r="A41" s="47"/>
      <c r="B41" s="39" t="s">
        <v>875</v>
      </c>
      <c r="C41" s="39"/>
      <c r="D41" s="39"/>
      <c r="E41" s="48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 t="s">
        <v>481</v>
      </c>
      <c r="S41" s="40"/>
      <c r="T41" s="41"/>
      <c r="U41" s="3"/>
      <c r="V41" s="3"/>
    </row>
    <row r="42" ht="14" customHeight="1" spans="1:22">
      <c r="A42" s="47"/>
      <c r="B42" s="39" t="s">
        <v>876</v>
      </c>
      <c r="C42" s="39"/>
      <c r="D42" s="39"/>
      <c r="E42" s="48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 t="s">
        <v>481</v>
      </c>
      <c r="T42" s="41"/>
      <c r="U42" s="3"/>
      <c r="V42" s="3"/>
    </row>
    <row r="43" ht="14" customHeight="1" spans="1:22">
      <c r="A43" s="47"/>
      <c r="B43" s="39" t="s">
        <v>877</v>
      </c>
      <c r="C43" s="39"/>
      <c r="D43" s="39"/>
      <c r="E43" s="48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1" t="s">
        <v>481</v>
      </c>
      <c r="U43" s="3"/>
      <c r="V43" s="3"/>
    </row>
    <row r="44" ht="13.5" customHeight="1" spans="1:22">
      <c r="A44" s="42" t="s">
        <v>507</v>
      </c>
      <c r="B44" s="49" t="s">
        <v>508</v>
      </c>
      <c r="C44" s="49"/>
      <c r="D44" s="49"/>
      <c r="E44" s="50"/>
      <c r="F44" s="51" t="s">
        <v>449</v>
      </c>
      <c r="G44" s="51" t="s">
        <v>449</v>
      </c>
      <c r="H44" s="51" t="s">
        <v>449</v>
      </c>
      <c r="I44" s="51" t="s">
        <v>449</v>
      </c>
      <c r="J44" s="51" t="s">
        <v>449</v>
      </c>
      <c r="K44" s="51" t="s">
        <v>449</v>
      </c>
      <c r="L44" s="51" t="s">
        <v>450</v>
      </c>
      <c r="M44" s="51" t="s">
        <v>449</v>
      </c>
      <c r="N44" s="51" t="s">
        <v>449</v>
      </c>
      <c r="O44" s="51" t="s">
        <v>449</v>
      </c>
      <c r="P44" s="51" t="s">
        <v>449</v>
      </c>
      <c r="Q44" s="51" t="s">
        <v>449</v>
      </c>
      <c r="R44" s="51" t="s">
        <v>449</v>
      </c>
      <c r="S44" s="51" t="s">
        <v>449</v>
      </c>
      <c r="T44" s="52" t="s">
        <v>450</v>
      </c>
      <c r="U44" s="3"/>
      <c r="V44" s="3"/>
    </row>
    <row r="45" ht="13.5" customHeight="1" spans="1:22">
      <c r="A45" s="47"/>
      <c r="B45" s="53" t="s">
        <v>509</v>
      </c>
      <c r="C45" s="53"/>
      <c r="D45" s="53"/>
      <c r="E45" s="54"/>
      <c r="F45" s="55" t="s">
        <v>510</v>
      </c>
      <c r="G45" s="55" t="s">
        <v>510</v>
      </c>
      <c r="H45" s="55" t="s">
        <v>510</v>
      </c>
      <c r="I45" s="55" t="s">
        <v>510</v>
      </c>
      <c r="J45" s="55" t="s">
        <v>510</v>
      </c>
      <c r="K45" s="55" t="s">
        <v>510</v>
      </c>
      <c r="L45" s="55" t="s">
        <v>510</v>
      </c>
      <c r="M45" s="55" t="s">
        <v>510</v>
      </c>
      <c r="N45" s="55" t="s">
        <v>510</v>
      </c>
      <c r="O45" s="55" t="s">
        <v>510</v>
      </c>
      <c r="P45" s="55" t="s">
        <v>510</v>
      </c>
      <c r="Q45" s="55" t="s">
        <v>510</v>
      </c>
      <c r="R45" s="55" t="s">
        <v>510</v>
      </c>
      <c r="S45" s="55" t="s">
        <v>510</v>
      </c>
      <c r="T45" s="56" t="s">
        <v>510</v>
      </c>
      <c r="U45" s="3"/>
      <c r="V45" s="3"/>
    </row>
    <row r="46" ht="105" customHeight="1" spans="1:22">
      <c r="A46" s="47"/>
      <c r="B46" s="57" t="s">
        <v>511</v>
      </c>
      <c r="C46" s="57"/>
      <c r="D46" s="57"/>
      <c r="E46" s="58"/>
      <c r="F46" s="59" t="s">
        <v>53</v>
      </c>
      <c r="G46" s="59" t="s">
        <v>53</v>
      </c>
      <c r="H46" s="59" t="s">
        <v>53</v>
      </c>
      <c r="I46" s="59" t="s">
        <v>53</v>
      </c>
      <c r="J46" s="59" t="s">
        <v>53</v>
      </c>
      <c r="K46" s="59" t="s">
        <v>53</v>
      </c>
      <c r="L46" s="59" t="s">
        <v>53</v>
      </c>
      <c r="M46" s="59" t="s">
        <v>53</v>
      </c>
      <c r="N46" s="59" t="s">
        <v>53</v>
      </c>
      <c r="O46" s="59" t="s">
        <v>53</v>
      </c>
      <c r="P46" s="59" t="s">
        <v>53</v>
      </c>
      <c r="Q46" s="59" t="s">
        <v>53</v>
      </c>
      <c r="R46" s="59" t="s">
        <v>53</v>
      </c>
      <c r="S46" s="59" t="s">
        <v>53</v>
      </c>
      <c r="T46" s="60" t="s">
        <v>53</v>
      </c>
      <c r="U46" s="3"/>
      <c r="V46" s="3"/>
    </row>
    <row r="47" ht="20" customHeight="1" spans="1:22">
      <c r="A47" s="61"/>
      <c r="B47" s="62" t="s">
        <v>512</v>
      </c>
      <c r="C47" s="62"/>
      <c r="D47" s="62"/>
      <c r="E47" s="63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5"/>
      <c r="U47" s="3"/>
      <c r="V47" s="3"/>
    </row>
    <row r="48" ht="13.8"/>
  </sheetData>
  <mergeCells count="58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</mergeCells>
  <dataValidations count="2">
    <dataValidation type="list" allowBlank="1" sqref="F44:T44">
      <formula1>"N,A,B"</formula1>
    </dataValidation>
    <dataValidation type="list" allowBlank="1" sqref="F45:T45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0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Functions!E36</f>
        <v>BE-GAM-04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Functions!D36</f>
        <v>Compute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802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17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-4.3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254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COUNTIF(F27:T27,"P")</f>
        <v>6</v>
      </c>
      <c r="B7" s="20"/>
      <c r="C7" s="21">
        <f>COUNTIF(F27:T27,"F")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COUNTIF(F26:T26,"N")</f>
        <v>3</v>
      </c>
      <c r="M7" s="21">
        <f>COUNTIF(F26:T26,"A")</f>
        <v>1</v>
      </c>
      <c r="N7" s="21">
        <f>COUNTIF(F26:T26,"B")</f>
        <v>2</v>
      </c>
      <c r="O7" s="21">
        <f>COUNTA(F9:T9)</f>
        <v>6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255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878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879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880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881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882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883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3.5" customHeight="1" spans="1:22">
      <c r="A19" s="42" t="s">
        <v>494</v>
      </c>
      <c r="B19" s="43" t="s">
        <v>495</v>
      </c>
      <c r="C19" s="44"/>
      <c r="D19" s="45"/>
      <c r="E19" s="4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7"/>
      <c r="U19" s="3"/>
      <c r="V19" s="3"/>
    </row>
    <row r="20" ht="14" customHeight="1" spans="1:22">
      <c r="A20" s="47"/>
      <c r="B20" s="39" t="s">
        <v>884</v>
      </c>
      <c r="C20" s="39"/>
      <c r="D20" s="39"/>
      <c r="E20" s="48"/>
      <c r="F20" s="40" t="s">
        <v>481</v>
      </c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1"/>
      <c r="U20" s="3"/>
      <c r="V20" s="3"/>
    </row>
    <row r="21" ht="14" customHeight="1" spans="1:22">
      <c r="A21" s="47"/>
      <c r="B21" s="39" t="s">
        <v>885</v>
      </c>
      <c r="C21" s="39"/>
      <c r="D21" s="39"/>
      <c r="E21" s="48"/>
      <c r="F21" s="40"/>
      <c r="G21" s="40" t="s">
        <v>481</v>
      </c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1"/>
      <c r="U21" s="3"/>
      <c r="V21" s="3"/>
    </row>
    <row r="22" ht="14" customHeight="1" spans="1:22">
      <c r="A22" s="47"/>
      <c r="B22" s="39" t="s">
        <v>886</v>
      </c>
      <c r="C22" s="39"/>
      <c r="D22" s="39"/>
      <c r="E22" s="48"/>
      <c r="F22" s="40"/>
      <c r="G22" s="40"/>
      <c r="H22" s="40" t="s">
        <v>481</v>
      </c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1"/>
      <c r="U22" s="3"/>
      <c r="V22" s="3"/>
    </row>
    <row r="23" ht="14" customHeight="1" spans="1:22">
      <c r="A23" s="47"/>
      <c r="B23" s="39" t="s">
        <v>887</v>
      </c>
      <c r="C23" s="39"/>
      <c r="D23" s="39"/>
      <c r="E23" s="48"/>
      <c r="F23" s="40"/>
      <c r="G23" s="40"/>
      <c r="H23" s="40"/>
      <c r="I23" s="40" t="s">
        <v>481</v>
      </c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1"/>
      <c r="U23" s="3"/>
      <c r="V23" s="3"/>
    </row>
    <row r="24" ht="14" customHeight="1" spans="1:22">
      <c r="A24" s="47"/>
      <c r="B24" s="39" t="s">
        <v>888</v>
      </c>
      <c r="C24" s="39"/>
      <c r="D24" s="39"/>
      <c r="E24" s="48"/>
      <c r="F24" s="40"/>
      <c r="G24" s="40"/>
      <c r="H24" s="40"/>
      <c r="I24" s="40"/>
      <c r="J24" s="40" t="s">
        <v>481</v>
      </c>
      <c r="K24" s="40"/>
      <c r="L24" s="40"/>
      <c r="M24" s="40"/>
      <c r="N24" s="40"/>
      <c r="O24" s="40"/>
      <c r="P24" s="40"/>
      <c r="Q24" s="40"/>
      <c r="R24" s="40"/>
      <c r="S24" s="40"/>
      <c r="T24" s="41"/>
      <c r="U24" s="3"/>
      <c r="V24" s="3"/>
    </row>
    <row r="25" ht="14" customHeight="1" spans="1:22">
      <c r="A25" s="47"/>
      <c r="B25" s="39" t="s">
        <v>889</v>
      </c>
      <c r="C25" s="39"/>
      <c r="D25" s="39"/>
      <c r="E25" s="48"/>
      <c r="F25" s="40"/>
      <c r="G25" s="40"/>
      <c r="H25" s="40"/>
      <c r="I25" s="40"/>
      <c r="J25" s="40"/>
      <c r="K25" s="40" t="s">
        <v>481</v>
      </c>
      <c r="L25" s="40"/>
      <c r="M25" s="40"/>
      <c r="N25" s="40"/>
      <c r="O25" s="40"/>
      <c r="P25" s="40"/>
      <c r="Q25" s="40"/>
      <c r="R25" s="40"/>
      <c r="S25" s="40"/>
      <c r="T25" s="41"/>
      <c r="U25" s="3"/>
      <c r="V25" s="3"/>
    </row>
    <row r="26" ht="13.5" customHeight="1" spans="1:22">
      <c r="A26" s="42" t="s">
        <v>507</v>
      </c>
      <c r="B26" s="49" t="s">
        <v>508</v>
      </c>
      <c r="C26" s="49"/>
      <c r="D26" s="49"/>
      <c r="E26" s="50"/>
      <c r="F26" s="51" t="s">
        <v>449</v>
      </c>
      <c r="G26" s="51" t="s">
        <v>449</v>
      </c>
      <c r="H26" s="51" t="s">
        <v>449</v>
      </c>
      <c r="I26" s="51" t="s">
        <v>66</v>
      </c>
      <c r="J26" s="51" t="s">
        <v>450</v>
      </c>
      <c r="K26" s="51" t="s">
        <v>450</v>
      </c>
      <c r="L26" s="51"/>
      <c r="M26" s="51"/>
      <c r="N26" s="51"/>
      <c r="O26" s="51"/>
      <c r="P26" s="51"/>
      <c r="Q26" s="51"/>
      <c r="R26" s="51"/>
      <c r="S26" s="51"/>
      <c r="T26" s="52"/>
      <c r="U26" s="3"/>
      <c r="V26" s="3"/>
    </row>
    <row r="27" ht="13.5" customHeight="1" spans="1:22">
      <c r="A27" s="47"/>
      <c r="B27" s="53" t="s">
        <v>509</v>
      </c>
      <c r="C27" s="53"/>
      <c r="D27" s="53"/>
      <c r="E27" s="54"/>
      <c r="F27" s="55" t="s">
        <v>510</v>
      </c>
      <c r="G27" s="55" t="s">
        <v>510</v>
      </c>
      <c r="H27" s="55" t="s">
        <v>510</v>
      </c>
      <c r="I27" s="55" t="s">
        <v>510</v>
      </c>
      <c r="J27" s="55" t="s">
        <v>510</v>
      </c>
      <c r="K27" s="55" t="s">
        <v>510</v>
      </c>
      <c r="L27" s="55"/>
      <c r="M27" s="55"/>
      <c r="N27" s="55"/>
      <c r="O27" s="55"/>
      <c r="P27" s="55"/>
      <c r="Q27" s="55"/>
      <c r="R27" s="55"/>
      <c r="S27" s="55"/>
      <c r="T27" s="56"/>
      <c r="U27" s="3"/>
      <c r="V27" s="3"/>
    </row>
    <row r="28" ht="105" customHeight="1" spans="1:22">
      <c r="A28" s="47"/>
      <c r="B28" s="57" t="s">
        <v>511</v>
      </c>
      <c r="C28" s="57"/>
      <c r="D28" s="57"/>
      <c r="E28" s="58"/>
      <c r="F28" s="59" t="s">
        <v>53</v>
      </c>
      <c r="G28" s="59" t="s">
        <v>53</v>
      </c>
      <c r="H28" s="59" t="s">
        <v>53</v>
      </c>
      <c r="I28" s="59" t="s">
        <v>53</v>
      </c>
      <c r="J28" s="59" t="s">
        <v>53</v>
      </c>
      <c r="K28" s="59" t="s">
        <v>53</v>
      </c>
      <c r="L28" s="59"/>
      <c r="M28" s="59"/>
      <c r="N28" s="59"/>
      <c r="O28" s="59"/>
      <c r="P28" s="59"/>
      <c r="Q28" s="59"/>
      <c r="R28" s="59"/>
      <c r="S28" s="59"/>
      <c r="T28" s="60"/>
      <c r="U28" s="3"/>
      <c r="V28" s="3"/>
    </row>
    <row r="29" ht="20" customHeight="1" spans="1:22">
      <c r="A29" s="61"/>
      <c r="B29" s="62" t="s">
        <v>512</v>
      </c>
      <c r="C29" s="62"/>
      <c r="D29" s="62"/>
      <c r="E29" s="63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5"/>
      <c r="U29" s="3"/>
      <c r="V29" s="3"/>
    </row>
    <row r="30" ht="13.8"/>
  </sheetData>
  <mergeCells count="40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</mergeCells>
  <dataValidations count="2">
    <dataValidation type="list" allowBlank="1" sqref="F26:K26">
      <formula1>"N,A,B"</formula1>
    </dataValidation>
    <dataValidation type="list" allowBlank="1" sqref="F27:K27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6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Functions!E37</f>
        <v>BE-GAM-05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Functions!D37</f>
        <v>GetLocalDateAsync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802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22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-1.8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260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COUNTIF(F23:T23,"P")</f>
        <v>4</v>
      </c>
      <c r="B7" s="20"/>
      <c r="C7" s="21">
        <f>COUNTIF(F23:T23,"F")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COUNTIF(F22:T22,"N")</f>
        <v>1</v>
      </c>
      <c r="M7" s="21">
        <f>COUNTIF(F22:T22,"A")</f>
        <v>3</v>
      </c>
      <c r="N7" s="21">
        <f>COUNTIF(F22:T22,"B")</f>
        <v>0</v>
      </c>
      <c r="O7" s="21">
        <f>COUNTA(F9:T9)</f>
        <v>4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890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4" customHeight="1" spans="1:22">
      <c r="A12" s="38"/>
      <c r="B12" s="39" t="s">
        <v>891</v>
      </c>
      <c r="C12" s="39"/>
      <c r="D12" s="39"/>
      <c r="E12" s="35"/>
      <c r="F12" s="40" t="s">
        <v>481</v>
      </c>
      <c r="G12" s="40" t="s">
        <v>481</v>
      </c>
      <c r="H12" s="40" t="s">
        <v>481</v>
      </c>
      <c r="I12" s="40" t="s">
        <v>481</v>
      </c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1"/>
      <c r="U12" s="3"/>
      <c r="V12" s="9"/>
    </row>
    <row r="13" ht="13.5" customHeight="1" spans="1:22">
      <c r="A13" s="31"/>
      <c r="B13" s="32" t="s">
        <v>483</v>
      </c>
      <c r="C13" s="33"/>
      <c r="D13" s="34"/>
      <c r="E13" s="35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7"/>
      <c r="U13" s="3"/>
      <c r="V13" s="3"/>
    </row>
    <row r="14" ht="14" customHeight="1" spans="1:22">
      <c r="A14" s="38"/>
      <c r="B14" s="39" t="s">
        <v>892</v>
      </c>
      <c r="C14" s="39"/>
      <c r="D14" s="39"/>
      <c r="E14" s="35"/>
      <c r="F14" s="40" t="s">
        <v>481</v>
      </c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893</v>
      </c>
      <c r="C15" s="39"/>
      <c r="D15" s="39"/>
      <c r="E15" s="35"/>
      <c r="F15" s="40"/>
      <c r="G15" s="40" t="s">
        <v>481</v>
      </c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894</v>
      </c>
      <c r="C16" s="39"/>
      <c r="D16" s="39"/>
      <c r="E16" s="35"/>
      <c r="F16" s="40"/>
      <c r="G16" s="40"/>
      <c r="H16" s="40" t="s">
        <v>481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895</v>
      </c>
      <c r="C17" s="39"/>
      <c r="D17" s="39"/>
      <c r="E17" s="35"/>
      <c r="F17" s="40"/>
      <c r="G17" s="40"/>
      <c r="H17" s="40"/>
      <c r="I17" s="40" t="s">
        <v>481</v>
      </c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3.5" customHeight="1" spans="1:22">
      <c r="A18" s="42" t="s">
        <v>494</v>
      </c>
      <c r="B18" s="43" t="s">
        <v>495</v>
      </c>
      <c r="C18" s="44"/>
      <c r="D18" s="45"/>
      <c r="E18" s="4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7"/>
      <c r="U18" s="3"/>
      <c r="V18" s="3"/>
    </row>
    <row r="19" ht="14" customHeight="1" spans="1:22">
      <c r="A19" s="47"/>
      <c r="B19" s="39" t="s">
        <v>896</v>
      </c>
      <c r="C19" s="39"/>
      <c r="D19" s="39"/>
      <c r="E19" s="48"/>
      <c r="F19" s="40" t="s">
        <v>481</v>
      </c>
      <c r="G19" s="40" t="s">
        <v>481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1"/>
      <c r="U19" s="3"/>
      <c r="V19" s="3"/>
    </row>
    <row r="20" ht="14" customHeight="1" spans="1:22">
      <c r="A20" s="47"/>
      <c r="B20" s="39" t="s">
        <v>897</v>
      </c>
      <c r="C20" s="39"/>
      <c r="D20" s="39"/>
      <c r="E20" s="48"/>
      <c r="F20" s="40"/>
      <c r="G20" s="40"/>
      <c r="H20" s="40" t="s">
        <v>481</v>
      </c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1"/>
      <c r="U20" s="3"/>
      <c r="V20" s="3"/>
    </row>
    <row r="21" ht="14" customHeight="1" spans="1:22">
      <c r="A21" s="47"/>
      <c r="B21" s="39" t="s">
        <v>898</v>
      </c>
      <c r="C21" s="39"/>
      <c r="D21" s="39"/>
      <c r="E21" s="48"/>
      <c r="F21" s="40"/>
      <c r="G21" s="40"/>
      <c r="H21" s="40"/>
      <c r="I21" s="40" t="s">
        <v>481</v>
      </c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1"/>
      <c r="U21" s="3"/>
      <c r="V21" s="3"/>
    </row>
    <row r="22" ht="13.5" customHeight="1" spans="1:22">
      <c r="A22" s="42" t="s">
        <v>507</v>
      </c>
      <c r="B22" s="49" t="s">
        <v>508</v>
      </c>
      <c r="C22" s="49"/>
      <c r="D22" s="49"/>
      <c r="E22" s="50"/>
      <c r="F22" s="51" t="s">
        <v>66</v>
      </c>
      <c r="G22" s="51" t="s">
        <v>66</v>
      </c>
      <c r="H22" s="51" t="s">
        <v>449</v>
      </c>
      <c r="I22" s="51" t="s">
        <v>66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2"/>
      <c r="U22" s="3"/>
      <c r="V22" s="3"/>
    </row>
    <row r="23" ht="13.5" customHeight="1" spans="1:22">
      <c r="A23" s="47"/>
      <c r="B23" s="53" t="s">
        <v>509</v>
      </c>
      <c r="C23" s="53"/>
      <c r="D23" s="53"/>
      <c r="E23" s="54"/>
      <c r="F23" s="55" t="s">
        <v>510</v>
      </c>
      <c r="G23" s="55" t="s">
        <v>510</v>
      </c>
      <c r="H23" s="55" t="s">
        <v>510</v>
      </c>
      <c r="I23" s="55" t="s">
        <v>510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6"/>
      <c r="U23" s="3"/>
      <c r="V23" s="3"/>
    </row>
    <row r="24" ht="105" customHeight="1" spans="1:22">
      <c r="A24" s="47"/>
      <c r="B24" s="57" t="s">
        <v>511</v>
      </c>
      <c r="C24" s="57"/>
      <c r="D24" s="57"/>
      <c r="E24" s="58"/>
      <c r="F24" s="59" t="s">
        <v>53</v>
      </c>
      <c r="G24" s="59" t="s">
        <v>53</v>
      </c>
      <c r="H24" s="59" t="s">
        <v>53</v>
      </c>
      <c r="I24" s="59" t="s">
        <v>53</v>
      </c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60"/>
      <c r="U24" s="3"/>
      <c r="V24" s="3"/>
    </row>
    <row r="25" ht="20" customHeight="1" spans="1:22">
      <c r="A25" s="61"/>
      <c r="B25" s="62" t="s">
        <v>512</v>
      </c>
      <c r="C25" s="62"/>
      <c r="D25" s="62"/>
      <c r="E25" s="63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5"/>
      <c r="U25" s="3"/>
      <c r="V25" s="3"/>
    </row>
    <row r="26" ht="13.8"/>
  </sheetData>
  <mergeCells count="36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2:D12"/>
    <mergeCell ref="B14:D14"/>
    <mergeCell ref="B15:D15"/>
    <mergeCell ref="B16:D16"/>
    <mergeCell ref="B17:D17"/>
    <mergeCell ref="B19:D19"/>
    <mergeCell ref="B20:D20"/>
    <mergeCell ref="B21:D21"/>
    <mergeCell ref="B22:D22"/>
    <mergeCell ref="B23:D23"/>
    <mergeCell ref="B24:D24"/>
    <mergeCell ref="B25:D25"/>
  </mergeCells>
  <dataValidations count="2">
    <dataValidation type="list" allowBlank="1" sqref="F22:I22">
      <formula1>"N,A,B"</formula1>
    </dataValidation>
    <dataValidation type="list" allowBlank="1" sqref="F23:I23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Functions!E38</f>
        <v>BE-GAM-06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Functions!D38</f>
        <v>GetScoreBonus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802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11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-8.9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266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COUNTIF(F31:T31,"P")</f>
        <v>10</v>
      </c>
      <c r="B7" s="20"/>
      <c r="C7" s="21">
        <f>COUNTIF(F31:T31,"F")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COUNTIF(F30:T30,"N")</f>
        <v>0</v>
      </c>
      <c r="M7" s="21">
        <f>COUNTIF(F30:T30,"A")</f>
        <v>2</v>
      </c>
      <c r="N7" s="21">
        <f>COUNTIF(F30:T30,"B")</f>
        <v>8</v>
      </c>
      <c r="O7" s="21">
        <f>COUNTA(F9:T9)</f>
        <v>10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 t="s">
        <v>474</v>
      </c>
      <c r="N9" s="28" t="s">
        <v>475</v>
      </c>
      <c r="O9" s="28" t="s">
        <v>476</v>
      </c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267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 t="s">
        <v>481</v>
      </c>
      <c r="N11" s="40" t="s">
        <v>481</v>
      </c>
      <c r="O11" s="40" t="s">
        <v>481</v>
      </c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899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900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901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902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903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904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905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4" customHeight="1" spans="1:22">
      <c r="A20" s="38"/>
      <c r="B20" s="39" t="s">
        <v>906</v>
      </c>
      <c r="C20" s="39"/>
      <c r="D20" s="39"/>
      <c r="E20" s="35"/>
      <c r="F20" s="40"/>
      <c r="G20" s="40"/>
      <c r="H20" s="40"/>
      <c r="I20" s="40"/>
      <c r="J20" s="40"/>
      <c r="K20" s="40"/>
      <c r="L20" s="40"/>
      <c r="M20" s="40" t="s">
        <v>481</v>
      </c>
      <c r="N20" s="40"/>
      <c r="O20" s="40"/>
      <c r="P20" s="40"/>
      <c r="Q20" s="40"/>
      <c r="R20" s="40"/>
      <c r="S20" s="40"/>
      <c r="T20" s="41"/>
      <c r="U20" s="3"/>
      <c r="V20" s="9"/>
    </row>
    <row r="21" ht="14" customHeight="1" spans="1:22">
      <c r="A21" s="38"/>
      <c r="B21" s="39" t="s">
        <v>907</v>
      </c>
      <c r="C21" s="39"/>
      <c r="D21" s="39"/>
      <c r="E21" s="35"/>
      <c r="F21" s="40"/>
      <c r="G21" s="40"/>
      <c r="H21" s="40"/>
      <c r="I21" s="40"/>
      <c r="J21" s="40"/>
      <c r="K21" s="40"/>
      <c r="L21" s="40"/>
      <c r="M21" s="40"/>
      <c r="N21" s="40" t="s">
        <v>481</v>
      </c>
      <c r="O21" s="40"/>
      <c r="P21" s="40"/>
      <c r="Q21" s="40"/>
      <c r="R21" s="40"/>
      <c r="S21" s="40"/>
      <c r="T21" s="41"/>
      <c r="U21" s="3"/>
      <c r="V21" s="9"/>
    </row>
    <row r="22" ht="14" customHeight="1" spans="1:22">
      <c r="A22" s="38"/>
      <c r="B22" s="39" t="s">
        <v>908</v>
      </c>
      <c r="C22" s="39"/>
      <c r="D22" s="39"/>
      <c r="E22" s="35"/>
      <c r="F22" s="40"/>
      <c r="G22" s="40"/>
      <c r="H22" s="40"/>
      <c r="I22" s="40"/>
      <c r="J22" s="40"/>
      <c r="K22" s="40"/>
      <c r="L22" s="40"/>
      <c r="M22" s="40"/>
      <c r="N22" s="40"/>
      <c r="O22" s="40" t="s">
        <v>481</v>
      </c>
      <c r="P22" s="40"/>
      <c r="Q22" s="40"/>
      <c r="R22" s="40"/>
      <c r="S22" s="40"/>
      <c r="T22" s="41"/>
      <c r="U22" s="3"/>
      <c r="V22" s="9"/>
    </row>
    <row r="23" ht="13.5" customHeight="1" spans="1:22">
      <c r="A23" s="42" t="s">
        <v>494</v>
      </c>
      <c r="B23" s="43" t="s">
        <v>495</v>
      </c>
      <c r="C23" s="44"/>
      <c r="D23" s="45"/>
      <c r="E23" s="4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7"/>
      <c r="U23" s="3"/>
      <c r="V23" s="3"/>
    </row>
    <row r="24" ht="14" customHeight="1" spans="1:22">
      <c r="A24" s="47"/>
      <c r="B24" s="39" t="s">
        <v>909</v>
      </c>
      <c r="C24" s="39"/>
      <c r="D24" s="39"/>
      <c r="E24" s="48"/>
      <c r="F24" s="40" t="s">
        <v>481</v>
      </c>
      <c r="G24" s="40" t="s">
        <v>481</v>
      </c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1"/>
      <c r="U24" s="3"/>
      <c r="V24" s="3"/>
    </row>
    <row r="25" ht="14" customHeight="1" spans="1:22">
      <c r="A25" s="47"/>
      <c r="B25" s="39" t="s">
        <v>910</v>
      </c>
      <c r="C25" s="39"/>
      <c r="D25" s="39"/>
      <c r="E25" s="48"/>
      <c r="F25" s="40"/>
      <c r="G25" s="40"/>
      <c r="H25" s="40" t="s">
        <v>481</v>
      </c>
      <c r="I25" s="40" t="s">
        <v>481</v>
      </c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1"/>
      <c r="U25" s="3"/>
      <c r="V25" s="3"/>
    </row>
    <row r="26" ht="14" customHeight="1" spans="1:22">
      <c r="A26" s="47"/>
      <c r="B26" s="39" t="s">
        <v>911</v>
      </c>
      <c r="C26" s="39"/>
      <c r="D26" s="39"/>
      <c r="E26" s="48"/>
      <c r="F26" s="40"/>
      <c r="G26" s="40"/>
      <c r="H26" s="40"/>
      <c r="I26" s="40"/>
      <c r="J26" s="40" t="s">
        <v>481</v>
      </c>
      <c r="K26" s="40" t="s">
        <v>481</v>
      </c>
      <c r="L26" s="40"/>
      <c r="M26" s="40"/>
      <c r="N26" s="40"/>
      <c r="O26" s="40"/>
      <c r="P26" s="40"/>
      <c r="Q26" s="40"/>
      <c r="R26" s="40"/>
      <c r="S26" s="40"/>
      <c r="T26" s="41"/>
      <c r="U26" s="3"/>
      <c r="V26" s="3"/>
    </row>
    <row r="27" ht="14" customHeight="1" spans="1:22">
      <c r="A27" s="47"/>
      <c r="B27" s="39" t="s">
        <v>912</v>
      </c>
      <c r="C27" s="39"/>
      <c r="D27" s="39"/>
      <c r="E27" s="48"/>
      <c r="F27" s="40"/>
      <c r="G27" s="40"/>
      <c r="H27" s="40"/>
      <c r="I27" s="40"/>
      <c r="J27" s="40"/>
      <c r="K27" s="40"/>
      <c r="L27" s="40" t="s">
        <v>481</v>
      </c>
      <c r="M27" s="40" t="s">
        <v>481</v>
      </c>
      <c r="N27" s="40"/>
      <c r="O27" s="40"/>
      <c r="P27" s="40"/>
      <c r="Q27" s="40"/>
      <c r="R27" s="40"/>
      <c r="S27" s="40"/>
      <c r="T27" s="41"/>
      <c r="U27" s="3"/>
      <c r="V27" s="3"/>
    </row>
    <row r="28" ht="13.5" customHeight="1" spans="1:22">
      <c r="A28" s="42"/>
      <c r="B28" s="43" t="s">
        <v>913</v>
      </c>
      <c r="C28" s="44"/>
      <c r="D28" s="45"/>
      <c r="E28" s="4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7"/>
      <c r="U28" s="3"/>
      <c r="V28" s="3"/>
    </row>
    <row r="29" ht="14" customHeight="1" spans="1:22">
      <c r="A29" s="47"/>
      <c r="B29" s="39" t="s">
        <v>914</v>
      </c>
      <c r="C29" s="39"/>
      <c r="D29" s="39"/>
      <c r="E29" s="48"/>
      <c r="F29" s="40"/>
      <c r="G29" s="40"/>
      <c r="H29" s="40"/>
      <c r="I29" s="40"/>
      <c r="J29" s="40"/>
      <c r="K29" s="40"/>
      <c r="L29" s="40"/>
      <c r="M29" s="40"/>
      <c r="N29" s="40" t="s">
        <v>481</v>
      </c>
      <c r="O29" s="40" t="s">
        <v>481</v>
      </c>
      <c r="P29" s="40"/>
      <c r="Q29" s="40"/>
      <c r="R29" s="40"/>
      <c r="S29" s="40"/>
      <c r="T29" s="41"/>
      <c r="U29" s="3"/>
      <c r="V29" s="3"/>
    </row>
    <row r="30" ht="13.5" customHeight="1" spans="1:22">
      <c r="A30" s="42" t="s">
        <v>507</v>
      </c>
      <c r="B30" s="49" t="s">
        <v>508</v>
      </c>
      <c r="C30" s="49"/>
      <c r="D30" s="49"/>
      <c r="E30" s="50"/>
      <c r="F30" s="51" t="s">
        <v>450</v>
      </c>
      <c r="G30" s="51" t="s">
        <v>450</v>
      </c>
      <c r="H30" s="51" t="s">
        <v>450</v>
      </c>
      <c r="I30" s="51" t="s">
        <v>450</v>
      </c>
      <c r="J30" s="51" t="s">
        <v>450</v>
      </c>
      <c r="K30" s="51" t="s">
        <v>450</v>
      </c>
      <c r="L30" s="51" t="s">
        <v>450</v>
      </c>
      <c r="M30" s="51" t="s">
        <v>450</v>
      </c>
      <c r="N30" s="51" t="s">
        <v>66</v>
      </c>
      <c r="O30" s="51" t="s">
        <v>66</v>
      </c>
      <c r="P30" s="51"/>
      <c r="Q30" s="51"/>
      <c r="R30" s="51"/>
      <c r="S30" s="51"/>
      <c r="T30" s="52"/>
      <c r="U30" s="3"/>
      <c r="V30" s="3"/>
    </row>
    <row r="31" ht="13.5" customHeight="1" spans="1:22">
      <c r="A31" s="47"/>
      <c r="B31" s="53" t="s">
        <v>509</v>
      </c>
      <c r="C31" s="53"/>
      <c r="D31" s="53"/>
      <c r="E31" s="54"/>
      <c r="F31" s="55" t="s">
        <v>510</v>
      </c>
      <c r="G31" s="55" t="s">
        <v>510</v>
      </c>
      <c r="H31" s="55" t="s">
        <v>510</v>
      </c>
      <c r="I31" s="55" t="s">
        <v>510</v>
      </c>
      <c r="J31" s="55" t="s">
        <v>510</v>
      </c>
      <c r="K31" s="55" t="s">
        <v>510</v>
      </c>
      <c r="L31" s="55" t="s">
        <v>510</v>
      </c>
      <c r="M31" s="55" t="s">
        <v>510</v>
      </c>
      <c r="N31" s="55" t="s">
        <v>510</v>
      </c>
      <c r="O31" s="55" t="s">
        <v>510</v>
      </c>
      <c r="P31" s="55"/>
      <c r="Q31" s="55"/>
      <c r="R31" s="55"/>
      <c r="S31" s="55"/>
      <c r="T31" s="56"/>
      <c r="U31" s="3"/>
      <c r="V31" s="3"/>
    </row>
    <row r="32" ht="105" customHeight="1" spans="1:22">
      <c r="A32" s="47"/>
      <c r="B32" s="57" t="s">
        <v>511</v>
      </c>
      <c r="C32" s="57"/>
      <c r="D32" s="57"/>
      <c r="E32" s="58"/>
      <c r="F32" s="59" t="s">
        <v>53</v>
      </c>
      <c r="G32" s="59" t="s">
        <v>53</v>
      </c>
      <c r="H32" s="59" t="s">
        <v>53</v>
      </c>
      <c r="I32" s="59" t="s">
        <v>53</v>
      </c>
      <c r="J32" s="59" t="s">
        <v>53</v>
      </c>
      <c r="K32" s="59" t="s">
        <v>53</v>
      </c>
      <c r="L32" s="59" t="s">
        <v>53</v>
      </c>
      <c r="M32" s="59" t="s">
        <v>53</v>
      </c>
      <c r="N32" s="59" t="s">
        <v>53</v>
      </c>
      <c r="O32" s="59" t="s">
        <v>53</v>
      </c>
      <c r="P32" s="59"/>
      <c r="Q32" s="59"/>
      <c r="R32" s="59"/>
      <c r="S32" s="59"/>
      <c r="T32" s="60"/>
      <c r="U32" s="3"/>
      <c r="V32" s="3"/>
    </row>
    <row r="33" ht="20" customHeight="1" spans="1:22">
      <c r="A33" s="61"/>
      <c r="B33" s="62" t="s">
        <v>512</v>
      </c>
      <c r="C33" s="62"/>
      <c r="D33" s="62"/>
      <c r="E33" s="6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5"/>
      <c r="U33" s="3"/>
      <c r="V33" s="3"/>
    </row>
    <row r="34" ht="13.8"/>
  </sheetData>
  <mergeCells count="43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4:D24"/>
    <mergeCell ref="B25:D25"/>
    <mergeCell ref="B26:D26"/>
    <mergeCell ref="B27:D27"/>
    <mergeCell ref="B29:D29"/>
    <mergeCell ref="B30:D30"/>
    <mergeCell ref="B31:D31"/>
    <mergeCell ref="B32:D32"/>
    <mergeCell ref="B33:D33"/>
  </mergeCells>
  <dataValidations count="2">
    <dataValidation type="list" allowBlank="1" sqref="F30:O30">
      <formula1>"N,A,B"</formula1>
    </dataValidation>
    <dataValidation type="list" allowBlank="1" sqref="F31:O31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7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Functions!E39</f>
        <v>BE-GAM-07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Functions!D39</f>
        <v>IsImprovementEligible / TryGetStreakMilestoneXp / fixed XP amounts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802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4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-10.6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271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COUNTIF(F34:T34,"P")</f>
        <v>11</v>
      </c>
      <c r="B7" s="20"/>
      <c r="C7" s="21">
        <f>COUNTIF(F34:T34,"F")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COUNTIF(F33:T33,"N")</f>
        <v>8</v>
      </c>
      <c r="M7" s="21">
        <f>COUNTIF(F33:T33,"A")</f>
        <v>0</v>
      </c>
      <c r="N7" s="21">
        <f>COUNTIF(F33:T33,"B")</f>
        <v>3</v>
      </c>
      <c r="O7" s="21">
        <f>COUNTA(F9:T9)</f>
        <v>11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 t="s">
        <v>474</v>
      </c>
      <c r="N9" s="28" t="s">
        <v>475</v>
      </c>
      <c r="O9" s="28" t="s">
        <v>476</v>
      </c>
      <c r="P9" s="28" t="s">
        <v>477</v>
      </c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267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 t="s">
        <v>481</v>
      </c>
      <c r="N11" s="40" t="s">
        <v>481</v>
      </c>
      <c r="O11" s="40" t="s">
        <v>481</v>
      </c>
      <c r="P11" s="40" t="s">
        <v>481</v>
      </c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915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916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917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918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919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920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921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4" customHeight="1" spans="1:22">
      <c r="A20" s="38"/>
      <c r="B20" s="39" t="s">
        <v>922</v>
      </c>
      <c r="C20" s="39"/>
      <c r="D20" s="39"/>
      <c r="E20" s="35"/>
      <c r="F20" s="40"/>
      <c r="G20" s="40"/>
      <c r="H20" s="40"/>
      <c r="I20" s="40"/>
      <c r="J20" s="40"/>
      <c r="K20" s="40"/>
      <c r="L20" s="40"/>
      <c r="M20" s="40" t="s">
        <v>481</v>
      </c>
      <c r="N20" s="40"/>
      <c r="O20" s="40"/>
      <c r="P20" s="40"/>
      <c r="Q20" s="40"/>
      <c r="R20" s="40"/>
      <c r="S20" s="40"/>
      <c r="T20" s="41"/>
      <c r="U20" s="3"/>
      <c r="V20" s="9"/>
    </row>
    <row r="21" ht="14" customHeight="1" spans="1:22">
      <c r="A21" s="38"/>
      <c r="B21" s="39" t="s">
        <v>923</v>
      </c>
      <c r="C21" s="39"/>
      <c r="D21" s="39"/>
      <c r="E21" s="35"/>
      <c r="F21" s="40"/>
      <c r="G21" s="40"/>
      <c r="H21" s="40"/>
      <c r="I21" s="40"/>
      <c r="J21" s="40"/>
      <c r="K21" s="40"/>
      <c r="L21" s="40"/>
      <c r="M21" s="40"/>
      <c r="N21" s="40" t="s">
        <v>481</v>
      </c>
      <c r="O21" s="40"/>
      <c r="P21" s="40"/>
      <c r="Q21" s="40"/>
      <c r="R21" s="40"/>
      <c r="S21" s="40"/>
      <c r="T21" s="41"/>
      <c r="U21" s="3"/>
      <c r="V21" s="9"/>
    </row>
    <row r="22" ht="14" customHeight="1" spans="1:22">
      <c r="A22" s="38"/>
      <c r="B22" s="39" t="s">
        <v>924</v>
      </c>
      <c r="C22" s="39"/>
      <c r="D22" s="39"/>
      <c r="E22" s="35"/>
      <c r="F22" s="40"/>
      <c r="G22" s="40"/>
      <c r="H22" s="40"/>
      <c r="I22" s="40"/>
      <c r="J22" s="40"/>
      <c r="K22" s="40"/>
      <c r="L22" s="40"/>
      <c r="M22" s="40"/>
      <c r="N22" s="40"/>
      <c r="O22" s="40" t="s">
        <v>481</v>
      </c>
      <c r="P22" s="40"/>
      <c r="Q22" s="40"/>
      <c r="R22" s="40"/>
      <c r="S22" s="40"/>
      <c r="T22" s="41"/>
      <c r="U22" s="3"/>
      <c r="V22" s="9"/>
    </row>
    <row r="23" ht="14" customHeight="1" spans="1:22">
      <c r="A23" s="38"/>
      <c r="B23" s="39" t="s">
        <v>925</v>
      </c>
      <c r="C23" s="39"/>
      <c r="D23" s="39"/>
      <c r="E23" s="35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 t="s">
        <v>481</v>
      </c>
      <c r="Q23" s="40"/>
      <c r="R23" s="40"/>
      <c r="S23" s="40"/>
      <c r="T23" s="41"/>
      <c r="U23" s="3"/>
      <c r="V23" s="9"/>
    </row>
    <row r="24" ht="13.5" customHeight="1" spans="1:22">
      <c r="A24" s="42" t="s">
        <v>494</v>
      </c>
      <c r="B24" s="43" t="s">
        <v>495</v>
      </c>
      <c r="C24" s="44"/>
      <c r="D24" s="45"/>
      <c r="E24" s="4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7"/>
      <c r="U24" s="3"/>
      <c r="V24" s="3"/>
    </row>
    <row r="25" ht="14" customHeight="1" spans="1:22">
      <c r="A25" s="47"/>
      <c r="B25" s="39" t="s">
        <v>926</v>
      </c>
      <c r="C25" s="39"/>
      <c r="D25" s="39"/>
      <c r="E25" s="48"/>
      <c r="F25" s="40" t="s">
        <v>481</v>
      </c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1"/>
      <c r="U25" s="3"/>
      <c r="V25" s="3"/>
    </row>
    <row r="26" ht="14" customHeight="1" spans="1:22">
      <c r="A26" s="47"/>
      <c r="B26" s="39" t="s">
        <v>927</v>
      </c>
      <c r="C26" s="39"/>
      <c r="D26" s="39"/>
      <c r="E26" s="48"/>
      <c r="F26" s="40"/>
      <c r="G26" s="40" t="s">
        <v>481</v>
      </c>
      <c r="H26" s="40" t="s">
        <v>481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1"/>
      <c r="U26" s="3"/>
      <c r="V26" s="3"/>
    </row>
    <row r="27" ht="14" customHeight="1" spans="1:22">
      <c r="A27" s="47"/>
      <c r="B27" s="39" t="s">
        <v>928</v>
      </c>
      <c r="C27" s="39"/>
      <c r="D27" s="39"/>
      <c r="E27" s="48"/>
      <c r="F27" s="40"/>
      <c r="G27" s="40"/>
      <c r="H27" s="40"/>
      <c r="I27" s="40" t="s">
        <v>481</v>
      </c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1"/>
      <c r="U27" s="3"/>
      <c r="V27" s="3"/>
    </row>
    <row r="28" ht="14" customHeight="1" spans="1:22">
      <c r="A28" s="47"/>
      <c r="B28" s="39" t="s">
        <v>929</v>
      </c>
      <c r="C28" s="39"/>
      <c r="D28" s="39"/>
      <c r="E28" s="48"/>
      <c r="F28" s="40"/>
      <c r="G28" s="40"/>
      <c r="H28" s="40"/>
      <c r="I28" s="40"/>
      <c r="J28" s="40" t="s">
        <v>481</v>
      </c>
      <c r="K28" s="40"/>
      <c r="L28" s="40"/>
      <c r="M28" s="40"/>
      <c r="N28" s="40"/>
      <c r="O28" s="40"/>
      <c r="P28" s="40"/>
      <c r="Q28" s="40"/>
      <c r="R28" s="40"/>
      <c r="S28" s="40"/>
      <c r="T28" s="41"/>
      <c r="U28" s="3"/>
      <c r="V28" s="3"/>
    </row>
    <row r="29" ht="14" customHeight="1" spans="1:22">
      <c r="A29" s="47"/>
      <c r="B29" s="39" t="s">
        <v>930</v>
      </c>
      <c r="C29" s="39"/>
      <c r="D29" s="39"/>
      <c r="E29" s="48"/>
      <c r="F29" s="40"/>
      <c r="G29" s="40"/>
      <c r="H29" s="40"/>
      <c r="I29" s="40"/>
      <c r="J29" s="40"/>
      <c r="K29" s="40" t="s">
        <v>481</v>
      </c>
      <c r="L29" s="40"/>
      <c r="M29" s="40"/>
      <c r="N29" s="40"/>
      <c r="O29" s="40"/>
      <c r="P29" s="40"/>
      <c r="Q29" s="40"/>
      <c r="R29" s="40"/>
      <c r="S29" s="40"/>
      <c r="T29" s="41"/>
      <c r="U29" s="3"/>
      <c r="V29" s="3"/>
    </row>
    <row r="30" ht="14" customHeight="1" spans="1:22">
      <c r="A30" s="47"/>
      <c r="B30" s="39" t="s">
        <v>931</v>
      </c>
      <c r="C30" s="39"/>
      <c r="D30" s="39"/>
      <c r="E30" s="48"/>
      <c r="F30" s="40"/>
      <c r="G30" s="40"/>
      <c r="H30" s="40"/>
      <c r="I30" s="40"/>
      <c r="J30" s="40"/>
      <c r="K30" s="40"/>
      <c r="L30" s="40" t="s">
        <v>481</v>
      </c>
      <c r="M30" s="40"/>
      <c r="N30" s="40"/>
      <c r="O30" s="40"/>
      <c r="P30" s="40"/>
      <c r="Q30" s="40"/>
      <c r="R30" s="40"/>
      <c r="S30" s="40"/>
      <c r="T30" s="41"/>
      <c r="U30" s="3"/>
      <c r="V30" s="3"/>
    </row>
    <row r="31" ht="14" customHeight="1" spans="1:22">
      <c r="A31" s="47"/>
      <c r="B31" s="39" t="s">
        <v>932</v>
      </c>
      <c r="C31" s="39"/>
      <c r="D31" s="39"/>
      <c r="E31" s="48"/>
      <c r="F31" s="40"/>
      <c r="G31" s="40"/>
      <c r="H31" s="40"/>
      <c r="I31" s="40"/>
      <c r="J31" s="40"/>
      <c r="K31" s="40"/>
      <c r="L31" s="40"/>
      <c r="M31" s="40" t="s">
        <v>481</v>
      </c>
      <c r="N31" s="40" t="s">
        <v>481</v>
      </c>
      <c r="O31" s="40" t="s">
        <v>481</v>
      </c>
      <c r="P31" s="40"/>
      <c r="Q31" s="40"/>
      <c r="R31" s="40"/>
      <c r="S31" s="40"/>
      <c r="T31" s="41"/>
      <c r="U31" s="3"/>
      <c r="V31" s="3"/>
    </row>
    <row r="32" ht="14" customHeight="1" spans="1:22">
      <c r="A32" s="47"/>
      <c r="B32" s="39" t="s">
        <v>933</v>
      </c>
      <c r="C32" s="39"/>
      <c r="D32" s="39"/>
      <c r="E32" s="48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 t="s">
        <v>481</v>
      </c>
      <c r="Q32" s="40"/>
      <c r="R32" s="40"/>
      <c r="S32" s="40"/>
      <c r="T32" s="41"/>
      <c r="U32" s="3"/>
      <c r="V32" s="3"/>
    </row>
    <row r="33" ht="13.5" customHeight="1" spans="1:22">
      <c r="A33" s="42" t="s">
        <v>507</v>
      </c>
      <c r="B33" s="49" t="s">
        <v>508</v>
      </c>
      <c r="C33" s="49"/>
      <c r="D33" s="49"/>
      <c r="E33" s="50"/>
      <c r="F33" s="51" t="s">
        <v>450</v>
      </c>
      <c r="G33" s="51" t="s">
        <v>450</v>
      </c>
      <c r="H33" s="51" t="s">
        <v>449</v>
      </c>
      <c r="I33" s="51" t="s">
        <v>449</v>
      </c>
      <c r="J33" s="51" t="s">
        <v>449</v>
      </c>
      <c r="K33" s="51" t="s">
        <v>449</v>
      </c>
      <c r="L33" s="51" t="s">
        <v>449</v>
      </c>
      <c r="M33" s="51" t="s">
        <v>449</v>
      </c>
      <c r="N33" s="51" t="s">
        <v>449</v>
      </c>
      <c r="O33" s="51" t="s">
        <v>450</v>
      </c>
      <c r="P33" s="51" t="s">
        <v>449</v>
      </c>
      <c r="Q33" s="51"/>
      <c r="R33" s="51"/>
      <c r="S33" s="51"/>
      <c r="T33" s="52"/>
      <c r="U33" s="3"/>
      <c r="V33" s="3"/>
    </row>
    <row r="34" ht="13.5" customHeight="1" spans="1:22">
      <c r="A34" s="47"/>
      <c r="B34" s="53" t="s">
        <v>509</v>
      </c>
      <c r="C34" s="53"/>
      <c r="D34" s="53"/>
      <c r="E34" s="54"/>
      <c r="F34" s="55" t="s">
        <v>510</v>
      </c>
      <c r="G34" s="55" t="s">
        <v>510</v>
      </c>
      <c r="H34" s="55" t="s">
        <v>510</v>
      </c>
      <c r="I34" s="55" t="s">
        <v>510</v>
      </c>
      <c r="J34" s="55" t="s">
        <v>510</v>
      </c>
      <c r="K34" s="55" t="s">
        <v>510</v>
      </c>
      <c r="L34" s="55" t="s">
        <v>510</v>
      </c>
      <c r="M34" s="55" t="s">
        <v>510</v>
      </c>
      <c r="N34" s="55" t="s">
        <v>510</v>
      </c>
      <c r="O34" s="55" t="s">
        <v>510</v>
      </c>
      <c r="P34" s="55" t="s">
        <v>510</v>
      </c>
      <c r="Q34" s="55"/>
      <c r="R34" s="55"/>
      <c r="S34" s="55"/>
      <c r="T34" s="56"/>
      <c r="U34" s="3"/>
      <c r="V34" s="3"/>
    </row>
    <row r="35" ht="105" customHeight="1" spans="1:22">
      <c r="A35" s="47"/>
      <c r="B35" s="57" t="s">
        <v>511</v>
      </c>
      <c r="C35" s="57"/>
      <c r="D35" s="57"/>
      <c r="E35" s="58"/>
      <c r="F35" s="59" t="s">
        <v>53</v>
      </c>
      <c r="G35" s="59" t="s">
        <v>53</v>
      </c>
      <c r="H35" s="59" t="s">
        <v>53</v>
      </c>
      <c r="I35" s="59" t="s">
        <v>53</v>
      </c>
      <c r="J35" s="59" t="s">
        <v>53</v>
      </c>
      <c r="K35" s="59" t="s">
        <v>53</v>
      </c>
      <c r="L35" s="59" t="s">
        <v>53</v>
      </c>
      <c r="M35" s="59" t="s">
        <v>53</v>
      </c>
      <c r="N35" s="59" t="s">
        <v>53</v>
      </c>
      <c r="O35" s="59" t="s">
        <v>53</v>
      </c>
      <c r="P35" s="59" t="s">
        <v>53</v>
      </c>
      <c r="Q35" s="59"/>
      <c r="R35" s="59"/>
      <c r="S35" s="59"/>
      <c r="T35" s="60"/>
      <c r="U35" s="3"/>
      <c r="V35" s="3"/>
    </row>
    <row r="36" ht="20" customHeight="1" spans="1:22">
      <c r="A36" s="61"/>
      <c r="B36" s="62" t="s">
        <v>512</v>
      </c>
      <c r="C36" s="62"/>
      <c r="D36" s="62"/>
      <c r="E36" s="63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5"/>
      <c r="U36" s="3"/>
      <c r="V36" s="3"/>
    </row>
    <row r="37" ht="13.8"/>
  </sheetData>
  <mergeCells count="47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</mergeCells>
  <dataValidations count="2">
    <dataValidation type="list" allowBlank="1" sqref="F33:P33">
      <formula1>"N,A,B"</formula1>
    </dataValidation>
    <dataValidation type="list" allowBlank="1" sqref="F34:P34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Functions!E40</f>
        <v>BE-QS-01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Functions!D40</f>
        <v>ApplySelection / MapInterviewSelectionToSetQuestionIds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802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49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0.9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277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COUNTIF(F24:T24,"P")</f>
        <v>4</v>
      </c>
      <c r="B7" s="20"/>
      <c r="C7" s="21">
        <f>COUNTIF(F24:T24,"F")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COUNTIF(F23:T23,"N")</f>
        <v>2</v>
      </c>
      <c r="M7" s="21">
        <f>COUNTIF(F23:T23,"A")</f>
        <v>1</v>
      </c>
      <c r="N7" s="21">
        <f>COUNTIF(F23:T23,"B")</f>
        <v>1</v>
      </c>
      <c r="O7" s="21">
        <f>COUNTA(F9:T9)</f>
        <v>4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278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934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935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936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937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3.5" customHeight="1" spans="1:22">
      <c r="A17" s="42" t="s">
        <v>494</v>
      </c>
      <c r="B17" s="43" t="s">
        <v>495</v>
      </c>
      <c r="C17" s="44"/>
      <c r="D17" s="45"/>
      <c r="E17" s="4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7"/>
      <c r="U17" s="3"/>
      <c r="V17" s="3"/>
    </row>
    <row r="18" ht="14" customHeight="1" spans="1:22">
      <c r="A18" s="47"/>
      <c r="B18" s="39" t="s">
        <v>938</v>
      </c>
      <c r="C18" s="39"/>
      <c r="D18" s="39"/>
      <c r="E18" s="48"/>
      <c r="F18" s="40" t="s">
        <v>481</v>
      </c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3"/>
    </row>
    <row r="19" ht="14" customHeight="1" spans="1:22">
      <c r="A19" s="47"/>
      <c r="B19" s="39" t="s">
        <v>939</v>
      </c>
      <c r="C19" s="39"/>
      <c r="D19" s="39"/>
      <c r="E19" s="48"/>
      <c r="F19" s="40"/>
      <c r="G19" s="40" t="s">
        <v>481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1"/>
      <c r="U19" s="3"/>
      <c r="V19" s="3"/>
    </row>
    <row r="20" ht="14" customHeight="1" spans="1:22">
      <c r="A20" s="47"/>
      <c r="B20" s="39" t="s">
        <v>940</v>
      </c>
      <c r="C20" s="39"/>
      <c r="D20" s="39"/>
      <c r="E20" s="48"/>
      <c r="F20" s="40"/>
      <c r="G20" s="40"/>
      <c r="H20" s="40"/>
      <c r="I20" s="40" t="s">
        <v>481</v>
      </c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1"/>
      <c r="U20" s="3"/>
      <c r="V20" s="3"/>
    </row>
    <row r="21" ht="13.5" customHeight="1" spans="1:22">
      <c r="A21" s="42"/>
      <c r="B21" s="43" t="s">
        <v>913</v>
      </c>
      <c r="C21" s="44"/>
      <c r="D21" s="45"/>
      <c r="E21" s="4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/>
      <c r="U21" s="3"/>
      <c r="V21" s="3"/>
    </row>
    <row r="22" ht="14" customHeight="1" spans="1:22">
      <c r="A22" s="47"/>
      <c r="B22" s="39" t="s">
        <v>941</v>
      </c>
      <c r="C22" s="39"/>
      <c r="D22" s="39"/>
      <c r="E22" s="48"/>
      <c r="F22" s="40"/>
      <c r="G22" s="40"/>
      <c r="H22" s="40" t="s">
        <v>481</v>
      </c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1"/>
      <c r="U22" s="3"/>
      <c r="V22" s="3"/>
    </row>
    <row r="23" ht="13.5" customHeight="1" spans="1:22">
      <c r="A23" s="42" t="s">
        <v>507</v>
      </c>
      <c r="B23" s="49" t="s">
        <v>508</v>
      </c>
      <c r="C23" s="49"/>
      <c r="D23" s="49"/>
      <c r="E23" s="50"/>
      <c r="F23" s="51" t="s">
        <v>449</v>
      </c>
      <c r="G23" s="51" t="s">
        <v>450</v>
      </c>
      <c r="H23" s="51" t="s">
        <v>66</v>
      </c>
      <c r="I23" s="51" t="s">
        <v>449</v>
      </c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2"/>
      <c r="U23" s="3"/>
      <c r="V23" s="3"/>
    </row>
    <row r="24" ht="13.5" customHeight="1" spans="1:22">
      <c r="A24" s="47"/>
      <c r="B24" s="53" t="s">
        <v>509</v>
      </c>
      <c r="C24" s="53"/>
      <c r="D24" s="53"/>
      <c r="E24" s="54"/>
      <c r="F24" s="55" t="s">
        <v>510</v>
      </c>
      <c r="G24" s="55" t="s">
        <v>510</v>
      </c>
      <c r="H24" s="55" t="s">
        <v>510</v>
      </c>
      <c r="I24" s="55" t="s">
        <v>510</v>
      </c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6"/>
      <c r="U24" s="3"/>
      <c r="V24" s="3"/>
    </row>
    <row r="25" ht="105" customHeight="1" spans="1:22">
      <c r="A25" s="47"/>
      <c r="B25" s="57" t="s">
        <v>511</v>
      </c>
      <c r="C25" s="57"/>
      <c r="D25" s="57"/>
      <c r="E25" s="58"/>
      <c r="F25" s="59" t="s">
        <v>53</v>
      </c>
      <c r="G25" s="59" t="s">
        <v>53</v>
      </c>
      <c r="H25" s="59" t="s">
        <v>53</v>
      </c>
      <c r="I25" s="59" t="s">
        <v>53</v>
      </c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60"/>
      <c r="U25" s="3"/>
      <c r="V25" s="3"/>
    </row>
    <row r="26" ht="20" customHeight="1" spans="1:22">
      <c r="A26" s="61"/>
      <c r="B26" s="62" t="s">
        <v>512</v>
      </c>
      <c r="C26" s="62"/>
      <c r="D26" s="62"/>
      <c r="E26" s="63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5"/>
      <c r="U26" s="3"/>
      <c r="V26" s="3"/>
    </row>
    <row r="27" ht="13.8"/>
  </sheetData>
  <mergeCells count="36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8:D18"/>
    <mergeCell ref="B19:D19"/>
    <mergeCell ref="B20:D20"/>
    <mergeCell ref="B22:D22"/>
    <mergeCell ref="B23:D23"/>
    <mergeCell ref="B24:D24"/>
    <mergeCell ref="B25:D25"/>
    <mergeCell ref="B26:D26"/>
  </mergeCells>
  <dataValidations count="2">
    <dataValidation type="list" allowBlank="1" sqref="F23:I23">
      <formula1>"N,A,B"</formula1>
    </dataValidation>
    <dataValidation type="list" allowBlank="1" sqref="F24:I24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6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Functions!E41</f>
        <v>BE-QS-02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Functions!D41</f>
        <v>NormalizeFromLegacyStrings / NormalizeFromJson / IsPublishReady / FlattenForEvaluate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793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64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2.4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283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COUNTIF(F23:T23,"P")</f>
        <v>4</v>
      </c>
      <c r="B7" s="20"/>
      <c r="C7" s="21">
        <f>COUNTIF(F23:T23,"F")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COUNTIF(F22:T22,"N")</f>
        <v>4</v>
      </c>
      <c r="M7" s="21">
        <f>COUNTIF(F22:T22,"A")</f>
        <v>0</v>
      </c>
      <c r="N7" s="21">
        <f>COUNTIF(F22:T22,"B")</f>
        <v>0</v>
      </c>
      <c r="O7" s="21">
        <f>COUNTA(F9:T9)</f>
        <v>4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220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942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943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944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945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3.5" customHeight="1" spans="1:22">
      <c r="A17" s="42" t="s">
        <v>494</v>
      </c>
      <c r="B17" s="43" t="s">
        <v>495</v>
      </c>
      <c r="C17" s="44"/>
      <c r="D17" s="45"/>
      <c r="E17" s="4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7"/>
      <c r="U17" s="3"/>
      <c r="V17" s="3"/>
    </row>
    <row r="18" ht="14" customHeight="1" spans="1:22">
      <c r="A18" s="47"/>
      <c r="B18" s="39" t="s">
        <v>946</v>
      </c>
      <c r="C18" s="39"/>
      <c r="D18" s="39"/>
      <c r="E18" s="48"/>
      <c r="F18" s="40" t="s">
        <v>481</v>
      </c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3"/>
    </row>
    <row r="19" ht="14" customHeight="1" spans="1:22">
      <c r="A19" s="47"/>
      <c r="B19" s="39" t="s">
        <v>947</v>
      </c>
      <c r="C19" s="39"/>
      <c r="D19" s="39"/>
      <c r="E19" s="48"/>
      <c r="F19" s="40"/>
      <c r="G19" s="40" t="s">
        <v>481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1"/>
      <c r="U19" s="3"/>
      <c r="V19" s="3"/>
    </row>
    <row r="20" ht="14" customHeight="1" spans="1:22">
      <c r="A20" s="47"/>
      <c r="B20" s="39" t="s">
        <v>948</v>
      </c>
      <c r="C20" s="39"/>
      <c r="D20" s="39"/>
      <c r="E20" s="48"/>
      <c r="F20" s="40"/>
      <c r="G20" s="40"/>
      <c r="H20" s="40" t="s">
        <v>481</v>
      </c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1"/>
      <c r="U20" s="3"/>
      <c r="V20" s="3"/>
    </row>
    <row r="21" ht="14" customHeight="1" spans="1:22">
      <c r="A21" s="47"/>
      <c r="B21" s="39" t="s">
        <v>949</v>
      </c>
      <c r="C21" s="39"/>
      <c r="D21" s="39"/>
      <c r="E21" s="48"/>
      <c r="F21" s="40"/>
      <c r="G21" s="40"/>
      <c r="H21" s="40"/>
      <c r="I21" s="40" t="s">
        <v>481</v>
      </c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1"/>
      <c r="U21" s="3"/>
      <c r="V21" s="3"/>
    </row>
    <row r="22" ht="13.5" customHeight="1" spans="1:22">
      <c r="A22" s="42" t="s">
        <v>507</v>
      </c>
      <c r="B22" s="49" t="s">
        <v>508</v>
      </c>
      <c r="C22" s="49"/>
      <c r="D22" s="49"/>
      <c r="E22" s="50"/>
      <c r="F22" s="51" t="s">
        <v>449</v>
      </c>
      <c r="G22" s="51" t="s">
        <v>449</v>
      </c>
      <c r="H22" s="51" t="s">
        <v>449</v>
      </c>
      <c r="I22" s="51" t="s">
        <v>449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2"/>
      <c r="U22" s="3"/>
      <c r="V22" s="3"/>
    </row>
    <row r="23" ht="13.5" customHeight="1" spans="1:22">
      <c r="A23" s="47"/>
      <c r="B23" s="53" t="s">
        <v>509</v>
      </c>
      <c r="C23" s="53"/>
      <c r="D23" s="53"/>
      <c r="E23" s="54"/>
      <c r="F23" s="55" t="s">
        <v>510</v>
      </c>
      <c r="G23" s="55" t="s">
        <v>510</v>
      </c>
      <c r="H23" s="55" t="s">
        <v>510</v>
      </c>
      <c r="I23" s="55" t="s">
        <v>510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6"/>
      <c r="U23" s="3"/>
      <c r="V23" s="3"/>
    </row>
    <row r="24" ht="105" customHeight="1" spans="1:22">
      <c r="A24" s="47"/>
      <c r="B24" s="57" t="s">
        <v>511</v>
      </c>
      <c r="C24" s="57"/>
      <c r="D24" s="57"/>
      <c r="E24" s="58"/>
      <c r="F24" s="59" t="s">
        <v>53</v>
      </c>
      <c r="G24" s="59" t="s">
        <v>53</v>
      </c>
      <c r="H24" s="59" t="s">
        <v>53</v>
      </c>
      <c r="I24" s="59" t="s">
        <v>53</v>
      </c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60"/>
      <c r="U24" s="3"/>
      <c r="V24" s="3"/>
    </row>
    <row r="25" ht="20" customHeight="1" spans="1:22">
      <c r="A25" s="61"/>
      <c r="B25" s="62" t="s">
        <v>512</v>
      </c>
      <c r="C25" s="62"/>
      <c r="D25" s="62"/>
      <c r="E25" s="63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5"/>
      <c r="U25" s="3"/>
      <c r="V25" s="3"/>
    </row>
    <row r="26" ht="13.8"/>
  </sheetData>
  <mergeCells count="36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8:D18"/>
    <mergeCell ref="B19:D19"/>
    <mergeCell ref="B20:D20"/>
    <mergeCell ref="B21:D21"/>
    <mergeCell ref="B22:D22"/>
    <mergeCell ref="B23:D23"/>
    <mergeCell ref="B24:D24"/>
    <mergeCell ref="B25:D25"/>
  </mergeCells>
  <dataValidations count="2">
    <dataValidation type="list" allowBlank="1" sqref="F22:I22">
      <formula1>"N,A,B"</formula1>
    </dataValidation>
    <dataValidation type="list" allowBlank="1" sqref="F23:I23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Functions!E42</f>
        <v>BE-QS-03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Functions!D42</f>
        <v>ExtractCitationSourcesWithScope / BuildPlanSourceDetails / ExtractCitations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793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74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4.4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288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COUNTIF(F21:T21,"P")</f>
        <v>3</v>
      </c>
      <c r="B7" s="20"/>
      <c r="C7" s="21">
        <f>COUNTIF(F21:T21,"F")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COUNTIF(F20:T20,"N")</f>
        <v>3</v>
      </c>
      <c r="M7" s="21">
        <f>COUNTIF(F20:T20,"A")</f>
        <v>0</v>
      </c>
      <c r="N7" s="21">
        <f>COUNTIF(F20:T20,"B")</f>
        <v>0</v>
      </c>
      <c r="O7" s="21">
        <f>COUNTA(F9:T9)</f>
        <v>3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289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950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951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952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3.5" customHeight="1" spans="1:22">
      <c r="A16" s="42" t="s">
        <v>494</v>
      </c>
      <c r="B16" s="43" t="s">
        <v>495</v>
      </c>
      <c r="C16" s="44"/>
      <c r="D16" s="45"/>
      <c r="E16" s="4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7"/>
      <c r="U16" s="3"/>
      <c r="V16" s="3"/>
    </row>
    <row r="17" ht="14" customHeight="1" spans="1:22">
      <c r="A17" s="47"/>
      <c r="B17" s="39" t="s">
        <v>953</v>
      </c>
      <c r="C17" s="39"/>
      <c r="D17" s="39"/>
      <c r="E17" s="48"/>
      <c r="F17" s="40" t="s">
        <v>481</v>
      </c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3"/>
    </row>
    <row r="18" ht="14" customHeight="1" spans="1:22">
      <c r="A18" s="47"/>
      <c r="B18" s="39" t="s">
        <v>954</v>
      </c>
      <c r="C18" s="39"/>
      <c r="D18" s="39"/>
      <c r="E18" s="48"/>
      <c r="F18" s="40"/>
      <c r="G18" s="40" t="s">
        <v>481</v>
      </c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3"/>
    </row>
    <row r="19" ht="14" customHeight="1" spans="1:22">
      <c r="A19" s="47"/>
      <c r="B19" s="39" t="s">
        <v>955</v>
      </c>
      <c r="C19" s="39"/>
      <c r="D19" s="39"/>
      <c r="E19" s="48"/>
      <c r="F19" s="40"/>
      <c r="G19" s="40"/>
      <c r="H19" s="40" t="s">
        <v>481</v>
      </c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1"/>
      <c r="U19" s="3"/>
      <c r="V19" s="3"/>
    </row>
    <row r="20" ht="13.5" customHeight="1" spans="1:22">
      <c r="A20" s="42" t="s">
        <v>507</v>
      </c>
      <c r="B20" s="49" t="s">
        <v>508</v>
      </c>
      <c r="C20" s="49"/>
      <c r="D20" s="49"/>
      <c r="E20" s="50"/>
      <c r="F20" s="51" t="s">
        <v>449</v>
      </c>
      <c r="G20" s="51" t="s">
        <v>449</v>
      </c>
      <c r="H20" s="51" t="s">
        <v>449</v>
      </c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2"/>
      <c r="U20" s="3"/>
      <c r="V20" s="3"/>
    </row>
    <row r="21" ht="13.5" customHeight="1" spans="1:22">
      <c r="A21" s="47"/>
      <c r="B21" s="53" t="s">
        <v>509</v>
      </c>
      <c r="C21" s="53"/>
      <c r="D21" s="53"/>
      <c r="E21" s="54"/>
      <c r="F21" s="55" t="s">
        <v>510</v>
      </c>
      <c r="G21" s="55" t="s">
        <v>510</v>
      </c>
      <c r="H21" s="55" t="s">
        <v>510</v>
      </c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6"/>
      <c r="U21" s="3"/>
      <c r="V21" s="3"/>
    </row>
    <row r="22" ht="105" customHeight="1" spans="1:22">
      <c r="A22" s="47"/>
      <c r="B22" s="57" t="s">
        <v>511</v>
      </c>
      <c r="C22" s="57"/>
      <c r="D22" s="57"/>
      <c r="E22" s="58"/>
      <c r="F22" s="59" t="s">
        <v>53</v>
      </c>
      <c r="G22" s="59" t="s">
        <v>53</v>
      </c>
      <c r="H22" s="59" t="s">
        <v>53</v>
      </c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60"/>
      <c r="U22" s="3"/>
      <c r="V22" s="3"/>
    </row>
    <row r="23" ht="20" customHeight="1" spans="1:22">
      <c r="A23" s="61"/>
      <c r="B23" s="62" t="s">
        <v>512</v>
      </c>
      <c r="C23" s="62"/>
      <c r="D23" s="62"/>
      <c r="E23" s="63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5"/>
      <c r="U23" s="3"/>
      <c r="V23" s="3"/>
    </row>
    <row r="24" ht="13.8"/>
  </sheetData>
  <mergeCells count="34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7:D17"/>
    <mergeCell ref="B18:D18"/>
    <mergeCell ref="B19:D19"/>
    <mergeCell ref="B20:D20"/>
    <mergeCell ref="B21:D21"/>
    <mergeCell ref="B22:D22"/>
    <mergeCell ref="B23:D23"/>
  </mergeCells>
  <dataValidations count="2">
    <dataValidation type="list" allowBlank="1" sqref="F20:H20">
      <formula1>"N,A,B"</formula1>
    </dataValidation>
    <dataValidation type="list" allowBlank="1" sqref="F21:H21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3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Functions!E43</f>
        <v>BE-HR-01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Functions!D43</f>
        <v>NormalizeVerdict / StripNumeric / Map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793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67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-1.3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295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COUNTIF(F30:T30,"P")</f>
        <v>8</v>
      </c>
      <c r="B7" s="20"/>
      <c r="C7" s="21">
        <f>COUNTIF(F30:T30,"F")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COUNTIF(F29:T29,"N")</f>
        <v>6</v>
      </c>
      <c r="M7" s="21">
        <f>COUNTIF(F29:T29,"A")</f>
        <v>2</v>
      </c>
      <c r="N7" s="21">
        <f>COUNTIF(F29:T29,"B")</f>
        <v>0</v>
      </c>
      <c r="O7" s="21">
        <f>COUNTA(F9:T9)</f>
        <v>8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 t="s">
        <v>474</v>
      </c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296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 t="s">
        <v>481</v>
      </c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956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957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958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959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960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961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962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4" customHeight="1" spans="1:22">
      <c r="A20" s="38"/>
      <c r="B20" s="39" t="s">
        <v>963</v>
      </c>
      <c r="C20" s="39"/>
      <c r="D20" s="39"/>
      <c r="E20" s="35"/>
      <c r="F20" s="40"/>
      <c r="G20" s="40"/>
      <c r="H20" s="40"/>
      <c r="I20" s="40"/>
      <c r="J20" s="40"/>
      <c r="K20" s="40"/>
      <c r="L20" s="40"/>
      <c r="M20" s="40" t="s">
        <v>481</v>
      </c>
      <c r="N20" s="40"/>
      <c r="O20" s="40"/>
      <c r="P20" s="40"/>
      <c r="Q20" s="40"/>
      <c r="R20" s="40"/>
      <c r="S20" s="40"/>
      <c r="T20" s="41"/>
      <c r="U20" s="3"/>
      <c r="V20" s="9"/>
    </row>
    <row r="21" ht="13.5" customHeight="1" spans="1:22">
      <c r="A21" s="42" t="s">
        <v>494</v>
      </c>
      <c r="B21" s="43" t="s">
        <v>495</v>
      </c>
      <c r="C21" s="44"/>
      <c r="D21" s="45"/>
      <c r="E21" s="4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/>
      <c r="U21" s="3"/>
      <c r="V21" s="3"/>
    </row>
    <row r="22" ht="14" customHeight="1" spans="1:22">
      <c r="A22" s="47"/>
      <c r="B22" s="39" t="s">
        <v>964</v>
      </c>
      <c r="C22" s="39"/>
      <c r="D22" s="39"/>
      <c r="E22" s="48"/>
      <c r="F22" s="40" t="s">
        <v>481</v>
      </c>
      <c r="G22" s="40" t="s">
        <v>481</v>
      </c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1"/>
      <c r="U22" s="3"/>
      <c r="V22" s="3"/>
    </row>
    <row r="23" ht="14" customHeight="1" spans="1:22">
      <c r="A23" s="47"/>
      <c r="B23" s="39" t="s">
        <v>965</v>
      </c>
      <c r="C23" s="39"/>
      <c r="D23" s="39"/>
      <c r="E23" s="48"/>
      <c r="F23" s="40"/>
      <c r="G23" s="40"/>
      <c r="H23" s="40" t="s">
        <v>481</v>
      </c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1"/>
      <c r="U23" s="3"/>
      <c r="V23" s="3"/>
    </row>
    <row r="24" ht="14" customHeight="1" spans="1:22">
      <c r="A24" s="47"/>
      <c r="B24" s="39" t="s">
        <v>966</v>
      </c>
      <c r="C24" s="39"/>
      <c r="D24" s="39"/>
      <c r="E24" s="48"/>
      <c r="F24" s="40"/>
      <c r="G24" s="40"/>
      <c r="H24" s="40"/>
      <c r="I24" s="40" t="s">
        <v>481</v>
      </c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1"/>
      <c r="U24" s="3"/>
      <c r="V24" s="3"/>
    </row>
    <row r="25" ht="14" customHeight="1" spans="1:22">
      <c r="A25" s="47"/>
      <c r="B25" s="39" t="s">
        <v>967</v>
      </c>
      <c r="C25" s="39"/>
      <c r="D25" s="39"/>
      <c r="E25" s="48"/>
      <c r="F25" s="40"/>
      <c r="G25" s="40"/>
      <c r="H25" s="40"/>
      <c r="I25" s="40"/>
      <c r="J25" s="40" t="s">
        <v>481</v>
      </c>
      <c r="K25" s="40"/>
      <c r="L25" s="40"/>
      <c r="M25" s="40"/>
      <c r="N25" s="40"/>
      <c r="O25" s="40"/>
      <c r="P25" s="40"/>
      <c r="Q25" s="40"/>
      <c r="R25" s="40"/>
      <c r="S25" s="40"/>
      <c r="T25" s="41"/>
      <c r="U25" s="3"/>
      <c r="V25" s="3"/>
    </row>
    <row r="26" ht="14" customHeight="1" spans="1:22">
      <c r="A26" s="47"/>
      <c r="B26" s="39" t="s">
        <v>968</v>
      </c>
      <c r="C26" s="39"/>
      <c r="D26" s="39"/>
      <c r="E26" s="48"/>
      <c r="F26" s="40"/>
      <c r="G26" s="40"/>
      <c r="H26" s="40"/>
      <c r="I26" s="40"/>
      <c r="J26" s="40"/>
      <c r="K26" s="40" t="s">
        <v>481</v>
      </c>
      <c r="L26" s="40"/>
      <c r="M26" s="40"/>
      <c r="N26" s="40"/>
      <c r="O26" s="40"/>
      <c r="P26" s="40"/>
      <c r="Q26" s="40"/>
      <c r="R26" s="40"/>
      <c r="S26" s="40"/>
      <c r="T26" s="41"/>
      <c r="U26" s="3"/>
      <c r="V26" s="3"/>
    </row>
    <row r="27" ht="14" customHeight="1" spans="1:22">
      <c r="A27" s="47"/>
      <c r="B27" s="39" t="s">
        <v>969</v>
      </c>
      <c r="C27" s="39"/>
      <c r="D27" s="39"/>
      <c r="E27" s="48"/>
      <c r="F27" s="40"/>
      <c r="G27" s="40"/>
      <c r="H27" s="40"/>
      <c r="I27" s="40"/>
      <c r="J27" s="40"/>
      <c r="K27" s="40"/>
      <c r="L27" s="40" t="s">
        <v>481</v>
      </c>
      <c r="M27" s="40"/>
      <c r="N27" s="40"/>
      <c r="O27" s="40"/>
      <c r="P27" s="40"/>
      <c r="Q27" s="40"/>
      <c r="R27" s="40"/>
      <c r="S27" s="40"/>
      <c r="T27" s="41"/>
      <c r="U27" s="3"/>
      <c r="V27" s="3"/>
    </row>
    <row r="28" ht="14" customHeight="1" spans="1:22">
      <c r="A28" s="47"/>
      <c r="B28" s="39" t="s">
        <v>970</v>
      </c>
      <c r="C28" s="39"/>
      <c r="D28" s="39"/>
      <c r="E28" s="48"/>
      <c r="F28" s="40"/>
      <c r="G28" s="40"/>
      <c r="H28" s="40"/>
      <c r="I28" s="40"/>
      <c r="J28" s="40"/>
      <c r="K28" s="40"/>
      <c r="L28" s="40"/>
      <c r="M28" s="40" t="s">
        <v>481</v>
      </c>
      <c r="N28" s="40"/>
      <c r="O28" s="40"/>
      <c r="P28" s="40"/>
      <c r="Q28" s="40"/>
      <c r="R28" s="40"/>
      <c r="S28" s="40"/>
      <c r="T28" s="41"/>
      <c r="U28" s="3"/>
      <c r="V28" s="3"/>
    </row>
    <row r="29" ht="13.5" customHeight="1" spans="1:22">
      <c r="A29" s="42" t="s">
        <v>507</v>
      </c>
      <c r="B29" s="49" t="s">
        <v>508</v>
      </c>
      <c r="C29" s="49"/>
      <c r="D29" s="49"/>
      <c r="E29" s="50"/>
      <c r="F29" s="51" t="s">
        <v>449</v>
      </c>
      <c r="G29" s="51" t="s">
        <v>449</v>
      </c>
      <c r="H29" s="51" t="s">
        <v>449</v>
      </c>
      <c r="I29" s="51" t="s">
        <v>449</v>
      </c>
      <c r="J29" s="51" t="s">
        <v>449</v>
      </c>
      <c r="K29" s="51" t="s">
        <v>66</v>
      </c>
      <c r="L29" s="51" t="s">
        <v>449</v>
      </c>
      <c r="M29" s="51" t="s">
        <v>66</v>
      </c>
      <c r="N29" s="51"/>
      <c r="O29" s="51"/>
      <c r="P29" s="51"/>
      <c r="Q29" s="51"/>
      <c r="R29" s="51"/>
      <c r="S29" s="51"/>
      <c r="T29" s="52"/>
      <c r="U29" s="3"/>
      <c r="V29" s="3"/>
    </row>
    <row r="30" ht="13.5" customHeight="1" spans="1:22">
      <c r="A30" s="47"/>
      <c r="B30" s="53" t="s">
        <v>509</v>
      </c>
      <c r="C30" s="53"/>
      <c r="D30" s="53"/>
      <c r="E30" s="54"/>
      <c r="F30" s="55" t="s">
        <v>510</v>
      </c>
      <c r="G30" s="55" t="s">
        <v>510</v>
      </c>
      <c r="H30" s="55" t="s">
        <v>510</v>
      </c>
      <c r="I30" s="55" t="s">
        <v>510</v>
      </c>
      <c r="J30" s="55" t="s">
        <v>510</v>
      </c>
      <c r="K30" s="55" t="s">
        <v>510</v>
      </c>
      <c r="L30" s="55" t="s">
        <v>510</v>
      </c>
      <c r="M30" s="55" t="s">
        <v>510</v>
      </c>
      <c r="N30" s="55"/>
      <c r="O30" s="55"/>
      <c r="P30" s="55"/>
      <c r="Q30" s="55"/>
      <c r="R30" s="55"/>
      <c r="S30" s="55"/>
      <c r="T30" s="56"/>
      <c r="U30" s="3"/>
      <c r="V30" s="3"/>
    </row>
    <row r="31" ht="105" customHeight="1" spans="1:22">
      <c r="A31" s="47"/>
      <c r="B31" s="57" t="s">
        <v>511</v>
      </c>
      <c r="C31" s="57"/>
      <c r="D31" s="57"/>
      <c r="E31" s="58"/>
      <c r="F31" s="59" t="s">
        <v>53</v>
      </c>
      <c r="G31" s="59" t="s">
        <v>53</v>
      </c>
      <c r="H31" s="59" t="s">
        <v>53</v>
      </c>
      <c r="I31" s="59" t="s">
        <v>53</v>
      </c>
      <c r="J31" s="59" t="s">
        <v>53</v>
      </c>
      <c r="K31" s="59" t="s">
        <v>53</v>
      </c>
      <c r="L31" s="59" t="s">
        <v>53</v>
      </c>
      <c r="M31" s="59" t="s">
        <v>53</v>
      </c>
      <c r="N31" s="59"/>
      <c r="O31" s="59"/>
      <c r="P31" s="59"/>
      <c r="Q31" s="59"/>
      <c r="R31" s="59"/>
      <c r="S31" s="59"/>
      <c r="T31" s="60"/>
      <c r="U31" s="3"/>
      <c r="V31" s="3"/>
    </row>
    <row r="32" ht="20" customHeight="1" spans="1:22">
      <c r="A32" s="61"/>
      <c r="B32" s="62" t="s">
        <v>512</v>
      </c>
      <c r="C32" s="62"/>
      <c r="D32" s="62"/>
      <c r="E32" s="63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5"/>
      <c r="U32" s="3"/>
      <c r="V32" s="3"/>
    </row>
    <row r="33" ht="13.8"/>
  </sheetData>
  <mergeCells count="43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</mergeCells>
  <dataValidations count="2">
    <dataValidation type="list" allowBlank="1" sqref="F29:M29">
      <formula1>"N,A,B"</formula1>
    </dataValidation>
    <dataValidation type="list" allowBlank="1" sqref="F30:M30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Functions!E44</f>
        <v>BE-HR-02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Functions!D44</f>
        <v>Compute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793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22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1.2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300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COUNTIF(F17:T17,"P")</f>
        <v>1</v>
      </c>
      <c r="B7" s="20"/>
      <c r="C7" s="21">
        <f>COUNTIF(F17:T17,"F")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COUNTIF(F16:T16,"N")</f>
        <v>1</v>
      </c>
      <c r="M7" s="21">
        <f>COUNTIF(F16:T16,"A")</f>
        <v>0</v>
      </c>
      <c r="N7" s="21">
        <f>COUNTIF(F16:T16,"B")</f>
        <v>0</v>
      </c>
      <c r="O7" s="21">
        <f>COUNTA(F9:T9)</f>
        <v>1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301</v>
      </c>
      <c r="C11" s="39"/>
      <c r="D11" s="39"/>
      <c r="E11" s="35"/>
      <c r="F11" s="40" t="s">
        <v>481</v>
      </c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971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3.5" customHeight="1" spans="1:22">
      <c r="A14" s="42" t="s">
        <v>494</v>
      </c>
      <c r="B14" s="43" t="s">
        <v>495</v>
      </c>
      <c r="C14" s="44"/>
      <c r="D14" s="45"/>
      <c r="E14" s="4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3"/>
      <c r="V14" s="3"/>
    </row>
    <row r="15" ht="14" customHeight="1" spans="1:22">
      <c r="A15" s="47"/>
      <c r="B15" s="39" t="s">
        <v>972</v>
      </c>
      <c r="C15" s="39"/>
      <c r="D15" s="39"/>
      <c r="E15" s="48"/>
      <c r="F15" s="40" t="s">
        <v>481</v>
      </c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3"/>
    </row>
    <row r="16" ht="13.5" customHeight="1" spans="1:22">
      <c r="A16" s="42" t="s">
        <v>507</v>
      </c>
      <c r="B16" s="49" t="s">
        <v>508</v>
      </c>
      <c r="C16" s="49"/>
      <c r="D16" s="49"/>
      <c r="E16" s="50"/>
      <c r="F16" s="51" t="s">
        <v>449</v>
      </c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2"/>
      <c r="U16" s="3"/>
      <c r="V16" s="3"/>
    </row>
    <row r="17" ht="13.5" customHeight="1" spans="1:22">
      <c r="A17" s="47"/>
      <c r="B17" s="53" t="s">
        <v>509</v>
      </c>
      <c r="C17" s="53"/>
      <c r="D17" s="53"/>
      <c r="E17" s="54"/>
      <c r="F17" s="55" t="s">
        <v>510</v>
      </c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6"/>
      <c r="U17" s="3"/>
      <c r="V17" s="3"/>
    </row>
    <row r="18" ht="105" customHeight="1" spans="1:22">
      <c r="A18" s="47"/>
      <c r="B18" s="57" t="s">
        <v>511</v>
      </c>
      <c r="C18" s="57"/>
      <c r="D18" s="57"/>
      <c r="E18" s="58"/>
      <c r="F18" s="59" t="s">
        <v>53</v>
      </c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60"/>
      <c r="U18" s="3"/>
      <c r="V18" s="3"/>
    </row>
    <row r="19" ht="20" customHeight="1" spans="1:22">
      <c r="A19" s="61"/>
      <c r="B19" s="62" t="s">
        <v>512</v>
      </c>
      <c r="C19" s="62"/>
      <c r="D19" s="62"/>
      <c r="E19" s="63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5"/>
      <c r="U19" s="3"/>
      <c r="V19" s="3"/>
    </row>
    <row r="20" ht="13.8"/>
  </sheetData>
  <mergeCells count="30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5:D15"/>
    <mergeCell ref="B16:D16"/>
    <mergeCell ref="B17:D17"/>
    <mergeCell ref="B18:D18"/>
    <mergeCell ref="B19:D19"/>
  </mergeCells>
  <dataValidations count="2">
    <dataValidation type="list" allowBlank="1" sqref="F16">
      <formula1>"N,A,B"</formula1>
    </dataValidation>
    <dataValidation type="list" allowBlank="1" sqref="F17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Functions!E45</f>
        <v>BE-HR-03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Functions!D45</f>
        <v>Map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802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89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6.9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306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COUNTIF(F19:T19,"P")</f>
        <v>2</v>
      </c>
      <c r="B7" s="20"/>
      <c r="C7" s="21">
        <f>COUNTIF(F19:T19,"F")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COUNTIF(F18:T18,"N")</f>
        <v>2</v>
      </c>
      <c r="M7" s="21">
        <f>COUNTIF(F18:T18,"A")</f>
        <v>0</v>
      </c>
      <c r="N7" s="21">
        <f>COUNTIF(F18:T18,"B")</f>
        <v>0</v>
      </c>
      <c r="O7" s="21">
        <f>COUNTA(F9:T9)</f>
        <v>2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307</v>
      </c>
      <c r="C11" s="39"/>
      <c r="D11" s="39"/>
      <c r="E11" s="35"/>
      <c r="F11" s="40" t="s">
        <v>481</v>
      </c>
      <c r="G11" s="40" t="s">
        <v>481</v>
      </c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973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974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3.5" customHeight="1" spans="1:22">
      <c r="A15" s="42" t="s">
        <v>494</v>
      </c>
      <c r="B15" s="43" t="s">
        <v>495</v>
      </c>
      <c r="C15" s="44"/>
      <c r="D15" s="45"/>
      <c r="E15" s="4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7"/>
      <c r="U15" s="3"/>
      <c r="V15" s="3"/>
    </row>
    <row r="16" ht="14" customHeight="1" spans="1:22">
      <c r="A16" s="47"/>
      <c r="B16" s="39" t="s">
        <v>975</v>
      </c>
      <c r="C16" s="39"/>
      <c r="D16" s="39"/>
      <c r="E16" s="48"/>
      <c r="F16" s="40" t="s">
        <v>481</v>
      </c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3"/>
    </row>
    <row r="17" ht="25" customHeight="1" spans="1:22">
      <c r="A17" s="47"/>
      <c r="B17" s="39" t="s">
        <v>976</v>
      </c>
      <c r="C17" s="39"/>
      <c r="D17" s="39"/>
      <c r="E17" s="48"/>
      <c r="F17" s="40"/>
      <c r="G17" s="40" t="s">
        <v>481</v>
      </c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3"/>
    </row>
    <row r="18" ht="13.5" customHeight="1" spans="1:22">
      <c r="A18" s="42" t="s">
        <v>507</v>
      </c>
      <c r="B18" s="49" t="s">
        <v>508</v>
      </c>
      <c r="C18" s="49"/>
      <c r="D18" s="49"/>
      <c r="E18" s="50"/>
      <c r="F18" s="51" t="s">
        <v>449</v>
      </c>
      <c r="G18" s="51" t="s">
        <v>449</v>
      </c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2"/>
      <c r="U18" s="3"/>
      <c r="V18" s="3"/>
    </row>
    <row r="19" ht="13.5" customHeight="1" spans="1:22">
      <c r="A19" s="47"/>
      <c r="B19" s="53" t="s">
        <v>509</v>
      </c>
      <c r="C19" s="53"/>
      <c r="D19" s="53"/>
      <c r="E19" s="54"/>
      <c r="F19" s="55" t="s">
        <v>510</v>
      </c>
      <c r="G19" s="55" t="s">
        <v>510</v>
      </c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6"/>
      <c r="U19" s="3"/>
      <c r="V19" s="3"/>
    </row>
    <row r="20" ht="105" customHeight="1" spans="1:22">
      <c r="A20" s="47"/>
      <c r="B20" s="57" t="s">
        <v>511</v>
      </c>
      <c r="C20" s="57"/>
      <c r="D20" s="57"/>
      <c r="E20" s="58"/>
      <c r="F20" s="59" t="s">
        <v>53</v>
      </c>
      <c r="G20" s="59" t="s">
        <v>53</v>
      </c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60"/>
      <c r="U20" s="3"/>
      <c r="V20" s="3"/>
    </row>
    <row r="21" ht="20" customHeight="1" spans="1:22">
      <c r="A21" s="61"/>
      <c r="B21" s="62" t="s">
        <v>512</v>
      </c>
      <c r="C21" s="62"/>
      <c r="D21" s="62"/>
      <c r="E21" s="63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5"/>
      <c r="U21" s="3"/>
      <c r="V21" s="3"/>
    </row>
    <row r="22" ht="13.8"/>
  </sheetData>
  <mergeCells count="32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6:D16"/>
    <mergeCell ref="B17:D17"/>
    <mergeCell ref="B18:D18"/>
    <mergeCell ref="B19:D19"/>
    <mergeCell ref="B20:D20"/>
    <mergeCell ref="B21:D21"/>
  </mergeCells>
  <dataValidations count="2">
    <dataValidation type="list" allowBlank="1" sqref="F18:G18">
      <formula1>"N,A,B"</formula1>
    </dataValidation>
    <dataValidation type="list" allowBlank="1" sqref="F19:G19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Functions!E46</f>
        <v>BE-HR-04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Functions!D46</f>
        <v>Compute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802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13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-0.7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311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COUNTIF(F19:T19,"P")</f>
        <v>2</v>
      </c>
      <c r="B7" s="20"/>
      <c r="C7" s="21">
        <f>COUNTIF(F19:T19,"F")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COUNTIF(F18:T18,"N")</f>
        <v>2</v>
      </c>
      <c r="M7" s="21">
        <f>COUNTIF(F18:T18,"A")</f>
        <v>0</v>
      </c>
      <c r="N7" s="21">
        <f>COUNTIF(F18:T18,"B")</f>
        <v>0</v>
      </c>
      <c r="O7" s="21">
        <f>COUNTA(F9:T9)</f>
        <v>2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312</v>
      </c>
      <c r="C11" s="39"/>
      <c r="D11" s="39"/>
      <c r="E11" s="35"/>
      <c r="F11" s="40" t="s">
        <v>481</v>
      </c>
      <c r="G11" s="40" t="s">
        <v>481</v>
      </c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977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978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3.5" customHeight="1" spans="1:22">
      <c r="A15" s="42" t="s">
        <v>494</v>
      </c>
      <c r="B15" s="43" t="s">
        <v>495</v>
      </c>
      <c r="C15" s="44"/>
      <c r="D15" s="45"/>
      <c r="E15" s="4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7"/>
      <c r="U15" s="3"/>
      <c r="V15" s="3"/>
    </row>
    <row r="16" ht="14" customHeight="1" spans="1:22">
      <c r="A16" s="47"/>
      <c r="B16" s="39" t="s">
        <v>979</v>
      </c>
      <c r="C16" s="39"/>
      <c r="D16" s="39"/>
      <c r="E16" s="48"/>
      <c r="F16" s="40" t="s">
        <v>481</v>
      </c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3"/>
    </row>
    <row r="17" ht="14" customHeight="1" spans="1:22">
      <c r="A17" s="47"/>
      <c r="B17" s="39" t="s">
        <v>980</v>
      </c>
      <c r="C17" s="39"/>
      <c r="D17" s="39"/>
      <c r="E17" s="48"/>
      <c r="F17" s="40"/>
      <c r="G17" s="40" t="s">
        <v>481</v>
      </c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3"/>
    </row>
    <row r="18" ht="13.5" customHeight="1" spans="1:22">
      <c r="A18" s="42" t="s">
        <v>507</v>
      </c>
      <c r="B18" s="49" t="s">
        <v>508</v>
      </c>
      <c r="C18" s="49"/>
      <c r="D18" s="49"/>
      <c r="E18" s="50"/>
      <c r="F18" s="51" t="s">
        <v>449</v>
      </c>
      <c r="G18" s="51" t="s">
        <v>449</v>
      </c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2"/>
      <c r="U18" s="3"/>
      <c r="V18" s="3"/>
    </row>
    <row r="19" ht="13.5" customHeight="1" spans="1:22">
      <c r="A19" s="47"/>
      <c r="B19" s="53" t="s">
        <v>509</v>
      </c>
      <c r="C19" s="53"/>
      <c r="D19" s="53"/>
      <c r="E19" s="54"/>
      <c r="F19" s="55" t="s">
        <v>510</v>
      </c>
      <c r="G19" s="55" t="s">
        <v>510</v>
      </c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6"/>
      <c r="U19" s="3"/>
      <c r="V19" s="3"/>
    </row>
    <row r="20" ht="105" customHeight="1" spans="1:22">
      <c r="A20" s="47"/>
      <c r="B20" s="57" t="s">
        <v>511</v>
      </c>
      <c r="C20" s="57"/>
      <c r="D20" s="57"/>
      <c r="E20" s="58"/>
      <c r="F20" s="59" t="s">
        <v>53</v>
      </c>
      <c r="G20" s="59" t="s">
        <v>53</v>
      </c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60"/>
      <c r="U20" s="3"/>
      <c r="V20" s="3"/>
    </row>
    <row r="21" ht="20" customHeight="1" spans="1:22">
      <c r="A21" s="61"/>
      <c r="B21" s="62" t="s">
        <v>512</v>
      </c>
      <c r="C21" s="62"/>
      <c r="D21" s="62"/>
      <c r="E21" s="63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5"/>
      <c r="U21" s="3"/>
      <c r="V21" s="3"/>
    </row>
    <row r="22" ht="13.8"/>
  </sheetData>
  <mergeCells count="32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6:D16"/>
    <mergeCell ref="B17:D17"/>
    <mergeCell ref="B18:D18"/>
    <mergeCell ref="B19:D19"/>
    <mergeCell ref="B20:D20"/>
    <mergeCell ref="B21:D21"/>
  </mergeCells>
  <dataValidations count="2">
    <dataValidation type="list" allowBlank="1" sqref="F18:G18">
      <formula1>"N,A,B"</formula1>
    </dataValidation>
    <dataValidation type="list" allowBlank="1" sqref="F19:G19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9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Functions!E47</f>
        <v>BE-HR-05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Functions!D47</f>
        <v>EnsureCanRestore / EnsureSameQuestionSet / NormalizeCompareIds / NextViewedAt / EnsureInviteSchedule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802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43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-1.7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317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COUNTIF(F26:T26,"P")</f>
        <v>6</v>
      </c>
      <c r="B7" s="20"/>
      <c r="C7" s="21">
        <f>COUNTIF(F26:T26,"F")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COUNTIF(F25:T25,"N")</f>
        <v>2</v>
      </c>
      <c r="M7" s="21">
        <f>COUNTIF(F25:T25,"A")</f>
        <v>3</v>
      </c>
      <c r="N7" s="21">
        <f>COUNTIF(F25:T25,"B")</f>
        <v>1</v>
      </c>
      <c r="O7" s="21">
        <f>COUNTA(F9:T9)</f>
        <v>6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318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981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982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983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984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985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986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3.5" customHeight="1" spans="1:22">
      <c r="A19" s="42" t="s">
        <v>494</v>
      </c>
      <c r="B19" s="43" t="s">
        <v>495</v>
      </c>
      <c r="C19" s="44"/>
      <c r="D19" s="45"/>
      <c r="E19" s="4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7"/>
      <c r="U19" s="3"/>
      <c r="V19" s="3"/>
    </row>
    <row r="20" ht="14" customHeight="1" spans="1:22">
      <c r="A20" s="47"/>
      <c r="B20" s="39" t="s">
        <v>987</v>
      </c>
      <c r="C20" s="39"/>
      <c r="D20" s="39"/>
      <c r="E20" s="48"/>
      <c r="F20" s="40"/>
      <c r="G20" s="40" t="s">
        <v>481</v>
      </c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1"/>
      <c r="U20" s="3"/>
      <c r="V20" s="3"/>
    </row>
    <row r="21" ht="14" customHeight="1" spans="1:22">
      <c r="A21" s="47"/>
      <c r="B21" s="39" t="s">
        <v>988</v>
      </c>
      <c r="C21" s="39"/>
      <c r="D21" s="39"/>
      <c r="E21" s="48"/>
      <c r="F21" s="40"/>
      <c r="G21" s="40"/>
      <c r="H21" s="40"/>
      <c r="I21" s="40"/>
      <c r="J21" s="40" t="s">
        <v>481</v>
      </c>
      <c r="K21" s="40"/>
      <c r="L21" s="40"/>
      <c r="M21" s="40"/>
      <c r="N21" s="40"/>
      <c r="O21" s="40"/>
      <c r="P21" s="40"/>
      <c r="Q21" s="40"/>
      <c r="R21" s="40"/>
      <c r="S21" s="40"/>
      <c r="T21" s="41"/>
      <c r="U21" s="3"/>
      <c r="V21" s="3"/>
    </row>
    <row r="22" ht="13.5" customHeight="1" spans="1:22">
      <c r="A22" s="42"/>
      <c r="B22" s="43" t="s">
        <v>913</v>
      </c>
      <c r="C22" s="44"/>
      <c r="D22" s="45"/>
      <c r="E22" s="4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7"/>
      <c r="U22" s="3"/>
      <c r="V22" s="3"/>
    </row>
    <row r="23" ht="14" customHeight="1" spans="1:22">
      <c r="A23" s="47"/>
      <c r="B23" s="39" t="s">
        <v>989</v>
      </c>
      <c r="C23" s="39"/>
      <c r="D23" s="39"/>
      <c r="E23" s="48"/>
      <c r="F23" s="40" t="s">
        <v>481</v>
      </c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1"/>
      <c r="U23" s="3"/>
      <c r="V23" s="3"/>
    </row>
    <row r="24" ht="14" customHeight="1" spans="1:22">
      <c r="A24" s="47"/>
      <c r="B24" s="39" t="s">
        <v>990</v>
      </c>
      <c r="C24" s="39"/>
      <c r="D24" s="39"/>
      <c r="E24" s="48"/>
      <c r="F24" s="40"/>
      <c r="G24" s="40"/>
      <c r="H24" s="40" t="s">
        <v>481</v>
      </c>
      <c r="I24" s="40" t="s">
        <v>481</v>
      </c>
      <c r="J24" s="40"/>
      <c r="K24" s="40" t="s">
        <v>481</v>
      </c>
      <c r="L24" s="40"/>
      <c r="M24" s="40"/>
      <c r="N24" s="40"/>
      <c r="O24" s="40"/>
      <c r="P24" s="40"/>
      <c r="Q24" s="40"/>
      <c r="R24" s="40"/>
      <c r="S24" s="40"/>
      <c r="T24" s="41"/>
      <c r="U24" s="3"/>
      <c r="V24" s="3"/>
    </row>
    <row r="25" ht="13.5" customHeight="1" spans="1:22">
      <c r="A25" s="42" t="s">
        <v>507</v>
      </c>
      <c r="B25" s="49" t="s">
        <v>508</v>
      </c>
      <c r="C25" s="49"/>
      <c r="D25" s="49"/>
      <c r="E25" s="50"/>
      <c r="F25" s="51" t="s">
        <v>66</v>
      </c>
      <c r="G25" s="51" t="s">
        <v>449</v>
      </c>
      <c r="H25" s="51" t="s">
        <v>66</v>
      </c>
      <c r="I25" s="51" t="s">
        <v>450</v>
      </c>
      <c r="J25" s="51" t="s">
        <v>449</v>
      </c>
      <c r="K25" s="51" t="s">
        <v>66</v>
      </c>
      <c r="L25" s="51"/>
      <c r="M25" s="51"/>
      <c r="N25" s="51"/>
      <c r="O25" s="51"/>
      <c r="P25" s="51"/>
      <c r="Q25" s="51"/>
      <c r="R25" s="51"/>
      <c r="S25" s="51"/>
      <c r="T25" s="52"/>
      <c r="U25" s="3"/>
      <c r="V25" s="3"/>
    </row>
    <row r="26" ht="13.5" customHeight="1" spans="1:22">
      <c r="A26" s="47"/>
      <c r="B26" s="53" t="s">
        <v>509</v>
      </c>
      <c r="C26" s="53"/>
      <c r="D26" s="53"/>
      <c r="E26" s="54"/>
      <c r="F26" s="55" t="s">
        <v>510</v>
      </c>
      <c r="G26" s="55" t="s">
        <v>510</v>
      </c>
      <c r="H26" s="55" t="s">
        <v>510</v>
      </c>
      <c r="I26" s="55" t="s">
        <v>510</v>
      </c>
      <c r="J26" s="55" t="s">
        <v>510</v>
      </c>
      <c r="K26" s="55" t="s">
        <v>510</v>
      </c>
      <c r="L26" s="55"/>
      <c r="M26" s="55"/>
      <c r="N26" s="55"/>
      <c r="O26" s="55"/>
      <c r="P26" s="55"/>
      <c r="Q26" s="55"/>
      <c r="R26" s="55"/>
      <c r="S26" s="55"/>
      <c r="T26" s="56"/>
      <c r="U26" s="3"/>
      <c r="V26" s="3"/>
    </row>
    <row r="27" ht="105" customHeight="1" spans="1:22">
      <c r="A27" s="47"/>
      <c r="B27" s="57" t="s">
        <v>511</v>
      </c>
      <c r="C27" s="57"/>
      <c r="D27" s="57"/>
      <c r="E27" s="58"/>
      <c r="F27" s="59" t="s">
        <v>53</v>
      </c>
      <c r="G27" s="59" t="s">
        <v>53</v>
      </c>
      <c r="H27" s="59" t="s">
        <v>53</v>
      </c>
      <c r="I27" s="59" t="s">
        <v>53</v>
      </c>
      <c r="J27" s="59" t="s">
        <v>53</v>
      </c>
      <c r="K27" s="59" t="s">
        <v>53</v>
      </c>
      <c r="L27" s="59"/>
      <c r="M27" s="59"/>
      <c r="N27" s="59"/>
      <c r="O27" s="59"/>
      <c r="P27" s="59"/>
      <c r="Q27" s="59"/>
      <c r="R27" s="59"/>
      <c r="S27" s="59"/>
      <c r="T27" s="60"/>
      <c r="U27" s="3"/>
      <c r="V27" s="3"/>
    </row>
    <row r="28" ht="20" customHeight="1" spans="1:22">
      <c r="A28" s="61"/>
      <c r="B28" s="62" t="s">
        <v>512</v>
      </c>
      <c r="C28" s="62"/>
      <c r="D28" s="62"/>
      <c r="E28" s="63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5"/>
      <c r="U28" s="3"/>
      <c r="V28" s="3"/>
    </row>
    <row r="29" ht="13.8"/>
  </sheetData>
  <mergeCells count="38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20:D20"/>
    <mergeCell ref="B21:D21"/>
    <mergeCell ref="B23:D23"/>
    <mergeCell ref="B24:D24"/>
    <mergeCell ref="B25:D25"/>
    <mergeCell ref="B26:D26"/>
    <mergeCell ref="B27:D27"/>
    <mergeCell ref="B28:D28"/>
  </mergeCells>
  <dataValidations count="2">
    <dataValidation type="list" allowBlank="1" sqref="F25:K25">
      <formula1>"N,A,B"</formula1>
    </dataValidation>
    <dataValidation type="list" allowBlank="1" sqref="F26:K26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8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Functions!E48</f>
        <v>BE-HR-06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Functions!D48</f>
        <v>ResolveIntakeMinScore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802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6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-5.4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323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COUNTIF(F25:T25,"P")</f>
        <v>6</v>
      </c>
      <c r="B7" s="20"/>
      <c r="C7" s="21">
        <f>COUNTIF(F25:T25,"F")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COUNTIF(F24:T24,"N")</f>
        <v>2</v>
      </c>
      <c r="M7" s="21">
        <f>COUNTIF(F24:T24,"A")</f>
        <v>2</v>
      </c>
      <c r="N7" s="21">
        <f>COUNTIF(F24:T24,"B")</f>
        <v>2</v>
      </c>
      <c r="O7" s="21">
        <f>COUNTA(F9:T9)</f>
        <v>6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324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991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992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993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994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995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996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3.5" customHeight="1" spans="1:22">
      <c r="A19" s="42" t="s">
        <v>494</v>
      </c>
      <c r="B19" s="43" t="s">
        <v>495</v>
      </c>
      <c r="C19" s="44"/>
      <c r="D19" s="45"/>
      <c r="E19" s="4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7"/>
      <c r="U19" s="3"/>
      <c r="V19" s="3"/>
    </row>
    <row r="20" ht="14" customHeight="1" spans="1:22">
      <c r="A20" s="47"/>
      <c r="B20" s="39" t="s">
        <v>997</v>
      </c>
      <c r="C20" s="39"/>
      <c r="D20" s="39"/>
      <c r="E20" s="48"/>
      <c r="F20" s="40" t="s">
        <v>481</v>
      </c>
      <c r="G20" s="40"/>
      <c r="H20" s="40"/>
      <c r="I20" s="40"/>
      <c r="J20" s="40" t="s">
        <v>481</v>
      </c>
      <c r="K20" s="40" t="s">
        <v>481</v>
      </c>
      <c r="L20" s="40"/>
      <c r="M20" s="40"/>
      <c r="N20" s="40"/>
      <c r="O20" s="40"/>
      <c r="P20" s="40"/>
      <c r="Q20" s="40"/>
      <c r="R20" s="40"/>
      <c r="S20" s="40"/>
      <c r="T20" s="41"/>
      <c r="U20" s="3"/>
      <c r="V20" s="3"/>
    </row>
    <row r="21" ht="14" customHeight="1" spans="1:22">
      <c r="A21" s="47"/>
      <c r="B21" s="39" t="s">
        <v>998</v>
      </c>
      <c r="C21" s="39"/>
      <c r="D21" s="39"/>
      <c r="E21" s="48"/>
      <c r="F21" s="40"/>
      <c r="G21" s="40" t="s">
        <v>481</v>
      </c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1"/>
      <c r="U21" s="3"/>
      <c r="V21" s="3"/>
    </row>
    <row r="22" ht="14" customHeight="1" spans="1:22">
      <c r="A22" s="47"/>
      <c r="B22" s="39" t="s">
        <v>999</v>
      </c>
      <c r="C22" s="39"/>
      <c r="D22" s="39"/>
      <c r="E22" s="48"/>
      <c r="F22" s="40"/>
      <c r="G22" s="40"/>
      <c r="H22" s="40" t="s">
        <v>481</v>
      </c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1"/>
      <c r="U22" s="3"/>
      <c r="V22" s="3"/>
    </row>
    <row r="23" ht="14" customHeight="1" spans="1:22">
      <c r="A23" s="47"/>
      <c r="B23" s="39" t="s">
        <v>1000</v>
      </c>
      <c r="C23" s="39"/>
      <c r="D23" s="39"/>
      <c r="E23" s="48"/>
      <c r="F23" s="40"/>
      <c r="G23" s="40"/>
      <c r="H23" s="40"/>
      <c r="I23" s="40" t="s">
        <v>481</v>
      </c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1"/>
      <c r="U23" s="3"/>
      <c r="V23" s="3"/>
    </row>
    <row r="24" ht="13.5" customHeight="1" spans="1:22">
      <c r="A24" s="42" t="s">
        <v>507</v>
      </c>
      <c r="B24" s="49" t="s">
        <v>508</v>
      </c>
      <c r="C24" s="49"/>
      <c r="D24" s="49"/>
      <c r="E24" s="50"/>
      <c r="F24" s="51" t="s">
        <v>449</v>
      </c>
      <c r="G24" s="51" t="s">
        <v>449</v>
      </c>
      <c r="H24" s="51" t="s">
        <v>450</v>
      </c>
      <c r="I24" s="51" t="s">
        <v>450</v>
      </c>
      <c r="J24" s="51" t="s">
        <v>66</v>
      </c>
      <c r="K24" s="51" t="s">
        <v>66</v>
      </c>
      <c r="L24" s="51"/>
      <c r="M24" s="51"/>
      <c r="N24" s="51"/>
      <c r="O24" s="51"/>
      <c r="P24" s="51"/>
      <c r="Q24" s="51"/>
      <c r="R24" s="51"/>
      <c r="S24" s="51"/>
      <c r="T24" s="52"/>
      <c r="U24" s="3"/>
      <c r="V24" s="3"/>
    </row>
    <row r="25" ht="13.5" customHeight="1" spans="1:22">
      <c r="A25" s="47"/>
      <c r="B25" s="53" t="s">
        <v>509</v>
      </c>
      <c r="C25" s="53"/>
      <c r="D25" s="53"/>
      <c r="E25" s="54"/>
      <c r="F25" s="55" t="s">
        <v>510</v>
      </c>
      <c r="G25" s="55" t="s">
        <v>510</v>
      </c>
      <c r="H25" s="55" t="s">
        <v>510</v>
      </c>
      <c r="I25" s="55" t="s">
        <v>510</v>
      </c>
      <c r="J25" s="55" t="s">
        <v>510</v>
      </c>
      <c r="K25" s="55" t="s">
        <v>510</v>
      </c>
      <c r="L25" s="55"/>
      <c r="M25" s="55"/>
      <c r="N25" s="55"/>
      <c r="O25" s="55"/>
      <c r="P25" s="55"/>
      <c r="Q25" s="55"/>
      <c r="R25" s="55"/>
      <c r="S25" s="55"/>
      <c r="T25" s="56"/>
      <c r="U25" s="3"/>
      <c r="V25" s="3"/>
    </row>
    <row r="26" ht="105" customHeight="1" spans="1:22">
      <c r="A26" s="47"/>
      <c r="B26" s="57" t="s">
        <v>511</v>
      </c>
      <c r="C26" s="57"/>
      <c r="D26" s="57"/>
      <c r="E26" s="58"/>
      <c r="F26" s="59" t="s">
        <v>53</v>
      </c>
      <c r="G26" s="59" t="s">
        <v>53</v>
      </c>
      <c r="H26" s="59" t="s">
        <v>53</v>
      </c>
      <c r="I26" s="59" t="s">
        <v>53</v>
      </c>
      <c r="J26" s="59" t="s">
        <v>53</v>
      </c>
      <c r="K26" s="59" t="s">
        <v>53</v>
      </c>
      <c r="L26" s="59"/>
      <c r="M26" s="59"/>
      <c r="N26" s="59"/>
      <c r="O26" s="59"/>
      <c r="P26" s="59"/>
      <c r="Q26" s="59"/>
      <c r="R26" s="59"/>
      <c r="S26" s="59"/>
      <c r="T26" s="60"/>
      <c r="U26" s="3"/>
      <c r="V26" s="3"/>
    </row>
    <row r="27" ht="20" customHeight="1" spans="1:22">
      <c r="A27" s="61"/>
      <c r="B27" s="62" t="s">
        <v>512</v>
      </c>
      <c r="C27" s="62"/>
      <c r="D27" s="62"/>
      <c r="E27" s="63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5"/>
      <c r="U27" s="3"/>
      <c r="V27" s="3"/>
    </row>
    <row r="28" ht="13.8"/>
  </sheetData>
  <mergeCells count="38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20:D20"/>
    <mergeCell ref="B21:D21"/>
    <mergeCell ref="B22:D22"/>
    <mergeCell ref="B23:D23"/>
    <mergeCell ref="B24:D24"/>
    <mergeCell ref="B25:D25"/>
    <mergeCell ref="B26:D26"/>
    <mergeCell ref="B27:D27"/>
  </mergeCells>
  <dataValidations count="2">
    <dataValidation type="list" allowBlank="1" sqref="F24:K24">
      <formula1>"N,A,B"</formula1>
    </dataValidation>
    <dataValidation type="list" allowBlank="1" sqref="F25:K25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9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Functions!E49</f>
        <v>BE-KB-01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Functions!D49</f>
        <v>NormalizeForStorage / FromSection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802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35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-8.5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330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COUNTIF(F36:T36,"P")</f>
        <v>12</v>
      </c>
      <c r="B7" s="20"/>
      <c r="C7" s="21">
        <f>COUNTIF(F36:T36,"F")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COUNTIF(F35:T35,"N")</f>
        <v>6</v>
      </c>
      <c r="M7" s="21">
        <f>COUNTIF(F35:T35,"A")</f>
        <v>3</v>
      </c>
      <c r="N7" s="21">
        <f>COUNTIF(F35:T35,"B")</f>
        <v>3</v>
      </c>
      <c r="O7" s="21">
        <f>COUNTA(F9:T9)</f>
        <v>12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 t="s">
        <v>474</v>
      </c>
      <c r="N9" s="28" t="s">
        <v>475</v>
      </c>
      <c r="O9" s="28" t="s">
        <v>476</v>
      </c>
      <c r="P9" s="28" t="s">
        <v>477</v>
      </c>
      <c r="Q9" s="28" t="s">
        <v>561</v>
      </c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331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 t="s">
        <v>481</v>
      </c>
      <c r="N11" s="40" t="s">
        <v>481</v>
      </c>
      <c r="O11" s="40" t="s">
        <v>481</v>
      </c>
      <c r="P11" s="40" t="s">
        <v>481</v>
      </c>
      <c r="Q11" s="40" t="s">
        <v>481</v>
      </c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1001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1002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1003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1004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1005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1006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1007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4" customHeight="1" spans="1:22">
      <c r="A20" s="38"/>
      <c r="B20" s="39" t="s">
        <v>1008</v>
      </c>
      <c r="C20" s="39"/>
      <c r="D20" s="39"/>
      <c r="E20" s="35"/>
      <c r="F20" s="40"/>
      <c r="G20" s="40"/>
      <c r="H20" s="40"/>
      <c r="I20" s="40"/>
      <c r="J20" s="40"/>
      <c r="K20" s="40"/>
      <c r="L20" s="40"/>
      <c r="M20" s="40" t="s">
        <v>481</v>
      </c>
      <c r="N20" s="40"/>
      <c r="O20" s="40"/>
      <c r="P20" s="40"/>
      <c r="Q20" s="40"/>
      <c r="R20" s="40"/>
      <c r="S20" s="40"/>
      <c r="T20" s="41"/>
      <c r="U20" s="3"/>
      <c r="V20" s="9"/>
    </row>
    <row r="21" ht="14" customHeight="1" spans="1:22">
      <c r="A21" s="38"/>
      <c r="B21" s="39" t="s">
        <v>1009</v>
      </c>
      <c r="C21" s="39"/>
      <c r="D21" s="39"/>
      <c r="E21" s="35"/>
      <c r="F21" s="40"/>
      <c r="G21" s="40"/>
      <c r="H21" s="40"/>
      <c r="I21" s="40"/>
      <c r="J21" s="40"/>
      <c r="K21" s="40"/>
      <c r="L21" s="40"/>
      <c r="M21" s="40"/>
      <c r="N21" s="40" t="s">
        <v>481</v>
      </c>
      <c r="O21" s="40"/>
      <c r="P21" s="40"/>
      <c r="Q21" s="40"/>
      <c r="R21" s="40"/>
      <c r="S21" s="40"/>
      <c r="T21" s="41"/>
      <c r="U21" s="3"/>
      <c r="V21" s="9"/>
    </row>
    <row r="22" ht="14" customHeight="1" spans="1:22">
      <c r="A22" s="38"/>
      <c r="B22" s="39" t="s">
        <v>1010</v>
      </c>
      <c r="C22" s="39"/>
      <c r="D22" s="39"/>
      <c r="E22" s="35"/>
      <c r="F22" s="40"/>
      <c r="G22" s="40"/>
      <c r="H22" s="40"/>
      <c r="I22" s="40"/>
      <c r="J22" s="40"/>
      <c r="K22" s="40"/>
      <c r="L22" s="40"/>
      <c r="M22" s="40"/>
      <c r="N22" s="40"/>
      <c r="O22" s="40" t="s">
        <v>481</v>
      </c>
      <c r="P22" s="40"/>
      <c r="Q22" s="40"/>
      <c r="R22" s="40"/>
      <c r="S22" s="40"/>
      <c r="T22" s="41"/>
      <c r="U22" s="3"/>
      <c r="V22" s="9"/>
    </row>
    <row r="23" ht="14" customHeight="1" spans="1:22">
      <c r="A23" s="38"/>
      <c r="B23" s="39" t="s">
        <v>1011</v>
      </c>
      <c r="C23" s="39"/>
      <c r="D23" s="39"/>
      <c r="E23" s="35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 t="s">
        <v>481</v>
      </c>
      <c r="Q23" s="40"/>
      <c r="R23" s="40"/>
      <c r="S23" s="40"/>
      <c r="T23" s="41"/>
      <c r="U23" s="3"/>
      <c r="V23" s="9"/>
    </row>
    <row r="24" ht="14" customHeight="1" spans="1:22">
      <c r="A24" s="38"/>
      <c r="B24" s="39" t="s">
        <v>1012</v>
      </c>
      <c r="C24" s="39"/>
      <c r="D24" s="39"/>
      <c r="E24" s="35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 t="s">
        <v>481</v>
      </c>
      <c r="R24" s="40"/>
      <c r="S24" s="40"/>
      <c r="T24" s="41"/>
      <c r="U24" s="3"/>
      <c r="V24" s="9"/>
    </row>
    <row r="25" ht="13.5" customHeight="1" spans="1:22">
      <c r="A25" s="42" t="s">
        <v>494</v>
      </c>
      <c r="B25" s="43" t="s">
        <v>495</v>
      </c>
      <c r="C25" s="44"/>
      <c r="D25" s="45"/>
      <c r="E25" s="4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7"/>
      <c r="U25" s="3"/>
      <c r="V25" s="3"/>
    </row>
    <row r="26" ht="14" customHeight="1" spans="1:22">
      <c r="A26" s="47"/>
      <c r="B26" s="39" t="s">
        <v>1013</v>
      </c>
      <c r="C26" s="39"/>
      <c r="D26" s="39"/>
      <c r="E26" s="48"/>
      <c r="F26" s="40" t="s">
        <v>481</v>
      </c>
      <c r="G26" s="40" t="s">
        <v>481</v>
      </c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1"/>
      <c r="U26" s="3"/>
      <c r="V26" s="3"/>
    </row>
    <row r="27" ht="14" customHeight="1" spans="1:22">
      <c r="A27" s="47"/>
      <c r="B27" s="39" t="s">
        <v>1014</v>
      </c>
      <c r="C27" s="39"/>
      <c r="D27" s="39"/>
      <c r="E27" s="48"/>
      <c r="F27" s="40"/>
      <c r="G27" s="40"/>
      <c r="H27" s="40" t="s">
        <v>481</v>
      </c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1"/>
      <c r="U27" s="3"/>
      <c r="V27" s="3"/>
    </row>
    <row r="28" ht="14" customHeight="1" spans="1:22">
      <c r="A28" s="47"/>
      <c r="B28" s="39" t="s">
        <v>1015</v>
      </c>
      <c r="C28" s="39"/>
      <c r="D28" s="39"/>
      <c r="E28" s="48"/>
      <c r="F28" s="40"/>
      <c r="G28" s="40"/>
      <c r="H28" s="40"/>
      <c r="I28" s="40" t="s">
        <v>481</v>
      </c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1"/>
      <c r="U28" s="3"/>
      <c r="V28" s="3"/>
    </row>
    <row r="29" ht="14" customHeight="1" spans="1:22">
      <c r="A29" s="47"/>
      <c r="B29" s="39" t="s">
        <v>1016</v>
      </c>
      <c r="C29" s="39"/>
      <c r="D29" s="39"/>
      <c r="E29" s="48"/>
      <c r="F29" s="40"/>
      <c r="G29" s="40"/>
      <c r="H29" s="40"/>
      <c r="I29" s="40"/>
      <c r="J29" s="40" t="s">
        <v>481</v>
      </c>
      <c r="K29" s="40"/>
      <c r="L29" s="40"/>
      <c r="M29" s="40"/>
      <c r="N29" s="40"/>
      <c r="O29" s="40"/>
      <c r="P29" s="40"/>
      <c r="Q29" s="40"/>
      <c r="R29" s="40"/>
      <c r="S29" s="40"/>
      <c r="T29" s="41"/>
      <c r="U29" s="3"/>
      <c r="V29" s="3"/>
    </row>
    <row r="30" ht="14" customHeight="1" spans="1:22">
      <c r="A30" s="47"/>
      <c r="B30" s="39" t="s">
        <v>1017</v>
      </c>
      <c r="C30" s="39"/>
      <c r="D30" s="39"/>
      <c r="E30" s="48"/>
      <c r="F30" s="40"/>
      <c r="G30" s="40"/>
      <c r="H30" s="40"/>
      <c r="I30" s="40"/>
      <c r="J30" s="40"/>
      <c r="K30" s="40"/>
      <c r="L30" s="40"/>
      <c r="M30" s="40" t="s">
        <v>481</v>
      </c>
      <c r="N30" s="40"/>
      <c r="O30" s="40"/>
      <c r="P30" s="40"/>
      <c r="Q30" s="40"/>
      <c r="R30" s="40"/>
      <c r="S30" s="40"/>
      <c r="T30" s="41"/>
      <c r="U30" s="3"/>
      <c r="V30" s="3"/>
    </row>
    <row r="31" ht="14" customHeight="1" spans="1:22">
      <c r="A31" s="47"/>
      <c r="B31" s="39" t="s">
        <v>1018</v>
      </c>
      <c r="C31" s="39"/>
      <c r="D31" s="39"/>
      <c r="E31" s="48"/>
      <c r="F31" s="40"/>
      <c r="G31" s="40"/>
      <c r="H31" s="40"/>
      <c r="I31" s="40"/>
      <c r="J31" s="40"/>
      <c r="K31" s="40"/>
      <c r="L31" s="40"/>
      <c r="M31" s="40"/>
      <c r="N31" s="40" t="s">
        <v>481</v>
      </c>
      <c r="O31" s="40" t="s">
        <v>481</v>
      </c>
      <c r="P31" s="40"/>
      <c r="Q31" s="40" t="s">
        <v>481</v>
      </c>
      <c r="R31" s="40"/>
      <c r="S31" s="40"/>
      <c r="T31" s="41"/>
      <c r="U31" s="3"/>
      <c r="V31" s="3"/>
    </row>
    <row r="32" ht="14" customHeight="1" spans="1:22">
      <c r="A32" s="47"/>
      <c r="B32" s="39" t="s">
        <v>1019</v>
      </c>
      <c r="C32" s="39"/>
      <c r="D32" s="39"/>
      <c r="E32" s="48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 t="s">
        <v>481</v>
      </c>
      <c r="Q32" s="40"/>
      <c r="R32" s="40"/>
      <c r="S32" s="40"/>
      <c r="T32" s="41"/>
      <c r="U32" s="3"/>
      <c r="V32" s="3"/>
    </row>
    <row r="33" ht="13.5" customHeight="1" spans="1:22">
      <c r="A33" s="42"/>
      <c r="B33" s="43" t="s">
        <v>913</v>
      </c>
      <c r="C33" s="44"/>
      <c r="D33" s="45"/>
      <c r="E33" s="4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7"/>
      <c r="U33" s="3"/>
      <c r="V33" s="3"/>
    </row>
    <row r="34" ht="14" customHeight="1" spans="1:22">
      <c r="A34" s="47"/>
      <c r="B34" s="39" t="s">
        <v>990</v>
      </c>
      <c r="C34" s="39"/>
      <c r="D34" s="39"/>
      <c r="E34" s="48"/>
      <c r="F34" s="40"/>
      <c r="G34" s="40"/>
      <c r="H34" s="40"/>
      <c r="I34" s="40"/>
      <c r="J34" s="40"/>
      <c r="K34" s="40" t="s">
        <v>481</v>
      </c>
      <c r="L34" s="40" t="s">
        <v>481</v>
      </c>
      <c r="M34" s="40"/>
      <c r="N34" s="40"/>
      <c r="O34" s="40"/>
      <c r="P34" s="40"/>
      <c r="Q34" s="40"/>
      <c r="R34" s="40"/>
      <c r="S34" s="40"/>
      <c r="T34" s="41"/>
      <c r="U34" s="3"/>
      <c r="V34" s="3"/>
    </row>
    <row r="35" ht="13.5" customHeight="1" spans="1:22">
      <c r="A35" s="42" t="s">
        <v>507</v>
      </c>
      <c r="B35" s="49" t="s">
        <v>508</v>
      </c>
      <c r="C35" s="49"/>
      <c r="D35" s="49"/>
      <c r="E35" s="50"/>
      <c r="F35" s="51" t="s">
        <v>449</v>
      </c>
      <c r="G35" s="51" t="s">
        <v>450</v>
      </c>
      <c r="H35" s="51" t="s">
        <v>449</v>
      </c>
      <c r="I35" s="51" t="s">
        <v>449</v>
      </c>
      <c r="J35" s="51" t="s">
        <v>449</v>
      </c>
      <c r="K35" s="51" t="s">
        <v>66</v>
      </c>
      <c r="L35" s="51" t="s">
        <v>66</v>
      </c>
      <c r="M35" s="51" t="s">
        <v>449</v>
      </c>
      <c r="N35" s="51" t="s">
        <v>450</v>
      </c>
      <c r="O35" s="51" t="s">
        <v>450</v>
      </c>
      <c r="P35" s="51" t="s">
        <v>449</v>
      </c>
      <c r="Q35" s="51" t="s">
        <v>66</v>
      </c>
      <c r="R35" s="51"/>
      <c r="S35" s="51"/>
      <c r="T35" s="52"/>
      <c r="U35" s="3"/>
      <c r="V35" s="3"/>
    </row>
    <row r="36" ht="13.5" customHeight="1" spans="1:22">
      <c r="A36" s="47"/>
      <c r="B36" s="53" t="s">
        <v>509</v>
      </c>
      <c r="C36" s="53"/>
      <c r="D36" s="53"/>
      <c r="E36" s="54"/>
      <c r="F36" s="55" t="s">
        <v>510</v>
      </c>
      <c r="G36" s="55" t="s">
        <v>510</v>
      </c>
      <c r="H36" s="55" t="s">
        <v>510</v>
      </c>
      <c r="I36" s="55" t="s">
        <v>510</v>
      </c>
      <c r="J36" s="55" t="s">
        <v>510</v>
      </c>
      <c r="K36" s="55" t="s">
        <v>510</v>
      </c>
      <c r="L36" s="55" t="s">
        <v>510</v>
      </c>
      <c r="M36" s="55" t="s">
        <v>510</v>
      </c>
      <c r="N36" s="55" t="s">
        <v>510</v>
      </c>
      <c r="O36" s="55" t="s">
        <v>510</v>
      </c>
      <c r="P36" s="55" t="s">
        <v>510</v>
      </c>
      <c r="Q36" s="55" t="s">
        <v>510</v>
      </c>
      <c r="R36" s="55"/>
      <c r="S36" s="55"/>
      <c r="T36" s="56"/>
      <c r="U36" s="3"/>
      <c r="V36" s="3"/>
    </row>
    <row r="37" ht="105" customHeight="1" spans="1:22">
      <c r="A37" s="47"/>
      <c r="B37" s="57" t="s">
        <v>511</v>
      </c>
      <c r="C37" s="57"/>
      <c r="D37" s="57"/>
      <c r="E37" s="58"/>
      <c r="F37" s="59" t="s">
        <v>53</v>
      </c>
      <c r="G37" s="59" t="s">
        <v>53</v>
      </c>
      <c r="H37" s="59" t="s">
        <v>53</v>
      </c>
      <c r="I37" s="59" t="s">
        <v>53</v>
      </c>
      <c r="J37" s="59" t="s">
        <v>53</v>
      </c>
      <c r="K37" s="59" t="s">
        <v>53</v>
      </c>
      <c r="L37" s="59" t="s">
        <v>53</v>
      </c>
      <c r="M37" s="59" t="s">
        <v>53</v>
      </c>
      <c r="N37" s="59" t="s">
        <v>53</v>
      </c>
      <c r="O37" s="59" t="s">
        <v>53</v>
      </c>
      <c r="P37" s="59" t="s">
        <v>53</v>
      </c>
      <c r="Q37" s="59" t="s">
        <v>53</v>
      </c>
      <c r="R37" s="59"/>
      <c r="S37" s="59"/>
      <c r="T37" s="60"/>
      <c r="U37" s="3"/>
      <c r="V37" s="3"/>
    </row>
    <row r="38" ht="20" customHeight="1" spans="1:22">
      <c r="A38" s="61"/>
      <c r="B38" s="62" t="s">
        <v>512</v>
      </c>
      <c r="C38" s="62"/>
      <c r="D38" s="62"/>
      <c r="E38" s="63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5"/>
      <c r="U38" s="3"/>
      <c r="V38" s="3"/>
    </row>
    <row r="39" ht="13.8"/>
  </sheetData>
  <mergeCells count="48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6:D26"/>
    <mergeCell ref="B27:D27"/>
    <mergeCell ref="B28:D28"/>
    <mergeCell ref="B29:D29"/>
    <mergeCell ref="B30:D30"/>
    <mergeCell ref="B31:D31"/>
    <mergeCell ref="B32:D32"/>
    <mergeCell ref="B34:D34"/>
    <mergeCell ref="B35:D35"/>
    <mergeCell ref="B36:D36"/>
    <mergeCell ref="B37:D37"/>
    <mergeCell ref="B38:D38"/>
  </mergeCells>
  <dataValidations count="2">
    <dataValidation type="list" allowBlank="1" sqref="F35:Q35">
      <formula1>"N,A,B"</formula1>
    </dataValidation>
    <dataValidation type="list" allowBlank="1" sqref="F36:Q36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8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Functions!E50</f>
        <v>BE-PRF-01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Functions!D50</f>
        <v>Validate (TimeZoneId rule)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802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27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-5.3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337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COUNTIF(F25:T25,"P")</f>
        <v>8</v>
      </c>
      <c r="B7" s="20"/>
      <c r="C7" s="21">
        <f>COUNTIF(F25:T25,"F")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COUNTIF(F24:T24,"N")</f>
        <v>3</v>
      </c>
      <c r="M7" s="21">
        <f>COUNTIF(F24:T24,"A")</f>
        <v>3</v>
      </c>
      <c r="N7" s="21">
        <f>COUNTIF(F24:T24,"B")</f>
        <v>2</v>
      </c>
      <c r="O7" s="21">
        <f>COUNTA(F9:T9)</f>
        <v>8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 t="s">
        <v>474</v>
      </c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338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 t="s">
        <v>481</v>
      </c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1020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1021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1022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1023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1024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1025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1026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4" customHeight="1" spans="1:22">
      <c r="A20" s="38"/>
      <c r="B20" s="39" t="s">
        <v>1027</v>
      </c>
      <c r="C20" s="39"/>
      <c r="D20" s="39"/>
      <c r="E20" s="35"/>
      <c r="F20" s="40"/>
      <c r="G20" s="40"/>
      <c r="H20" s="40"/>
      <c r="I20" s="40"/>
      <c r="J20" s="40"/>
      <c r="K20" s="40"/>
      <c r="L20" s="40"/>
      <c r="M20" s="40" t="s">
        <v>481</v>
      </c>
      <c r="N20" s="40"/>
      <c r="O20" s="40"/>
      <c r="P20" s="40"/>
      <c r="Q20" s="40"/>
      <c r="R20" s="40"/>
      <c r="S20" s="40"/>
      <c r="T20" s="41"/>
      <c r="U20" s="3"/>
      <c r="V20" s="9"/>
    </row>
    <row r="21" ht="13.5" customHeight="1" spans="1:22">
      <c r="A21" s="42" t="s">
        <v>494</v>
      </c>
      <c r="B21" s="43" t="s">
        <v>495</v>
      </c>
      <c r="C21" s="44"/>
      <c r="D21" s="45"/>
      <c r="E21" s="4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/>
      <c r="U21" s="3"/>
      <c r="V21" s="3"/>
    </row>
    <row r="22" ht="14" customHeight="1" spans="1:22">
      <c r="A22" s="47"/>
      <c r="B22" s="39" t="s">
        <v>1028</v>
      </c>
      <c r="C22" s="39"/>
      <c r="D22" s="39"/>
      <c r="E22" s="48"/>
      <c r="F22" s="40" t="s">
        <v>481</v>
      </c>
      <c r="G22" s="40" t="s">
        <v>481</v>
      </c>
      <c r="H22" s="40" t="s">
        <v>481</v>
      </c>
      <c r="I22" s="40" t="s">
        <v>481</v>
      </c>
      <c r="J22" s="40" t="s">
        <v>481</v>
      </c>
      <c r="K22" s="40"/>
      <c r="L22" s="40"/>
      <c r="M22" s="40"/>
      <c r="N22" s="40"/>
      <c r="O22" s="40"/>
      <c r="P22" s="40"/>
      <c r="Q22" s="40"/>
      <c r="R22" s="40"/>
      <c r="S22" s="40"/>
      <c r="T22" s="41"/>
      <c r="U22" s="3"/>
      <c r="V22" s="3"/>
    </row>
    <row r="23" ht="14" customHeight="1" spans="1:22">
      <c r="A23" s="47"/>
      <c r="B23" s="39" t="s">
        <v>1029</v>
      </c>
      <c r="C23" s="39"/>
      <c r="D23" s="39"/>
      <c r="E23" s="48"/>
      <c r="F23" s="40"/>
      <c r="G23" s="40"/>
      <c r="H23" s="40"/>
      <c r="I23" s="40"/>
      <c r="J23" s="40"/>
      <c r="K23" s="40" t="s">
        <v>481</v>
      </c>
      <c r="L23" s="40" t="s">
        <v>481</v>
      </c>
      <c r="M23" s="40" t="s">
        <v>481</v>
      </c>
      <c r="N23" s="40"/>
      <c r="O23" s="40"/>
      <c r="P23" s="40"/>
      <c r="Q23" s="40"/>
      <c r="R23" s="40"/>
      <c r="S23" s="40"/>
      <c r="T23" s="41"/>
      <c r="U23" s="3"/>
      <c r="V23" s="3"/>
    </row>
    <row r="24" ht="13.5" customHeight="1" spans="1:22">
      <c r="A24" s="42" t="s">
        <v>507</v>
      </c>
      <c r="B24" s="49" t="s">
        <v>508</v>
      </c>
      <c r="C24" s="49"/>
      <c r="D24" s="49"/>
      <c r="E24" s="50"/>
      <c r="F24" s="51" t="s">
        <v>450</v>
      </c>
      <c r="G24" s="51" t="s">
        <v>450</v>
      </c>
      <c r="H24" s="51" t="s">
        <v>449</v>
      </c>
      <c r="I24" s="51" t="s">
        <v>449</v>
      </c>
      <c r="J24" s="51" t="s">
        <v>449</v>
      </c>
      <c r="K24" s="51" t="s">
        <v>66</v>
      </c>
      <c r="L24" s="51" t="s">
        <v>66</v>
      </c>
      <c r="M24" s="51" t="s">
        <v>66</v>
      </c>
      <c r="N24" s="51"/>
      <c r="O24" s="51"/>
      <c r="P24" s="51"/>
      <c r="Q24" s="51"/>
      <c r="R24" s="51"/>
      <c r="S24" s="51"/>
      <c r="T24" s="52"/>
      <c r="U24" s="3"/>
      <c r="V24" s="3"/>
    </row>
    <row r="25" ht="13.5" customHeight="1" spans="1:22">
      <c r="A25" s="47"/>
      <c r="B25" s="53" t="s">
        <v>509</v>
      </c>
      <c r="C25" s="53"/>
      <c r="D25" s="53"/>
      <c r="E25" s="54"/>
      <c r="F25" s="55" t="s">
        <v>510</v>
      </c>
      <c r="G25" s="55" t="s">
        <v>510</v>
      </c>
      <c r="H25" s="55" t="s">
        <v>510</v>
      </c>
      <c r="I25" s="55" t="s">
        <v>510</v>
      </c>
      <c r="J25" s="55" t="s">
        <v>510</v>
      </c>
      <c r="K25" s="55" t="s">
        <v>510</v>
      </c>
      <c r="L25" s="55" t="s">
        <v>510</v>
      </c>
      <c r="M25" s="55" t="s">
        <v>510</v>
      </c>
      <c r="N25" s="55"/>
      <c r="O25" s="55"/>
      <c r="P25" s="55"/>
      <c r="Q25" s="55"/>
      <c r="R25" s="55"/>
      <c r="S25" s="55"/>
      <c r="T25" s="56"/>
      <c r="U25" s="3"/>
      <c r="V25" s="3"/>
    </row>
    <row r="26" ht="105" customHeight="1" spans="1:22">
      <c r="A26" s="47"/>
      <c r="B26" s="57" t="s">
        <v>511</v>
      </c>
      <c r="C26" s="57"/>
      <c r="D26" s="57"/>
      <c r="E26" s="58"/>
      <c r="F26" s="59" t="s">
        <v>53</v>
      </c>
      <c r="G26" s="59" t="s">
        <v>53</v>
      </c>
      <c r="H26" s="59" t="s">
        <v>53</v>
      </c>
      <c r="I26" s="59" t="s">
        <v>53</v>
      </c>
      <c r="J26" s="59" t="s">
        <v>53</v>
      </c>
      <c r="K26" s="59" t="s">
        <v>53</v>
      </c>
      <c r="L26" s="59" t="s">
        <v>53</v>
      </c>
      <c r="M26" s="59" t="s">
        <v>53</v>
      </c>
      <c r="N26" s="59"/>
      <c r="O26" s="59"/>
      <c r="P26" s="59"/>
      <c r="Q26" s="59"/>
      <c r="R26" s="59"/>
      <c r="S26" s="59"/>
      <c r="T26" s="60"/>
      <c r="U26" s="3"/>
      <c r="V26" s="3"/>
    </row>
    <row r="27" ht="20" customHeight="1" spans="1:22">
      <c r="A27" s="61"/>
      <c r="B27" s="62" t="s">
        <v>512</v>
      </c>
      <c r="C27" s="62"/>
      <c r="D27" s="62"/>
      <c r="E27" s="63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5"/>
      <c r="U27" s="3"/>
      <c r="V27" s="3"/>
    </row>
    <row r="28" ht="13.8"/>
  </sheetData>
  <mergeCells count="38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2:D22"/>
    <mergeCell ref="B23:D23"/>
    <mergeCell ref="B24:D24"/>
    <mergeCell ref="B25:D25"/>
    <mergeCell ref="B26:D26"/>
    <mergeCell ref="B27:D27"/>
  </mergeCells>
  <dataValidations count="2">
    <dataValidation type="list" allowBlank="1" sqref="F24:M24">
      <formula1>"N,A,B"</formula1>
    </dataValidation>
    <dataValidation type="list" allowBlank="1" sqref="F25:M25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Functions!E51</f>
        <v>BE-STU-01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Functions!D51</f>
        <v>Validate / ValidateItDomain / ScoreItDomain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793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93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6.3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344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COUNTIF(F22:T22,"P")</f>
        <v>3</v>
      </c>
      <c r="B7" s="20"/>
      <c r="C7" s="21">
        <f>COUNTIF(F22:T22,"F")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COUNTIF(F21:T21,"N")</f>
        <v>1</v>
      </c>
      <c r="M7" s="21">
        <f>COUNTIF(F21:T21,"A")</f>
        <v>2</v>
      </c>
      <c r="N7" s="21">
        <f>COUNTIF(F21:T21,"B")</f>
        <v>0</v>
      </c>
      <c r="O7" s="21">
        <f>COUNTA(F9:T9)</f>
        <v>3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345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1030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1031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1032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3.5" customHeight="1" spans="1:22">
      <c r="A16" s="42" t="s">
        <v>494</v>
      </c>
      <c r="B16" s="43" t="s">
        <v>495</v>
      </c>
      <c r="C16" s="44"/>
      <c r="D16" s="45"/>
      <c r="E16" s="4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7"/>
      <c r="U16" s="3"/>
      <c r="V16" s="3"/>
    </row>
    <row r="17" ht="14" customHeight="1" spans="1:22">
      <c r="A17" s="47"/>
      <c r="B17" s="39" t="s">
        <v>1033</v>
      </c>
      <c r="C17" s="39"/>
      <c r="D17" s="39"/>
      <c r="E17" s="48"/>
      <c r="F17" s="40" t="s">
        <v>481</v>
      </c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3"/>
    </row>
    <row r="18" ht="14" customHeight="1" spans="1:22">
      <c r="A18" s="47"/>
      <c r="B18" s="39" t="s">
        <v>1034</v>
      </c>
      <c r="C18" s="39"/>
      <c r="D18" s="39"/>
      <c r="E18" s="48"/>
      <c r="F18" s="40"/>
      <c r="G18" s="40"/>
      <c r="H18" s="40" t="s">
        <v>481</v>
      </c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3"/>
    </row>
    <row r="19" ht="13.5" customHeight="1" spans="1:22">
      <c r="A19" s="42"/>
      <c r="B19" s="43" t="s">
        <v>913</v>
      </c>
      <c r="C19" s="44"/>
      <c r="D19" s="45"/>
      <c r="E19" s="4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7"/>
      <c r="U19" s="3"/>
      <c r="V19" s="3"/>
    </row>
    <row r="20" ht="14" customHeight="1" spans="1:22">
      <c r="A20" s="47"/>
      <c r="B20" s="39" t="s">
        <v>1035</v>
      </c>
      <c r="C20" s="39"/>
      <c r="D20" s="39"/>
      <c r="E20" s="48"/>
      <c r="F20" s="40"/>
      <c r="G20" s="40" t="s">
        <v>481</v>
      </c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1"/>
      <c r="U20" s="3"/>
      <c r="V20" s="3"/>
    </row>
    <row r="21" ht="13.5" customHeight="1" spans="1:22">
      <c r="A21" s="42" t="s">
        <v>507</v>
      </c>
      <c r="B21" s="49" t="s">
        <v>508</v>
      </c>
      <c r="C21" s="49"/>
      <c r="D21" s="49"/>
      <c r="E21" s="50"/>
      <c r="F21" s="51" t="s">
        <v>449</v>
      </c>
      <c r="G21" s="51" t="s">
        <v>66</v>
      </c>
      <c r="H21" s="51" t="s">
        <v>66</v>
      </c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2"/>
      <c r="U21" s="3"/>
      <c r="V21" s="3"/>
    </row>
    <row r="22" ht="13.5" customHeight="1" spans="1:22">
      <c r="A22" s="47"/>
      <c r="B22" s="53" t="s">
        <v>509</v>
      </c>
      <c r="C22" s="53"/>
      <c r="D22" s="53"/>
      <c r="E22" s="54"/>
      <c r="F22" s="55" t="s">
        <v>510</v>
      </c>
      <c r="G22" s="55" t="s">
        <v>510</v>
      </c>
      <c r="H22" s="55" t="s">
        <v>510</v>
      </c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6"/>
      <c r="U22" s="3"/>
      <c r="V22" s="3"/>
    </row>
    <row r="23" ht="105" customHeight="1" spans="1:22">
      <c r="A23" s="47"/>
      <c r="B23" s="57" t="s">
        <v>511</v>
      </c>
      <c r="C23" s="57"/>
      <c r="D23" s="57"/>
      <c r="E23" s="58"/>
      <c r="F23" s="59" t="s">
        <v>53</v>
      </c>
      <c r="G23" s="59" t="s">
        <v>53</v>
      </c>
      <c r="H23" s="59" t="s">
        <v>53</v>
      </c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60"/>
      <c r="U23" s="3"/>
      <c r="V23" s="3"/>
    </row>
    <row r="24" ht="20" customHeight="1" spans="1:22">
      <c r="A24" s="61"/>
      <c r="B24" s="62" t="s">
        <v>512</v>
      </c>
      <c r="C24" s="62"/>
      <c r="D24" s="62"/>
      <c r="E24" s="63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5"/>
      <c r="U24" s="3"/>
      <c r="V24" s="3"/>
    </row>
    <row r="25" ht="13.8"/>
  </sheetData>
  <mergeCells count="34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7:D17"/>
    <mergeCell ref="B18:D18"/>
    <mergeCell ref="B20:D20"/>
    <mergeCell ref="B21:D21"/>
    <mergeCell ref="B22:D22"/>
    <mergeCell ref="B23:D23"/>
    <mergeCell ref="B24:D24"/>
  </mergeCells>
  <dataValidations count="2">
    <dataValidation type="list" allowBlank="1" sqref="F21:H21">
      <formula1>"N,A,B"</formula1>
    </dataValidation>
    <dataValidation type="list" allowBlank="1" sqref="F22:H22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Functions!E52</f>
        <v>BE-STU-02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Functions!D52</f>
        <v>Merge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793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27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0.7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350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COUNTIF(F19:T19,"P")</f>
        <v>2</v>
      </c>
      <c r="B7" s="20"/>
      <c r="C7" s="21">
        <f>COUNTIF(F19:T19,"F")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COUNTIF(F18:T18,"N")</f>
        <v>2</v>
      </c>
      <c r="M7" s="21">
        <f>COUNTIF(F18:T18,"A")</f>
        <v>0</v>
      </c>
      <c r="N7" s="21">
        <f>COUNTIF(F18:T18,"B")</f>
        <v>0</v>
      </c>
      <c r="O7" s="21">
        <f>COUNTA(F9:T9)</f>
        <v>2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351</v>
      </c>
      <c r="C11" s="39"/>
      <c r="D11" s="39"/>
      <c r="E11" s="35"/>
      <c r="F11" s="40" t="s">
        <v>481</v>
      </c>
      <c r="G11" s="40" t="s">
        <v>481</v>
      </c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1036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1037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3.5" customHeight="1" spans="1:22">
      <c r="A15" s="42" t="s">
        <v>494</v>
      </c>
      <c r="B15" s="43" t="s">
        <v>495</v>
      </c>
      <c r="C15" s="44"/>
      <c r="D15" s="45"/>
      <c r="E15" s="4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7"/>
      <c r="U15" s="3"/>
      <c r="V15" s="3"/>
    </row>
    <row r="16" ht="14" customHeight="1" spans="1:22">
      <c r="A16" s="47"/>
      <c r="B16" s="39" t="s">
        <v>1038</v>
      </c>
      <c r="C16" s="39"/>
      <c r="D16" s="39"/>
      <c r="E16" s="48"/>
      <c r="F16" s="40" t="s">
        <v>481</v>
      </c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3"/>
    </row>
    <row r="17" ht="14" customHeight="1" spans="1:22">
      <c r="A17" s="47"/>
      <c r="B17" s="39" t="s">
        <v>1039</v>
      </c>
      <c r="C17" s="39"/>
      <c r="D17" s="39"/>
      <c r="E17" s="48"/>
      <c r="F17" s="40"/>
      <c r="G17" s="40" t="s">
        <v>481</v>
      </c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3"/>
    </row>
    <row r="18" ht="13.5" customHeight="1" spans="1:22">
      <c r="A18" s="42" t="s">
        <v>507</v>
      </c>
      <c r="B18" s="49" t="s">
        <v>508</v>
      </c>
      <c r="C18" s="49"/>
      <c r="D18" s="49"/>
      <c r="E18" s="50"/>
      <c r="F18" s="51" t="s">
        <v>449</v>
      </c>
      <c r="G18" s="51" t="s">
        <v>449</v>
      </c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2"/>
      <c r="U18" s="3"/>
      <c r="V18" s="3"/>
    </row>
    <row r="19" ht="13.5" customHeight="1" spans="1:22">
      <c r="A19" s="47"/>
      <c r="B19" s="53" t="s">
        <v>509</v>
      </c>
      <c r="C19" s="53"/>
      <c r="D19" s="53"/>
      <c r="E19" s="54"/>
      <c r="F19" s="55" t="s">
        <v>510</v>
      </c>
      <c r="G19" s="55" t="s">
        <v>510</v>
      </c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6"/>
      <c r="U19" s="3"/>
      <c r="V19" s="3"/>
    </row>
    <row r="20" ht="105" customHeight="1" spans="1:22">
      <c r="A20" s="47"/>
      <c r="B20" s="57" t="s">
        <v>511</v>
      </c>
      <c r="C20" s="57"/>
      <c r="D20" s="57"/>
      <c r="E20" s="58"/>
      <c r="F20" s="59" t="s">
        <v>53</v>
      </c>
      <c r="G20" s="59" t="s">
        <v>53</v>
      </c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60"/>
      <c r="U20" s="3"/>
      <c r="V20" s="3"/>
    </row>
    <row r="21" ht="20" customHeight="1" spans="1:22">
      <c r="A21" s="61"/>
      <c r="B21" s="62" t="s">
        <v>512</v>
      </c>
      <c r="C21" s="62"/>
      <c r="D21" s="62"/>
      <c r="E21" s="63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5"/>
      <c r="U21" s="3"/>
      <c r="V21" s="3"/>
    </row>
    <row r="22" ht="13.8"/>
  </sheetData>
  <mergeCells count="32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6:D16"/>
    <mergeCell ref="B17:D17"/>
    <mergeCell ref="B18:D18"/>
    <mergeCell ref="B19:D19"/>
    <mergeCell ref="B20:D20"/>
    <mergeCell ref="B21:D21"/>
  </mergeCells>
  <dataValidations count="2">
    <dataValidation type="list" allowBlank="1" sqref="F18:G18">
      <formula1>"N,A,B"</formula1>
    </dataValidation>
    <dataValidation type="list" allowBlank="1" sqref="F19:G19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9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Functions!E53</f>
        <v>BE-STU-03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Functions!D53</f>
        <v>NormalizeToPercent / IsValidSum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793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19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-4.1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356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COUNTIF(F26:T26,"P")</f>
        <v>6</v>
      </c>
      <c r="B7" s="20"/>
      <c r="C7" s="21">
        <f>COUNTIF(F26:T26,"F")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COUNTIF(F25:T25,"N")</f>
        <v>4</v>
      </c>
      <c r="M7" s="21">
        <f>COUNTIF(F25:T25,"A")</f>
        <v>0</v>
      </c>
      <c r="N7" s="21">
        <f>COUNTIF(F25:T25,"B")</f>
        <v>2</v>
      </c>
      <c r="O7" s="21">
        <f>COUNTA(F9:T9)</f>
        <v>6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357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1040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1041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1042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1043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1044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1045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3.5" customHeight="1" spans="1:22">
      <c r="A19" s="42" t="s">
        <v>494</v>
      </c>
      <c r="B19" s="43" t="s">
        <v>495</v>
      </c>
      <c r="C19" s="44"/>
      <c r="D19" s="45"/>
      <c r="E19" s="4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7"/>
      <c r="U19" s="3"/>
      <c r="V19" s="3"/>
    </row>
    <row r="20" ht="14" customHeight="1" spans="1:22">
      <c r="A20" s="47"/>
      <c r="B20" s="39" t="s">
        <v>1046</v>
      </c>
      <c r="C20" s="39"/>
      <c r="D20" s="39"/>
      <c r="E20" s="48"/>
      <c r="F20" s="40" t="s">
        <v>481</v>
      </c>
      <c r="G20" s="40"/>
      <c r="H20" s="40" t="s">
        <v>481</v>
      </c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1"/>
      <c r="U20" s="3"/>
      <c r="V20" s="3"/>
    </row>
    <row r="21" ht="14" customHeight="1" spans="1:22">
      <c r="A21" s="47"/>
      <c r="B21" s="39" t="s">
        <v>1047</v>
      </c>
      <c r="C21" s="39"/>
      <c r="D21" s="39"/>
      <c r="E21" s="48"/>
      <c r="F21" s="40"/>
      <c r="G21" s="40" t="s">
        <v>481</v>
      </c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1"/>
      <c r="U21" s="3"/>
      <c r="V21" s="3"/>
    </row>
    <row r="22" ht="14" customHeight="1" spans="1:22">
      <c r="A22" s="47"/>
      <c r="B22" s="39" t="s">
        <v>1048</v>
      </c>
      <c r="C22" s="39"/>
      <c r="D22" s="39"/>
      <c r="E22" s="48"/>
      <c r="F22" s="40"/>
      <c r="G22" s="40"/>
      <c r="H22" s="40"/>
      <c r="I22" s="40" t="s">
        <v>481</v>
      </c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1"/>
      <c r="U22" s="3"/>
      <c r="V22" s="3"/>
    </row>
    <row r="23" ht="14" customHeight="1" spans="1:22">
      <c r="A23" s="47"/>
      <c r="B23" s="39" t="s">
        <v>1049</v>
      </c>
      <c r="C23" s="39"/>
      <c r="D23" s="39"/>
      <c r="E23" s="48"/>
      <c r="F23" s="40"/>
      <c r="G23" s="40"/>
      <c r="H23" s="40"/>
      <c r="I23" s="40"/>
      <c r="J23" s="40" t="s">
        <v>481</v>
      </c>
      <c r="K23" s="40"/>
      <c r="L23" s="40"/>
      <c r="M23" s="40"/>
      <c r="N23" s="40"/>
      <c r="O23" s="40"/>
      <c r="P23" s="40"/>
      <c r="Q23" s="40"/>
      <c r="R23" s="40"/>
      <c r="S23" s="40"/>
      <c r="T23" s="41"/>
      <c r="U23" s="3"/>
      <c r="V23" s="3"/>
    </row>
    <row r="24" ht="14" customHeight="1" spans="1:22">
      <c r="A24" s="47"/>
      <c r="B24" s="39" t="s">
        <v>1050</v>
      </c>
      <c r="C24" s="39"/>
      <c r="D24" s="39"/>
      <c r="E24" s="48"/>
      <c r="F24" s="40"/>
      <c r="G24" s="40"/>
      <c r="H24" s="40"/>
      <c r="I24" s="40"/>
      <c r="J24" s="40"/>
      <c r="K24" s="40" t="s">
        <v>481</v>
      </c>
      <c r="L24" s="40"/>
      <c r="M24" s="40"/>
      <c r="N24" s="40"/>
      <c r="O24" s="40"/>
      <c r="P24" s="40"/>
      <c r="Q24" s="40"/>
      <c r="R24" s="40"/>
      <c r="S24" s="40"/>
      <c r="T24" s="41"/>
      <c r="U24" s="3"/>
      <c r="V24" s="3"/>
    </row>
    <row r="25" ht="13.5" customHeight="1" spans="1:22">
      <c r="A25" s="42" t="s">
        <v>507</v>
      </c>
      <c r="B25" s="49" t="s">
        <v>508</v>
      </c>
      <c r="C25" s="49"/>
      <c r="D25" s="49"/>
      <c r="E25" s="50"/>
      <c r="F25" s="51" t="s">
        <v>449</v>
      </c>
      <c r="G25" s="51" t="s">
        <v>449</v>
      </c>
      <c r="H25" s="51" t="s">
        <v>449</v>
      </c>
      <c r="I25" s="51" t="s">
        <v>450</v>
      </c>
      <c r="J25" s="51" t="s">
        <v>450</v>
      </c>
      <c r="K25" s="51" t="s">
        <v>449</v>
      </c>
      <c r="L25" s="51"/>
      <c r="M25" s="51"/>
      <c r="N25" s="51"/>
      <c r="O25" s="51"/>
      <c r="P25" s="51"/>
      <c r="Q25" s="51"/>
      <c r="R25" s="51"/>
      <c r="S25" s="51"/>
      <c r="T25" s="52"/>
      <c r="U25" s="3"/>
      <c r="V25" s="3"/>
    </row>
    <row r="26" ht="13.5" customHeight="1" spans="1:22">
      <c r="A26" s="47"/>
      <c r="B26" s="53" t="s">
        <v>509</v>
      </c>
      <c r="C26" s="53"/>
      <c r="D26" s="53"/>
      <c r="E26" s="54"/>
      <c r="F26" s="55" t="s">
        <v>510</v>
      </c>
      <c r="G26" s="55" t="s">
        <v>510</v>
      </c>
      <c r="H26" s="55" t="s">
        <v>510</v>
      </c>
      <c r="I26" s="55" t="s">
        <v>510</v>
      </c>
      <c r="J26" s="55" t="s">
        <v>510</v>
      </c>
      <c r="K26" s="55" t="s">
        <v>510</v>
      </c>
      <c r="L26" s="55"/>
      <c r="M26" s="55"/>
      <c r="N26" s="55"/>
      <c r="O26" s="55"/>
      <c r="P26" s="55"/>
      <c r="Q26" s="55"/>
      <c r="R26" s="55"/>
      <c r="S26" s="55"/>
      <c r="T26" s="56"/>
      <c r="U26" s="3"/>
      <c r="V26" s="3"/>
    </row>
    <row r="27" ht="105" customHeight="1" spans="1:22">
      <c r="A27" s="47"/>
      <c r="B27" s="57" t="s">
        <v>511</v>
      </c>
      <c r="C27" s="57"/>
      <c r="D27" s="57"/>
      <c r="E27" s="58"/>
      <c r="F27" s="59" t="s">
        <v>53</v>
      </c>
      <c r="G27" s="59" t="s">
        <v>53</v>
      </c>
      <c r="H27" s="59" t="s">
        <v>53</v>
      </c>
      <c r="I27" s="59" t="s">
        <v>53</v>
      </c>
      <c r="J27" s="59" t="s">
        <v>53</v>
      </c>
      <c r="K27" s="59" t="s">
        <v>53</v>
      </c>
      <c r="L27" s="59"/>
      <c r="M27" s="59"/>
      <c r="N27" s="59"/>
      <c r="O27" s="59"/>
      <c r="P27" s="59"/>
      <c r="Q27" s="59"/>
      <c r="R27" s="59"/>
      <c r="S27" s="59"/>
      <c r="T27" s="60"/>
      <c r="U27" s="3"/>
      <c r="V27" s="3"/>
    </row>
    <row r="28" ht="20" customHeight="1" spans="1:22">
      <c r="A28" s="61"/>
      <c r="B28" s="62" t="s">
        <v>512</v>
      </c>
      <c r="C28" s="62"/>
      <c r="D28" s="62"/>
      <c r="E28" s="63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5"/>
      <c r="U28" s="3"/>
      <c r="V28" s="3"/>
    </row>
    <row r="29" ht="13.8"/>
  </sheetData>
  <mergeCells count="39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</mergeCells>
  <dataValidations count="2">
    <dataValidation type="list" allowBlank="1" sqref="F25:K25">
      <formula1>"N,A,B"</formula1>
    </dataValidation>
    <dataValidation type="list" allowBlank="1" sqref="F26:K26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6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Functions!E54</f>
        <v>BE-STU-04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Functions!D54</f>
        <v>LargestRemainder / ApplyFocusWeightsToOutline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802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91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5.1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362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COUNTIF(F23:T23,"P")</f>
        <v>4</v>
      </c>
      <c r="B7" s="20"/>
      <c r="C7" s="21">
        <f>COUNTIF(F23:T23,"F")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COUNTIF(F22:T22,"N")</f>
        <v>3</v>
      </c>
      <c r="M7" s="21">
        <f>COUNTIF(F22:T22,"A")</f>
        <v>0</v>
      </c>
      <c r="N7" s="21">
        <f>COUNTIF(F22:T22,"B")</f>
        <v>1</v>
      </c>
      <c r="O7" s="21">
        <f>COUNTA(F9:T9)</f>
        <v>4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363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1051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1052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1053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1054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3.5" customHeight="1" spans="1:22">
      <c r="A17" s="42" t="s">
        <v>494</v>
      </c>
      <c r="B17" s="43" t="s">
        <v>495</v>
      </c>
      <c r="C17" s="44"/>
      <c r="D17" s="45"/>
      <c r="E17" s="4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7"/>
      <c r="U17" s="3"/>
      <c r="V17" s="3"/>
    </row>
    <row r="18" ht="14" customHeight="1" spans="1:22">
      <c r="A18" s="47"/>
      <c r="B18" s="39" t="s">
        <v>1055</v>
      </c>
      <c r="C18" s="39"/>
      <c r="D18" s="39"/>
      <c r="E18" s="48"/>
      <c r="F18" s="40" t="s">
        <v>481</v>
      </c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3"/>
    </row>
    <row r="19" ht="14" customHeight="1" spans="1:22">
      <c r="A19" s="47"/>
      <c r="B19" s="39" t="s">
        <v>1056</v>
      </c>
      <c r="C19" s="39"/>
      <c r="D19" s="39"/>
      <c r="E19" s="48"/>
      <c r="F19" s="40"/>
      <c r="G19" s="40" t="s">
        <v>481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1"/>
      <c r="U19" s="3"/>
      <c r="V19" s="3"/>
    </row>
    <row r="20" ht="14" customHeight="1" spans="1:22">
      <c r="A20" s="47"/>
      <c r="B20" s="39" t="s">
        <v>1057</v>
      </c>
      <c r="C20" s="39"/>
      <c r="D20" s="39"/>
      <c r="E20" s="48"/>
      <c r="F20" s="40"/>
      <c r="G20" s="40"/>
      <c r="H20" s="40" t="s">
        <v>481</v>
      </c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1"/>
      <c r="U20" s="3"/>
      <c r="V20" s="3"/>
    </row>
    <row r="21" ht="14" customHeight="1" spans="1:22">
      <c r="A21" s="47"/>
      <c r="B21" s="39" t="s">
        <v>1058</v>
      </c>
      <c r="C21" s="39"/>
      <c r="D21" s="39"/>
      <c r="E21" s="48"/>
      <c r="F21" s="40"/>
      <c r="G21" s="40"/>
      <c r="H21" s="40"/>
      <c r="I21" s="40" t="s">
        <v>481</v>
      </c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1"/>
      <c r="U21" s="3"/>
      <c r="V21" s="3"/>
    </row>
    <row r="22" ht="13.5" customHeight="1" spans="1:22">
      <c r="A22" s="42" t="s">
        <v>507</v>
      </c>
      <c r="B22" s="49" t="s">
        <v>508</v>
      </c>
      <c r="C22" s="49"/>
      <c r="D22" s="49"/>
      <c r="E22" s="50"/>
      <c r="F22" s="51" t="s">
        <v>449</v>
      </c>
      <c r="G22" s="51" t="s">
        <v>450</v>
      </c>
      <c r="H22" s="51" t="s">
        <v>449</v>
      </c>
      <c r="I22" s="51" t="s">
        <v>449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2"/>
      <c r="U22" s="3"/>
      <c r="V22" s="3"/>
    </row>
    <row r="23" ht="13.5" customHeight="1" spans="1:22">
      <c r="A23" s="47"/>
      <c r="B23" s="53" t="s">
        <v>509</v>
      </c>
      <c r="C23" s="53"/>
      <c r="D23" s="53"/>
      <c r="E23" s="54"/>
      <c r="F23" s="55" t="s">
        <v>510</v>
      </c>
      <c r="G23" s="55" t="s">
        <v>510</v>
      </c>
      <c r="H23" s="55" t="s">
        <v>510</v>
      </c>
      <c r="I23" s="55" t="s">
        <v>510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6"/>
      <c r="U23" s="3"/>
      <c r="V23" s="3"/>
    </row>
    <row r="24" ht="105" customHeight="1" spans="1:22">
      <c r="A24" s="47"/>
      <c r="B24" s="57" t="s">
        <v>511</v>
      </c>
      <c r="C24" s="57"/>
      <c r="D24" s="57"/>
      <c r="E24" s="58"/>
      <c r="F24" s="59" t="s">
        <v>53</v>
      </c>
      <c r="G24" s="59" t="s">
        <v>53</v>
      </c>
      <c r="H24" s="59" t="s">
        <v>53</v>
      </c>
      <c r="I24" s="59" t="s">
        <v>53</v>
      </c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60"/>
      <c r="U24" s="3"/>
      <c r="V24" s="3"/>
    </row>
    <row r="25" ht="20" customHeight="1" spans="1:22">
      <c r="A25" s="61"/>
      <c r="B25" s="62" t="s">
        <v>512</v>
      </c>
      <c r="C25" s="62"/>
      <c r="D25" s="62"/>
      <c r="E25" s="63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5"/>
      <c r="U25" s="3"/>
      <c r="V25" s="3"/>
    </row>
    <row r="26" ht="13.8"/>
  </sheetData>
  <mergeCells count="36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8:D18"/>
    <mergeCell ref="B19:D19"/>
    <mergeCell ref="B20:D20"/>
    <mergeCell ref="B21:D21"/>
    <mergeCell ref="B22:D22"/>
    <mergeCell ref="B23:D23"/>
    <mergeCell ref="B24:D24"/>
    <mergeCell ref="B25:D25"/>
  </mergeCells>
  <dataValidations count="2">
    <dataValidation type="list" allowBlank="1" sqref="F22:I22">
      <formula1>"N,A,B"</formula1>
    </dataValidation>
    <dataValidation type="list" allowBlank="1" sqref="F23:I23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Functions!E55</f>
        <v>BE-STU-05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Functions!D55</f>
        <v>Normalize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793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16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-1.4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368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COUNTIF(F21:T21,"P")</f>
        <v>3</v>
      </c>
      <c r="B7" s="20"/>
      <c r="C7" s="21">
        <f>COUNTIF(F21:T21,"F")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COUNTIF(F20:T20,"N")</f>
        <v>1</v>
      </c>
      <c r="M7" s="21">
        <f>COUNTIF(F20:T20,"A")</f>
        <v>0</v>
      </c>
      <c r="N7" s="21">
        <f>COUNTIF(F20:T20,"B")</f>
        <v>2</v>
      </c>
      <c r="O7" s="21">
        <f>COUNTA(F9:T9)</f>
        <v>3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369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1059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1060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1061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3.5" customHeight="1" spans="1:22">
      <c r="A16" s="42" t="s">
        <v>494</v>
      </c>
      <c r="B16" s="43" t="s">
        <v>495</v>
      </c>
      <c r="C16" s="44"/>
      <c r="D16" s="45"/>
      <c r="E16" s="4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7"/>
      <c r="U16" s="3"/>
      <c r="V16" s="3"/>
    </row>
    <row r="17" ht="14" customHeight="1" spans="1:22">
      <c r="A17" s="47"/>
      <c r="B17" s="39" t="s">
        <v>1062</v>
      </c>
      <c r="C17" s="39"/>
      <c r="D17" s="39"/>
      <c r="E17" s="48"/>
      <c r="F17" s="40" t="s">
        <v>481</v>
      </c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3"/>
    </row>
    <row r="18" ht="14" customHeight="1" spans="1:22">
      <c r="A18" s="47"/>
      <c r="B18" s="39" t="s">
        <v>1063</v>
      </c>
      <c r="C18" s="39"/>
      <c r="D18" s="39"/>
      <c r="E18" s="48"/>
      <c r="F18" s="40"/>
      <c r="G18" s="40" t="s">
        <v>481</v>
      </c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3"/>
    </row>
    <row r="19" ht="14" customHeight="1" spans="1:22">
      <c r="A19" s="47"/>
      <c r="B19" s="39" t="s">
        <v>1064</v>
      </c>
      <c r="C19" s="39"/>
      <c r="D19" s="39"/>
      <c r="E19" s="48"/>
      <c r="F19" s="40"/>
      <c r="G19" s="40"/>
      <c r="H19" s="40" t="s">
        <v>481</v>
      </c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1"/>
      <c r="U19" s="3"/>
      <c r="V19" s="3"/>
    </row>
    <row r="20" ht="13.5" customHeight="1" spans="1:22">
      <c r="A20" s="42" t="s">
        <v>507</v>
      </c>
      <c r="B20" s="49" t="s">
        <v>508</v>
      </c>
      <c r="C20" s="49"/>
      <c r="D20" s="49"/>
      <c r="E20" s="50"/>
      <c r="F20" s="51" t="s">
        <v>449</v>
      </c>
      <c r="G20" s="51" t="s">
        <v>450</v>
      </c>
      <c r="H20" s="51" t="s">
        <v>450</v>
      </c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2"/>
      <c r="U20" s="3"/>
      <c r="V20" s="3"/>
    </row>
    <row r="21" ht="13.5" customHeight="1" spans="1:22">
      <c r="A21" s="47"/>
      <c r="B21" s="53" t="s">
        <v>509</v>
      </c>
      <c r="C21" s="53"/>
      <c r="D21" s="53"/>
      <c r="E21" s="54"/>
      <c r="F21" s="55" t="s">
        <v>510</v>
      </c>
      <c r="G21" s="55" t="s">
        <v>510</v>
      </c>
      <c r="H21" s="55" t="s">
        <v>510</v>
      </c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6"/>
      <c r="U21" s="3"/>
      <c r="V21" s="3"/>
    </row>
    <row r="22" ht="105" customHeight="1" spans="1:22">
      <c r="A22" s="47"/>
      <c r="B22" s="57" t="s">
        <v>511</v>
      </c>
      <c r="C22" s="57"/>
      <c r="D22" s="57"/>
      <c r="E22" s="58"/>
      <c r="F22" s="59" t="s">
        <v>53</v>
      </c>
      <c r="G22" s="59" t="s">
        <v>53</v>
      </c>
      <c r="H22" s="59" t="s">
        <v>53</v>
      </c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60"/>
      <c r="U22" s="3"/>
      <c r="V22" s="3"/>
    </row>
    <row r="23" ht="20" customHeight="1" spans="1:22">
      <c r="A23" s="61"/>
      <c r="B23" s="62" t="s">
        <v>512</v>
      </c>
      <c r="C23" s="62"/>
      <c r="D23" s="62"/>
      <c r="E23" s="63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5"/>
      <c r="U23" s="3"/>
      <c r="V23" s="3"/>
    </row>
    <row r="24" ht="13.8"/>
  </sheetData>
  <mergeCells count="34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7:D17"/>
    <mergeCell ref="B18:D18"/>
    <mergeCell ref="B19:D19"/>
    <mergeCell ref="B20:D20"/>
    <mergeCell ref="B21:D21"/>
    <mergeCell ref="B22:D22"/>
    <mergeCell ref="B23:D23"/>
  </mergeCells>
  <dataValidations count="2">
    <dataValidation type="list" allowBlank="1" sqref="F20:H20">
      <formula1>"N,A,B"</formula1>
    </dataValidation>
    <dataValidation type="list" allowBlank="1" sqref="F21:H21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0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Functions!E56</f>
        <v>BE-STU-06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Functions!D56</f>
        <v>TryReject / FromRagFailure / NormalizeDocumentType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793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62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-6.8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374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COUNTIF(F37:T37,"P")</f>
        <v>13</v>
      </c>
      <c r="B7" s="20"/>
      <c r="C7" s="21">
        <f>COUNTIF(F37:T37,"F")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COUNTIF(F36:T36,"N")</f>
        <v>4</v>
      </c>
      <c r="M7" s="21">
        <f>COUNTIF(F36:T36,"A")</f>
        <v>8</v>
      </c>
      <c r="N7" s="21">
        <f>COUNTIF(F36:T36,"B")</f>
        <v>1</v>
      </c>
      <c r="O7" s="21">
        <f>COUNTA(F9:T9)</f>
        <v>13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 t="s">
        <v>474</v>
      </c>
      <c r="N9" s="28" t="s">
        <v>475</v>
      </c>
      <c r="O9" s="28" t="s">
        <v>476</v>
      </c>
      <c r="P9" s="28" t="s">
        <v>477</v>
      </c>
      <c r="Q9" s="28" t="s">
        <v>561</v>
      </c>
      <c r="R9" s="28" t="s">
        <v>562</v>
      </c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375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 t="s">
        <v>481</v>
      </c>
      <c r="N11" s="40" t="s">
        <v>481</v>
      </c>
      <c r="O11" s="40" t="s">
        <v>481</v>
      </c>
      <c r="P11" s="40" t="s">
        <v>481</v>
      </c>
      <c r="Q11" s="40" t="s">
        <v>481</v>
      </c>
      <c r="R11" s="40" t="s">
        <v>481</v>
      </c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1065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1066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1067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1068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1069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1070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1071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4" customHeight="1" spans="1:22">
      <c r="A20" s="38"/>
      <c r="B20" s="39" t="s">
        <v>1072</v>
      </c>
      <c r="C20" s="39"/>
      <c r="D20" s="39"/>
      <c r="E20" s="35"/>
      <c r="F20" s="40"/>
      <c r="G20" s="40"/>
      <c r="H20" s="40"/>
      <c r="I20" s="40"/>
      <c r="J20" s="40"/>
      <c r="K20" s="40"/>
      <c r="L20" s="40"/>
      <c r="M20" s="40" t="s">
        <v>481</v>
      </c>
      <c r="N20" s="40"/>
      <c r="O20" s="40"/>
      <c r="P20" s="40"/>
      <c r="Q20" s="40"/>
      <c r="R20" s="40"/>
      <c r="S20" s="40"/>
      <c r="T20" s="41"/>
      <c r="U20" s="3"/>
      <c r="V20" s="9"/>
    </row>
    <row r="21" ht="14" customHeight="1" spans="1:22">
      <c r="A21" s="38"/>
      <c r="B21" s="39" t="s">
        <v>1073</v>
      </c>
      <c r="C21" s="39"/>
      <c r="D21" s="39"/>
      <c r="E21" s="35"/>
      <c r="F21" s="40"/>
      <c r="G21" s="40"/>
      <c r="H21" s="40"/>
      <c r="I21" s="40"/>
      <c r="J21" s="40"/>
      <c r="K21" s="40"/>
      <c r="L21" s="40"/>
      <c r="M21" s="40"/>
      <c r="N21" s="40" t="s">
        <v>481</v>
      </c>
      <c r="O21" s="40"/>
      <c r="P21" s="40"/>
      <c r="Q21" s="40"/>
      <c r="R21" s="40"/>
      <c r="S21" s="40"/>
      <c r="T21" s="41"/>
      <c r="U21" s="3"/>
      <c r="V21" s="9"/>
    </row>
    <row r="22" ht="14" customHeight="1" spans="1:22">
      <c r="A22" s="38"/>
      <c r="B22" s="39" t="s">
        <v>1074</v>
      </c>
      <c r="C22" s="39"/>
      <c r="D22" s="39"/>
      <c r="E22" s="35"/>
      <c r="F22" s="40"/>
      <c r="G22" s="40"/>
      <c r="H22" s="40"/>
      <c r="I22" s="40"/>
      <c r="J22" s="40"/>
      <c r="K22" s="40"/>
      <c r="L22" s="40"/>
      <c r="M22" s="40"/>
      <c r="N22" s="40"/>
      <c r="O22" s="40" t="s">
        <v>481</v>
      </c>
      <c r="P22" s="40"/>
      <c r="Q22" s="40"/>
      <c r="R22" s="40"/>
      <c r="S22" s="40"/>
      <c r="T22" s="41"/>
      <c r="U22" s="3"/>
      <c r="V22" s="9"/>
    </row>
    <row r="23" ht="14" customHeight="1" spans="1:22">
      <c r="A23" s="38"/>
      <c r="B23" s="39" t="s">
        <v>1075</v>
      </c>
      <c r="C23" s="39"/>
      <c r="D23" s="39"/>
      <c r="E23" s="35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 t="s">
        <v>481</v>
      </c>
      <c r="Q23" s="40"/>
      <c r="R23" s="40"/>
      <c r="S23" s="40"/>
      <c r="T23" s="41"/>
      <c r="U23" s="3"/>
      <c r="V23" s="9"/>
    </row>
    <row r="24" ht="14" customHeight="1" spans="1:22">
      <c r="A24" s="38"/>
      <c r="B24" s="39" t="s">
        <v>1076</v>
      </c>
      <c r="C24" s="39"/>
      <c r="D24" s="39"/>
      <c r="E24" s="35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 t="s">
        <v>481</v>
      </c>
      <c r="R24" s="40"/>
      <c r="S24" s="40"/>
      <c r="T24" s="41"/>
      <c r="U24" s="3"/>
      <c r="V24" s="9"/>
    </row>
    <row r="25" ht="14" customHeight="1" spans="1:22">
      <c r="A25" s="38"/>
      <c r="B25" s="39" t="s">
        <v>1077</v>
      </c>
      <c r="C25" s="39"/>
      <c r="D25" s="39"/>
      <c r="E25" s="35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 t="s">
        <v>481</v>
      </c>
      <c r="S25" s="40"/>
      <c r="T25" s="41"/>
      <c r="U25" s="3"/>
      <c r="V25" s="9"/>
    </row>
    <row r="26" ht="13.5" customHeight="1" spans="1:22">
      <c r="A26" s="42" t="s">
        <v>494</v>
      </c>
      <c r="B26" s="43" t="s">
        <v>495</v>
      </c>
      <c r="C26" s="44"/>
      <c r="D26" s="45"/>
      <c r="E26" s="4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7"/>
      <c r="U26" s="3"/>
      <c r="V26" s="3"/>
    </row>
    <row r="27" ht="14" customHeight="1" spans="1:22">
      <c r="A27" s="47"/>
      <c r="B27" s="39" t="s">
        <v>1078</v>
      </c>
      <c r="C27" s="39"/>
      <c r="D27" s="39"/>
      <c r="E27" s="48"/>
      <c r="F27" s="40" t="s">
        <v>481</v>
      </c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1"/>
      <c r="U27" s="3"/>
      <c r="V27" s="3"/>
    </row>
    <row r="28" ht="14" customHeight="1" spans="1:22">
      <c r="A28" s="47"/>
      <c r="B28" s="39" t="s">
        <v>1079</v>
      </c>
      <c r="C28" s="39"/>
      <c r="D28" s="39"/>
      <c r="E28" s="48"/>
      <c r="F28" s="40"/>
      <c r="G28" s="40" t="s">
        <v>481</v>
      </c>
      <c r="H28" s="40" t="s">
        <v>481</v>
      </c>
      <c r="I28" s="40" t="s">
        <v>481</v>
      </c>
      <c r="J28" s="40" t="s">
        <v>481</v>
      </c>
      <c r="K28" s="40" t="s">
        <v>481</v>
      </c>
      <c r="L28" s="40"/>
      <c r="M28" s="40"/>
      <c r="N28" s="40"/>
      <c r="O28" s="40"/>
      <c r="P28" s="40"/>
      <c r="Q28" s="40"/>
      <c r="R28" s="40"/>
      <c r="S28" s="40"/>
      <c r="T28" s="41"/>
      <c r="U28" s="3"/>
      <c r="V28" s="3"/>
    </row>
    <row r="29" ht="14" customHeight="1" spans="1:22">
      <c r="A29" s="47"/>
      <c r="B29" s="39" t="s">
        <v>1080</v>
      </c>
      <c r="C29" s="39"/>
      <c r="D29" s="39"/>
      <c r="E29" s="48"/>
      <c r="F29" s="40"/>
      <c r="G29" s="40"/>
      <c r="H29" s="40"/>
      <c r="I29" s="40"/>
      <c r="J29" s="40"/>
      <c r="K29" s="40"/>
      <c r="L29" s="40" t="s">
        <v>481</v>
      </c>
      <c r="M29" s="40"/>
      <c r="N29" s="40"/>
      <c r="O29" s="40"/>
      <c r="P29" s="40"/>
      <c r="Q29" s="40"/>
      <c r="R29" s="40"/>
      <c r="S29" s="40"/>
      <c r="T29" s="41"/>
      <c r="U29" s="3"/>
      <c r="V29" s="3"/>
    </row>
    <row r="30" ht="14" customHeight="1" spans="1:22">
      <c r="A30" s="47"/>
      <c r="B30" s="39" t="s">
        <v>1081</v>
      </c>
      <c r="C30" s="39"/>
      <c r="D30" s="39"/>
      <c r="E30" s="48"/>
      <c r="F30" s="40"/>
      <c r="G30" s="40"/>
      <c r="H30" s="40"/>
      <c r="I30" s="40"/>
      <c r="J30" s="40"/>
      <c r="K30" s="40"/>
      <c r="L30" s="40"/>
      <c r="M30" s="40" t="s">
        <v>481</v>
      </c>
      <c r="N30" s="40"/>
      <c r="O30" s="40"/>
      <c r="P30" s="40"/>
      <c r="Q30" s="40"/>
      <c r="R30" s="40"/>
      <c r="S30" s="40"/>
      <c r="T30" s="41"/>
      <c r="U30" s="3"/>
      <c r="V30" s="3"/>
    </row>
    <row r="31" ht="14" customHeight="1" spans="1:22">
      <c r="A31" s="47"/>
      <c r="B31" s="39" t="s">
        <v>1082</v>
      </c>
      <c r="C31" s="39"/>
      <c r="D31" s="39"/>
      <c r="E31" s="48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 t="s">
        <v>481</v>
      </c>
      <c r="Q31" s="40" t="s">
        <v>481</v>
      </c>
      <c r="R31" s="40"/>
      <c r="S31" s="40"/>
      <c r="T31" s="41"/>
      <c r="U31" s="3"/>
      <c r="V31" s="3"/>
    </row>
    <row r="32" ht="14" customHeight="1" spans="1:22">
      <c r="A32" s="47"/>
      <c r="B32" s="39" t="s">
        <v>1083</v>
      </c>
      <c r="C32" s="39"/>
      <c r="D32" s="39"/>
      <c r="E32" s="48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 t="s">
        <v>481</v>
      </c>
      <c r="S32" s="40"/>
      <c r="T32" s="41"/>
      <c r="U32" s="3"/>
      <c r="V32" s="3"/>
    </row>
    <row r="33" ht="13.5" customHeight="1" spans="1:22">
      <c r="A33" s="42"/>
      <c r="B33" s="43" t="s">
        <v>913</v>
      </c>
      <c r="C33" s="44"/>
      <c r="D33" s="45"/>
      <c r="E33" s="4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7"/>
      <c r="U33" s="3"/>
      <c r="V33" s="3"/>
    </row>
    <row r="34" ht="14" customHeight="1" spans="1:22">
      <c r="A34" s="47"/>
      <c r="B34" s="39" t="s">
        <v>1084</v>
      </c>
      <c r="C34" s="39"/>
      <c r="D34" s="39"/>
      <c r="E34" s="48"/>
      <c r="F34" s="40"/>
      <c r="G34" s="40"/>
      <c r="H34" s="40"/>
      <c r="I34" s="40"/>
      <c r="J34" s="40"/>
      <c r="K34" s="40"/>
      <c r="L34" s="40"/>
      <c r="M34" s="40"/>
      <c r="N34" s="40" t="s">
        <v>481</v>
      </c>
      <c r="O34" s="40"/>
      <c r="P34" s="40"/>
      <c r="Q34" s="40"/>
      <c r="R34" s="40"/>
      <c r="S34" s="40"/>
      <c r="T34" s="41"/>
      <c r="U34" s="3"/>
      <c r="V34" s="3"/>
    </row>
    <row r="35" ht="14" customHeight="1" spans="1:22">
      <c r="A35" s="47"/>
      <c r="B35" s="39" t="s">
        <v>1085</v>
      </c>
      <c r="C35" s="39"/>
      <c r="D35" s="39"/>
      <c r="E35" s="48"/>
      <c r="F35" s="40"/>
      <c r="G35" s="40"/>
      <c r="H35" s="40"/>
      <c r="I35" s="40"/>
      <c r="J35" s="40"/>
      <c r="K35" s="40"/>
      <c r="L35" s="40"/>
      <c r="M35" s="40"/>
      <c r="N35" s="40"/>
      <c r="O35" s="40" t="s">
        <v>481</v>
      </c>
      <c r="P35" s="40"/>
      <c r="Q35" s="40"/>
      <c r="R35" s="40"/>
      <c r="S35" s="40"/>
      <c r="T35" s="41"/>
      <c r="U35" s="3"/>
      <c r="V35" s="3"/>
    </row>
    <row r="36" ht="13.5" customHeight="1" spans="1:22">
      <c r="A36" s="42" t="s">
        <v>507</v>
      </c>
      <c r="B36" s="49" t="s">
        <v>508</v>
      </c>
      <c r="C36" s="49"/>
      <c r="D36" s="49"/>
      <c r="E36" s="50"/>
      <c r="F36" s="51" t="s">
        <v>449</v>
      </c>
      <c r="G36" s="51" t="s">
        <v>66</v>
      </c>
      <c r="H36" s="51" t="s">
        <v>66</v>
      </c>
      <c r="I36" s="51" t="s">
        <v>66</v>
      </c>
      <c r="J36" s="51" t="s">
        <v>66</v>
      </c>
      <c r="K36" s="51" t="s">
        <v>66</v>
      </c>
      <c r="L36" s="51" t="s">
        <v>66</v>
      </c>
      <c r="M36" s="51" t="s">
        <v>450</v>
      </c>
      <c r="N36" s="51" t="s">
        <v>66</v>
      </c>
      <c r="O36" s="51" t="s">
        <v>66</v>
      </c>
      <c r="P36" s="51" t="s">
        <v>449</v>
      </c>
      <c r="Q36" s="51" t="s">
        <v>449</v>
      </c>
      <c r="R36" s="51" t="s">
        <v>449</v>
      </c>
      <c r="S36" s="51"/>
      <c r="T36" s="52"/>
      <c r="U36" s="3"/>
      <c r="V36" s="3"/>
    </row>
    <row r="37" ht="13.5" customHeight="1" spans="1:22">
      <c r="A37" s="47"/>
      <c r="B37" s="53" t="s">
        <v>509</v>
      </c>
      <c r="C37" s="53"/>
      <c r="D37" s="53"/>
      <c r="E37" s="54"/>
      <c r="F37" s="55" t="s">
        <v>510</v>
      </c>
      <c r="G37" s="55" t="s">
        <v>510</v>
      </c>
      <c r="H37" s="55" t="s">
        <v>510</v>
      </c>
      <c r="I37" s="55" t="s">
        <v>510</v>
      </c>
      <c r="J37" s="55" t="s">
        <v>510</v>
      </c>
      <c r="K37" s="55" t="s">
        <v>510</v>
      </c>
      <c r="L37" s="55" t="s">
        <v>510</v>
      </c>
      <c r="M37" s="55" t="s">
        <v>510</v>
      </c>
      <c r="N37" s="55" t="s">
        <v>510</v>
      </c>
      <c r="O37" s="55" t="s">
        <v>510</v>
      </c>
      <c r="P37" s="55" t="s">
        <v>510</v>
      </c>
      <c r="Q37" s="55" t="s">
        <v>510</v>
      </c>
      <c r="R37" s="55" t="s">
        <v>510</v>
      </c>
      <c r="S37" s="55"/>
      <c r="T37" s="56"/>
      <c r="U37" s="3"/>
      <c r="V37" s="3"/>
    </row>
    <row r="38" ht="105" customHeight="1" spans="1:22">
      <c r="A38" s="47"/>
      <c r="B38" s="57" t="s">
        <v>511</v>
      </c>
      <c r="C38" s="57"/>
      <c r="D38" s="57"/>
      <c r="E38" s="58"/>
      <c r="F38" s="59" t="s">
        <v>53</v>
      </c>
      <c r="G38" s="59" t="s">
        <v>53</v>
      </c>
      <c r="H38" s="59" t="s">
        <v>53</v>
      </c>
      <c r="I38" s="59" t="s">
        <v>53</v>
      </c>
      <c r="J38" s="59" t="s">
        <v>53</v>
      </c>
      <c r="K38" s="59" t="s">
        <v>53</v>
      </c>
      <c r="L38" s="59" t="s">
        <v>53</v>
      </c>
      <c r="M38" s="59" t="s">
        <v>53</v>
      </c>
      <c r="N38" s="59" t="s">
        <v>53</v>
      </c>
      <c r="O38" s="59" t="s">
        <v>53</v>
      </c>
      <c r="P38" s="59" t="s">
        <v>53</v>
      </c>
      <c r="Q38" s="59" t="s">
        <v>53</v>
      </c>
      <c r="R38" s="59" t="s">
        <v>53</v>
      </c>
      <c r="S38" s="59"/>
      <c r="T38" s="60"/>
      <c r="U38" s="3"/>
      <c r="V38" s="3"/>
    </row>
    <row r="39" ht="20" customHeight="1" spans="1:22">
      <c r="A39" s="61"/>
      <c r="B39" s="62" t="s">
        <v>512</v>
      </c>
      <c r="C39" s="62"/>
      <c r="D39" s="62"/>
      <c r="E39" s="63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5"/>
      <c r="U39" s="3"/>
      <c r="V39" s="3"/>
    </row>
    <row r="40" ht="13.8"/>
  </sheetData>
  <mergeCells count="49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7:D27"/>
    <mergeCell ref="B28:D28"/>
    <mergeCell ref="B29:D29"/>
    <mergeCell ref="B30:D30"/>
    <mergeCell ref="B31:D31"/>
    <mergeCell ref="B32:D32"/>
    <mergeCell ref="B34:D34"/>
    <mergeCell ref="B35:D35"/>
    <mergeCell ref="B36:D36"/>
    <mergeCell ref="B37:D37"/>
    <mergeCell ref="B38:D38"/>
    <mergeCell ref="B39:D39"/>
  </mergeCells>
  <dataValidations count="2">
    <dataValidation type="list" allowBlank="1" sqref="F36:R36">
      <formula1>"N,A,B"</formula1>
    </dataValidation>
    <dataValidation type="list" allowBlank="1" sqref="F37:R37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5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Functions!E57</f>
        <v>BE-STU-07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Functions!D57</f>
        <v>NormalizeDisplay / ToRagExperienceLevel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793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26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-7.4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380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COUNTIF(F32:T32,"P")</f>
        <v>10</v>
      </c>
      <c r="B7" s="20"/>
      <c r="C7" s="21">
        <f>COUNTIF(F32:T32,"F")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COUNTIF(F31:T31,"N")</f>
        <v>6</v>
      </c>
      <c r="M7" s="21">
        <f>COUNTIF(F31:T31,"A")</f>
        <v>2</v>
      </c>
      <c r="N7" s="21">
        <f>COUNTIF(F31:T31,"B")</f>
        <v>2</v>
      </c>
      <c r="O7" s="21">
        <f>COUNTA(F9:T9)</f>
        <v>10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 t="s">
        <v>474</v>
      </c>
      <c r="N9" s="28" t="s">
        <v>475</v>
      </c>
      <c r="O9" s="28" t="s">
        <v>476</v>
      </c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357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 t="s">
        <v>481</v>
      </c>
      <c r="N11" s="40" t="s">
        <v>481</v>
      </c>
      <c r="O11" s="40" t="s">
        <v>481</v>
      </c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1086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1087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1088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1089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1090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1091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1092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4" customHeight="1" spans="1:22">
      <c r="A20" s="38"/>
      <c r="B20" s="39" t="s">
        <v>1093</v>
      </c>
      <c r="C20" s="39"/>
      <c r="D20" s="39"/>
      <c r="E20" s="35"/>
      <c r="F20" s="40"/>
      <c r="G20" s="40"/>
      <c r="H20" s="40"/>
      <c r="I20" s="40"/>
      <c r="J20" s="40"/>
      <c r="K20" s="40"/>
      <c r="L20" s="40"/>
      <c r="M20" s="40" t="s">
        <v>481</v>
      </c>
      <c r="N20" s="40"/>
      <c r="O20" s="40"/>
      <c r="P20" s="40"/>
      <c r="Q20" s="40"/>
      <c r="R20" s="40"/>
      <c r="S20" s="40"/>
      <c r="T20" s="41"/>
      <c r="U20" s="3"/>
      <c r="V20" s="9"/>
    </row>
    <row r="21" ht="14" customHeight="1" spans="1:22">
      <c r="A21" s="38"/>
      <c r="B21" s="39" t="s">
        <v>1094</v>
      </c>
      <c r="C21" s="39"/>
      <c r="D21" s="39"/>
      <c r="E21" s="35"/>
      <c r="F21" s="40"/>
      <c r="G21" s="40"/>
      <c r="H21" s="40"/>
      <c r="I21" s="40"/>
      <c r="J21" s="40"/>
      <c r="K21" s="40"/>
      <c r="L21" s="40"/>
      <c r="M21" s="40"/>
      <c r="N21" s="40" t="s">
        <v>481</v>
      </c>
      <c r="O21" s="40"/>
      <c r="P21" s="40"/>
      <c r="Q21" s="40"/>
      <c r="R21" s="40"/>
      <c r="S21" s="40"/>
      <c r="T21" s="41"/>
      <c r="U21" s="3"/>
      <c r="V21" s="9"/>
    </row>
    <row r="22" ht="14" customHeight="1" spans="1:22">
      <c r="A22" s="38"/>
      <c r="B22" s="39" t="s">
        <v>1095</v>
      </c>
      <c r="C22" s="39"/>
      <c r="D22" s="39"/>
      <c r="E22" s="35"/>
      <c r="F22" s="40"/>
      <c r="G22" s="40"/>
      <c r="H22" s="40"/>
      <c r="I22" s="40"/>
      <c r="J22" s="40"/>
      <c r="K22" s="40"/>
      <c r="L22" s="40"/>
      <c r="M22" s="40"/>
      <c r="N22" s="40"/>
      <c r="O22" s="40" t="s">
        <v>481</v>
      </c>
      <c r="P22" s="40"/>
      <c r="Q22" s="40"/>
      <c r="R22" s="40"/>
      <c r="S22" s="40"/>
      <c r="T22" s="41"/>
      <c r="U22" s="3"/>
      <c r="V22" s="9"/>
    </row>
    <row r="23" ht="13.5" customHeight="1" spans="1:22">
      <c r="A23" s="42" t="s">
        <v>494</v>
      </c>
      <c r="B23" s="43" t="s">
        <v>495</v>
      </c>
      <c r="C23" s="44"/>
      <c r="D23" s="45"/>
      <c r="E23" s="4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7"/>
      <c r="U23" s="3"/>
      <c r="V23" s="3"/>
    </row>
    <row r="24" ht="14" customHeight="1" spans="1:22">
      <c r="A24" s="47"/>
      <c r="B24" s="39" t="s">
        <v>1096</v>
      </c>
      <c r="C24" s="39"/>
      <c r="D24" s="39"/>
      <c r="E24" s="48"/>
      <c r="F24" s="40" t="s">
        <v>481</v>
      </c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1"/>
      <c r="U24" s="3"/>
      <c r="V24" s="3"/>
    </row>
    <row r="25" ht="14" customHeight="1" spans="1:22">
      <c r="A25" s="47"/>
      <c r="B25" s="39" t="s">
        <v>1097</v>
      </c>
      <c r="C25" s="39"/>
      <c r="D25" s="39"/>
      <c r="E25" s="48"/>
      <c r="F25" s="40"/>
      <c r="G25" s="40" t="s">
        <v>481</v>
      </c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1"/>
      <c r="U25" s="3"/>
      <c r="V25" s="3"/>
    </row>
    <row r="26" ht="14" customHeight="1" spans="1:22">
      <c r="A26" s="47"/>
      <c r="B26" s="39" t="s">
        <v>1098</v>
      </c>
      <c r="C26" s="39"/>
      <c r="D26" s="39"/>
      <c r="E26" s="48"/>
      <c r="F26" s="40"/>
      <c r="G26" s="40"/>
      <c r="H26" s="40" t="s">
        <v>481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1"/>
      <c r="U26" s="3"/>
      <c r="V26" s="3"/>
    </row>
    <row r="27" ht="14" customHeight="1" spans="1:22">
      <c r="A27" s="47"/>
      <c r="B27" s="39" t="s">
        <v>1099</v>
      </c>
      <c r="C27" s="39"/>
      <c r="D27" s="39"/>
      <c r="E27" s="48"/>
      <c r="F27" s="40"/>
      <c r="G27" s="40"/>
      <c r="H27" s="40"/>
      <c r="I27" s="40" t="s">
        <v>481</v>
      </c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1"/>
      <c r="U27" s="3"/>
      <c r="V27" s="3"/>
    </row>
    <row r="28" ht="14" customHeight="1" spans="1:22">
      <c r="A28" s="47"/>
      <c r="B28" s="39" t="s">
        <v>1100</v>
      </c>
      <c r="C28" s="39"/>
      <c r="D28" s="39"/>
      <c r="E28" s="48"/>
      <c r="F28" s="40"/>
      <c r="G28" s="40"/>
      <c r="H28" s="40"/>
      <c r="I28" s="40"/>
      <c r="J28" s="40" t="s">
        <v>481</v>
      </c>
      <c r="K28" s="40"/>
      <c r="L28" s="40"/>
      <c r="M28" s="40"/>
      <c r="N28" s="40"/>
      <c r="O28" s="40"/>
      <c r="P28" s="40"/>
      <c r="Q28" s="40"/>
      <c r="R28" s="40"/>
      <c r="S28" s="40"/>
      <c r="T28" s="41"/>
      <c r="U28" s="3"/>
      <c r="V28" s="3"/>
    </row>
    <row r="29" ht="14" customHeight="1" spans="1:22">
      <c r="A29" s="47"/>
      <c r="B29" s="39" t="s">
        <v>1101</v>
      </c>
      <c r="C29" s="39"/>
      <c r="D29" s="39"/>
      <c r="E29" s="48"/>
      <c r="F29" s="40"/>
      <c r="G29" s="40"/>
      <c r="H29" s="40"/>
      <c r="I29" s="40"/>
      <c r="J29" s="40"/>
      <c r="K29" s="40" t="s">
        <v>481</v>
      </c>
      <c r="L29" s="40" t="s">
        <v>481</v>
      </c>
      <c r="M29" s="40" t="s">
        <v>481</v>
      </c>
      <c r="N29" s="40" t="s">
        <v>481</v>
      </c>
      <c r="O29" s="40"/>
      <c r="P29" s="40"/>
      <c r="Q29" s="40"/>
      <c r="R29" s="40"/>
      <c r="S29" s="40"/>
      <c r="T29" s="41"/>
      <c r="U29" s="3"/>
      <c r="V29" s="3"/>
    </row>
    <row r="30" ht="14" customHeight="1" spans="1:22">
      <c r="A30" s="47"/>
      <c r="B30" s="39" t="s">
        <v>1102</v>
      </c>
      <c r="C30" s="39"/>
      <c r="D30" s="39"/>
      <c r="E30" s="48"/>
      <c r="F30" s="40"/>
      <c r="G30" s="40"/>
      <c r="H30" s="40"/>
      <c r="I30" s="40"/>
      <c r="J30" s="40"/>
      <c r="K30" s="40"/>
      <c r="L30" s="40"/>
      <c r="M30" s="40"/>
      <c r="N30" s="40"/>
      <c r="O30" s="40" t="s">
        <v>481</v>
      </c>
      <c r="P30" s="40"/>
      <c r="Q30" s="40"/>
      <c r="R30" s="40"/>
      <c r="S30" s="40"/>
      <c r="T30" s="41"/>
      <c r="U30" s="3"/>
      <c r="V30" s="3"/>
    </row>
    <row r="31" ht="13.5" customHeight="1" spans="1:22">
      <c r="A31" s="42" t="s">
        <v>507</v>
      </c>
      <c r="B31" s="49" t="s">
        <v>508</v>
      </c>
      <c r="C31" s="49"/>
      <c r="D31" s="49"/>
      <c r="E31" s="50"/>
      <c r="F31" s="51" t="s">
        <v>449</v>
      </c>
      <c r="G31" s="51" t="s">
        <v>449</v>
      </c>
      <c r="H31" s="51" t="s">
        <v>449</v>
      </c>
      <c r="I31" s="51" t="s">
        <v>449</v>
      </c>
      <c r="J31" s="51" t="s">
        <v>449</v>
      </c>
      <c r="K31" s="51" t="s">
        <v>450</v>
      </c>
      <c r="L31" s="51" t="s">
        <v>450</v>
      </c>
      <c r="M31" s="51" t="s">
        <v>66</v>
      </c>
      <c r="N31" s="51" t="s">
        <v>66</v>
      </c>
      <c r="O31" s="51" t="s">
        <v>449</v>
      </c>
      <c r="P31" s="51"/>
      <c r="Q31" s="51"/>
      <c r="R31" s="51"/>
      <c r="S31" s="51"/>
      <c r="T31" s="52"/>
      <c r="U31" s="3"/>
      <c r="V31" s="3"/>
    </row>
    <row r="32" ht="13.5" customHeight="1" spans="1:22">
      <c r="A32" s="47"/>
      <c r="B32" s="53" t="s">
        <v>509</v>
      </c>
      <c r="C32" s="53"/>
      <c r="D32" s="53"/>
      <c r="E32" s="54"/>
      <c r="F32" s="55" t="s">
        <v>510</v>
      </c>
      <c r="G32" s="55" t="s">
        <v>510</v>
      </c>
      <c r="H32" s="55" t="s">
        <v>510</v>
      </c>
      <c r="I32" s="55" t="s">
        <v>510</v>
      </c>
      <c r="J32" s="55" t="s">
        <v>510</v>
      </c>
      <c r="K32" s="55" t="s">
        <v>510</v>
      </c>
      <c r="L32" s="55" t="s">
        <v>510</v>
      </c>
      <c r="M32" s="55" t="s">
        <v>510</v>
      </c>
      <c r="N32" s="55" t="s">
        <v>510</v>
      </c>
      <c r="O32" s="55" t="s">
        <v>510</v>
      </c>
      <c r="P32" s="55"/>
      <c r="Q32" s="55"/>
      <c r="R32" s="55"/>
      <c r="S32" s="55"/>
      <c r="T32" s="56"/>
      <c r="U32" s="3"/>
      <c r="V32" s="3"/>
    </row>
    <row r="33" ht="105" customHeight="1" spans="1:22">
      <c r="A33" s="47"/>
      <c r="B33" s="57" t="s">
        <v>511</v>
      </c>
      <c r="C33" s="57"/>
      <c r="D33" s="57"/>
      <c r="E33" s="58"/>
      <c r="F33" s="59" t="s">
        <v>53</v>
      </c>
      <c r="G33" s="59" t="s">
        <v>53</v>
      </c>
      <c r="H33" s="59" t="s">
        <v>53</v>
      </c>
      <c r="I33" s="59" t="s">
        <v>53</v>
      </c>
      <c r="J33" s="59" t="s">
        <v>53</v>
      </c>
      <c r="K33" s="59" t="s">
        <v>53</v>
      </c>
      <c r="L33" s="59" t="s">
        <v>53</v>
      </c>
      <c r="M33" s="59" t="s">
        <v>53</v>
      </c>
      <c r="N33" s="59" t="s">
        <v>53</v>
      </c>
      <c r="O33" s="59" t="s">
        <v>53</v>
      </c>
      <c r="P33" s="59"/>
      <c r="Q33" s="59"/>
      <c r="R33" s="59"/>
      <c r="S33" s="59"/>
      <c r="T33" s="60"/>
      <c r="U33" s="3"/>
      <c r="V33" s="3"/>
    </row>
    <row r="34" ht="20" customHeight="1" spans="1:22">
      <c r="A34" s="61"/>
      <c r="B34" s="62" t="s">
        <v>512</v>
      </c>
      <c r="C34" s="62"/>
      <c r="D34" s="62"/>
      <c r="E34" s="63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5"/>
      <c r="U34" s="3"/>
      <c r="V34" s="3"/>
    </row>
    <row r="35" ht="13.8"/>
  </sheetData>
  <mergeCells count="45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</mergeCells>
  <dataValidations count="2">
    <dataValidation type="list" allowBlank="1" sqref="F31:O31">
      <formula1>"N,A,B"</formula1>
    </dataValidation>
    <dataValidation type="list" allowBlank="1" sqref="F32:O32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Functions!E58</f>
        <v>BE-STU-08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Functions!D58</f>
        <v>BuildInitial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793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28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1.8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385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COUNTIF(F17:T17,"P")</f>
        <v>1</v>
      </c>
      <c r="B7" s="20"/>
      <c r="C7" s="21">
        <f>COUNTIF(F17:T17,"F")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COUNTIF(F16:T16,"N")</f>
        <v>1</v>
      </c>
      <c r="M7" s="21">
        <f>COUNTIF(F16:T16,"A")</f>
        <v>0</v>
      </c>
      <c r="N7" s="21">
        <f>COUNTIF(F16:T16,"B")</f>
        <v>0</v>
      </c>
      <c r="O7" s="21">
        <f>COUNTA(F9:T9)</f>
        <v>1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386</v>
      </c>
      <c r="C11" s="39"/>
      <c r="D11" s="39"/>
      <c r="E11" s="35"/>
      <c r="F11" s="40" t="s">
        <v>481</v>
      </c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1103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3.5" customHeight="1" spans="1:22">
      <c r="A14" s="42" t="s">
        <v>494</v>
      </c>
      <c r="B14" s="43" t="s">
        <v>495</v>
      </c>
      <c r="C14" s="44"/>
      <c r="D14" s="45"/>
      <c r="E14" s="4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3"/>
      <c r="V14" s="3"/>
    </row>
    <row r="15" ht="25" customHeight="1" spans="1:22">
      <c r="A15" s="47"/>
      <c r="B15" s="39" t="s">
        <v>1104</v>
      </c>
      <c r="C15" s="39"/>
      <c r="D15" s="39"/>
      <c r="E15" s="48"/>
      <c r="F15" s="40" t="s">
        <v>481</v>
      </c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3"/>
    </row>
    <row r="16" ht="13.5" customHeight="1" spans="1:22">
      <c r="A16" s="42" t="s">
        <v>507</v>
      </c>
      <c r="B16" s="49" t="s">
        <v>508</v>
      </c>
      <c r="C16" s="49"/>
      <c r="D16" s="49"/>
      <c r="E16" s="50"/>
      <c r="F16" s="51" t="s">
        <v>449</v>
      </c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2"/>
      <c r="U16" s="3"/>
      <c r="V16" s="3"/>
    </row>
    <row r="17" ht="13.5" customHeight="1" spans="1:22">
      <c r="A17" s="47"/>
      <c r="B17" s="53" t="s">
        <v>509</v>
      </c>
      <c r="C17" s="53"/>
      <c r="D17" s="53"/>
      <c r="E17" s="54"/>
      <c r="F17" s="55" t="s">
        <v>510</v>
      </c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6"/>
      <c r="U17" s="3"/>
      <c r="V17" s="3"/>
    </row>
    <row r="18" ht="105" customHeight="1" spans="1:22">
      <c r="A18" s="47"/>
      <c r="B18" s="57" t="s">
        <v>511</v>
      </c>
      <c r="C18" s="57"/>
      <c r="D18" s="57"/>
      <c r="E18" s="58"/>
      <c r="F18" s="59" t="s">
        <v>53</v>
      </c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60"/>
      <c r="U18" s="3"/>
      <c r="V18" s="3"/>
    </row>
    <row r="19" ht="20" customHeight="1" spans="1:22">
      <c r="A19" s="61"/>
      <c r="B19" s="62" t="s">
        <v>512</v>
      </c>
      <c r="C19" s="62"/>
      <c r="D19" s="62"/>
      <c r="E19" s="63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5"/>
      <c r="U19" s="3"/>
      <c r="V19" s="3"/>
    </row>
    <row r="20" ht="13.8"/>
  </sheetData>
  <mergeCells count="30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5:D15"/>
    <mergeCell ref="B16:D16"/>
    <mergeCell ref="B17:D17"/>
    <mergeCell ref="B18:D18"/>
    <mergeCell ref="B19:D19"/>
  </mergeCells>
  <dataValidations count="2">
    <dataValidation type="list" allowBlank="1" sqref="F16">
      <formula1>"N,A,B"</formula1>
    </dataValidation>
    <dataValidation type="list" allowBlank="1" sqref="F17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Functions!E59</f>
        <v>BE-STU-09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Functions!D59</f>
        <v>MatchJdSkill / EnsureAllJdSkills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802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45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1.5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391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COUNTIF(F21:T21,"P")</f>
        <v>3</v>
      </c>
      <c r="B7" s="20"/>
      <c r="C7" s="21">
        <f>COUNTIF(F21:T21,"F")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COUNTIF(F20:T20,"N")</f>
        <v>2</v>
      </c>
      <c r="M7" s="21">
        <f>COUNTIF(F20:T20,"A")</f>
        <v>0</v>
      </c>
      <c r="N7" s="21">
        <f>COUNTIF(F20:T20,"B")</f>
        <v>1</v>
      </c>
      <c r="O7" s="21">
        <f>COUNTA(F9:T9)</f>
        <v>3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392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25" customHeight="1" spans="1:22">
      <c r="A13" s="38"/>
      <c r="B13" s="39" t="s">
        <v>1105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1106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1107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3.5" customHeight="1" spans="1:22">
      <c r="A16" s="42" t="s">
        <v>494</v>
      </c>
      <c r="B16" s="43" t="s">
        <v>495</v>
      </c>
      <c r="C16" s="44"/>
      <c r="D16" s="45"/>
      <c r="E16" s="4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7"/>
      <c r="U16" s="3"/>
      <c r="V16" s="3"/>
    </row>
    <row r="17" ht="14" customHeight="1" spans="1:22">
      <c r="A17" s="47"/>
      <c r="B17" s="39" t="s">
        <v>1108</v>
      </c>
      <c r="C17" s="39"/>
      <c r="D17" s="39"/>
      <c r="E17" s="48"/>
      <c r="F17" s="40" t="s">
        <v>481</v>
      </c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3"/>
    </row>
    <row r="18" ht="25" customHeight="1" spans="1:22">
      <c r="A18" s="47"/>
      <c r="B18" s="39" t="s">
        <v>1109</v>
      </c>
      <c r="C18" s="39"/>
      <c r="D18" s="39"/>
      <c r="E18" s="48"/>
      <c r="F18" s="40"/>
      <c r="G18" s="40" t="s">
        <v>481</v>
      </c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3"/>
    </row>
    <row r="19" ht="14" customHeight="1" spans="1:22">
      <c r="A19" s="47"/>
      <c r="B19" s="39" t="s">
        <v>1110</v>
      </c>
      <c r="C19" s="39"/>
      <c r="D19" s="39"/>
      <c r="E19" s="48"/>
      <c r="F19" s="40"/>
      <c r="G19" s="40"/>
      <c r="H19" s="40" t="s">
        <v>481</v>
      </c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1"/>
      <c r="U19" s="3"/>
      <c r="V19" s="3"/>
    </row>
    <row r="20" ht="13.5" customHeight="1" spans="1:22">
      <c r="A20" s="42" t="s">
        <v>507</v>
      </c>
      <c r="B20" s="49" t="s">
        <v>508</v>
      </c>
      <c r="C20" s="49"/>
      <c r="D20" s="49"/>
      <c r="E20" s="50"/>
      <c r="F20" s="51" t="s">
        <v>449</v>
      </c>
      <c r="G20" s="51" t="s">
        <v>449</v>
      </c>
      <c r="H20" s="51" t="s">
        <v>450</v>
      </c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2"/>
      <c r="U20" s="3"/>
      <c r="V20" s="3"/>
    </row>
    <row r="21" ht="13.5" customHeight="1" spans="1:22">
      <c r="A21" s="47"/>
      <c r="B21" s="53" t="s">
        <v>509</v>
      </c>
      <c r="C21" s="53"/>
      <c r="D21" s="53"/>
      <c r="E21" s="54"/>
      <c r="F21" s="55" t="s">
        <v>510</v>
      </c>
      <c r="G21" s="55" t="s">
        <v>510</v>
      </c>
      <c r="H21" s="55" t="s">
        <v>510</v>
      </c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6"/>
      <c r="U21" s="3"/>
      <c r="V21" s="3"/>
    </row>
    <row r="22" ht="105" customHeight="1" spans="1:22">
      <c r="A22" s="47"/>
      <c r="B22" s="57" t="s">
        <v>511</v>
      </c>
      <c r="C22" s="57"/>
      <c r="D22" s="57"/>
      <c r="E22" s="58"/>
      <c r="F22" s="59" t="s">
        <v>53</v>
      </c>
      <c r="G22" s="59" t="s">
        <v>53</v>
      </c>
      <c r="H22" s="59" t="s">
        <v>53</v>
      </c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60"/>
      <c r="U22" s="3"/>
      <c r="V22" s="3"/>
    </row>
    <row r="23" ht="20" customHeight="1" spans="1:22">
      <c r="A23" s="61"/>
      <c r="B23" s="62" t="s">
        <v>512</v>
      </c>
      <c r="C23" s="62"/>
      <c r="D23" s="62"/>
      <c r="E23" s="63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5"/>
      <c r="U23" s="3"/>
      <c r="V23" s="3"/>
    </row>
    <row r="24" ht="13.8"/>
  </sheetData>
  <mergeCells count="34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7:D17"/>
    <mergeCell ref="B18:D18"/>
    <mergeCell ref="B19:D19"/>
    <mergeCell ref="B20:D20"/>
    <mergeCell ref="B21:D21"/>
    <mergeCell ref="B22:D22"/>
    <mergeCell ref="B23:D23"/>
  </mergeCells>
  <dataValidations count="2">
    <dataValidation type="list" allowBlank="1" sqref="F20:H20">
      <formula1>"N,A,B"</formula1>
    </dataValidation>
    <dataValidation type="list" allowBlank="1" sqref="F21:H21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Functions!E60</f>
        <v>BE-STU-10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Functions!D60</f>
        <v>Apply / AssignOutlineAnswerMethods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793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91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0.0999999999999996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397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COUNTIF(F33:T33,"P")</f>
        <v>9</v>
      </c>
      <c r="B7" s="20"/>
      <c r="C7" s="21">
        <f>COUNTIF(F33:T33,"F")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COUNTIF(F32:T32,"N")</f>
        <v>7</v>
      </c>
      <c r="M7" s="21">
        <f>COUNTIF(F32:T32,"A")</f>
        <v>0</v>
      </c>
      <c r="N7" s="21">
        <f>COUNTIF(F32:T32,"B")</f>
        <v>2</v>
      </c>
      <c r="O7" s="21">
        <f>COUNTA(F9:T9)</f>
        <v>9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 t="s">
        <v>474</v>
      </c>
      <c r="N9" s="28" t="s">
        <v>475</v>
      </c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398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 t="s">
        <v>481</v>
      </c>
      <c r="N11" s="40" t="s">
        <v>481</v>
      </c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1111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1112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1113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1114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1115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1116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1117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4" customHeight="1" spans="1:22">
      <c r="A20" s="38"/>
      <c r="B20" s="39" t="s">
        <v>1118</v>
      </c>
      <c r="C20" s="39"/>
      <c r="D20" s="39"/>
      <c r="E20" s="35"/>
      <c r="F20" s="40"/>
      <c r="G20" s="40"/>
      <c r="H20" s="40"/>
      <c r="I20" s="40"/>
      <c r="J20" s="40"/>
      <c r="K20" s="40"/>
      <c r="L20" s="40"/>
      <c r="M20" s="40" t="s">
        <v>481</v>
      </c>
      <c r="N20" s="40"/>
      <c r="O20" s="40"/>
      <c r="P20" s="40"/>
      <c r="Q20" s="40"/>
      <c r="R20" s="40"/>
      <c r="S20" s="40"/>
      <c r="T20" s="41"/>
      <c r="U20" s="3"/>
      <c r="V20" s="9"/>
    </row>
    <row r="21" ht="14" customHeight="1" spans="1:22">
      <c r="A21" s="38"/>
      <c r="B21" s="39" t="s">
        <v>1119</v>
      </c>
      <c r="C21" s="39"/>
      <c r="D21" s="39"/>
      <c r="E21" s="35"/>
      <c r="F21" s="40"/>
      <c r="G21" s="40"/>
      <c r="H21" s="40"/>
      <c r="I21" s="40"/>
      <c r="J21" s="40"/>
      <c r="K21" s="40"/>
      <c r="L21" s="40"/>
      <c r="M21" s="40"/>
      <c r="N21" s="40" t="s">
        <v>481</v>
      </c>
      <c r="O21" s="40"/>
      <c r="P21" s="40"/>
      <c r="Q21" s="40"/>
      <c r="R21" s="40"/>
      <c r="S21" s="40"/>
      <c r="T21" s="41"/>
      <c r="U21" s="3"/>
      <c r="V21" s="9"/>
    </row>
    <row r="22" ht="13.5" customHeight="1" spans="1:22">
      <c r="A22" s="42" t="s">
        <v>494</v>
      </c>
      <c r="B22" s="43" t="s">
        <v>495</v>
      </c>
      <c r="C22" s="44"/>
      <c r="D22" s="45"/>
      <c r="E22" s="4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7"/>
      <c r="U22" s="3"/>
      <c r="V22" s="3"/>
    </row>
    <row r="23" ht="14" customHeight="1" spans="1:22">
      <c r="A23" s="47"/>
      <c r="B23" s="39" t="s">
        <v>1120</v>
      </c>
      <c r="C23" s="39"/>
      <c r="D23" s="39"/>
      <c r="E23" s="48"/>
      <c r="F23" s="40" t="s">
        <v>481</v>
      </c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1"/>
      <c r="U23" s="3"/>
      <c r="V23" s="3"/>
    </row>
    <row r="24" ht="14" customHeight="1" spans="1:22">
      <c r="A24" s="47"/>
      <c r="B24" s="39" t="s">
        <v>1121</v>
      </c>
      <c r="C24" s="39"/>
      <c r="D24" s="39"/>
      <c r="E24" s="48"/>
      <c r="F24" s="40"/>
      <c r="G24" s="40" t="s">
        <v>481</v>
      </c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1"/>
      <c r="U24" s="3"/>
      <c r="V24" s="3"/>
    </row>
    <row r="25" ht="14" customHeight="1" spans="1:22">
      <c r="A25" s="47"/>
      <c r="B25" s="39" t="s">
        <v>1122</v>
      </c>
      <c r="C25" s="39"/>
      <c r="D25" s="39"/>
      <c r="E25" s="48"/>
      <c r="F25" s="40"/>
      <c r="G25" s="40"/>
      <c r="H25" s="40" t="s">
        <v>481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1"/>
      <c r="U25" s="3"/>
      <c r="V25" s="3"/>
    </row>
    <row r="26" ht="14" customHeight="1" spans="1:22">
      <c r="A26" s="47"/>
      <c r="B26" s="39" t="s">
        <v>1123</v>
      </c>
      <c r="C26" s="39"/>
      <c r="D26" s="39"/>
      <c r="E26" s="48"/>
      <c r="F26" s="40"/>
      <c r="G26" s="40"/>
      <c r="H26" s="40"/>
      <c r="I26" s="40" t="s">
        <v>481</v>
      </c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1"/>
      <c r="U26" s="3"/>
      <c r="V26" s="3"/>
    </row>
    <row r="27" ht="14" customHeight="1" spans="1:22">
      <c r="A27" s="47"/>
      <c r="B27" s="39" t="s">
        <v>1124</v>
      </c>
      <c r="C27" s="39"/>
      <c r="D27" s="39"/>
      <c r="E27" s="48"/>
      <c r="F27" s="40"/>
      <c r="G27" s="40"/>
      <c r="H27" s="40"/>
      <c r="I27" s="40"/>
      <c r="J27" s="40" t="s">
        <v>481</v>
      </c>
      <c r="K27" s="40"/>
      <c r="L27" s="40"/>
      <c r="M27" s="40"/>
      <c r="N27" s="40"/>
      <c r="O27" s="40"/>
      <c r="P27" s="40"/>
      <c r="Q27" s="40"/>
      <c r="R27" s="40"/>
      <c r="S27" s="40"/>
      <c r="T27" s="41"/>
      <c r="U27" s="3"/>
      <c r="V27" s="3"/>
    </row>
    <row r="28" ht="14" customHeight="1" spans="1:22">
      <c r="A28" s="47"/>
      <c r="B28" s="39" t="s">
        <v>1125</v>
      </c>
      <c r="C28" s="39"/>
      <c r="D28" s="39"/>
      <c r="E28" s="48"/>
      <c r="F28" s="40"/>
      <c r="G28" s="40"/>
      <c r="H28" s="40"/>
      <c r="I28" s="40"/>
      <c r="J28" s="40"/>
      <c r="K28" s="40" t="s">
        <v>481</v>
      </c>
      <c r="L28" s="40"/>
      <c r="M28" s="40"/>
      <c r="N28" s="40"/>
      <c r="O28" s="40"/>
      <c r="P28" s="40"/>
      <c r="Q28" s="40"/>
      <c r="R28" s="40"/>
      <c r="S28" s="40"/>
      <c r="T28" s="41"/>
      <c r="U28" s="3"/>
      <c r="V28" s="3"/>
    </row>
    <row r="29" ht="14" customHeight="1" spans="1:22">
      <c r="A29" s="47"/>
      <c r="B29" s="39" t="s">
        <v>1126</v>
      </c>
      <c r="C29" s="39"/>
      <c r="D29" s="39"/>
      <c r="E29" s="48"/>
      <c r="F29" s="40"/>
      <c r="G29" s="40"/>
      <c r="H29" s="40"/>
      <c r="I29" s="40"/>
      <c r="J29" s="40"/>
      <c r="K29" s="40"/>
      <c r="L29" s="40" t="s">
        <v>481</v>
      </c>
      <c r="M29" s="40"/>
      <c r="N29" s="40"/>
      <c r="O29" s="40"/>
      <c r="P29" s="40"/>
      <c r="Q29" s="40"/>
      <c r="R29" s="40"/>
      <c r="S29" s="40"/>
      <c r="T29" s="41"/>
      <c r="U29" s="3"/>
      <c r="V29" s="3"/>
    </row>
    <row r="30" ht="14" customHeight="1" spans="1:22">
      <c r="A30" s="47"/>
      <c r="B30" s="39" t="s">
        <v>1127</v>
      </c>
      <c r="C30" s="39"/>
      <c r="D30" s="39"/>
      <c r="E30" s="48"/>
      <c r="F30" s="40"/>
      <c r="G30" s="40"/>
      <c r="H30" s="40"/>
      <c r="I30" s="40"/>
      <c r="J30" s="40"/>
      <c r="K30" s="40"/>
      <c r="L30" s="40"/>
      <c r="M30" s="40" t="s">
        <v>481</v>
      </c>
      <c r="N30" s="40"/>
      <c r="O30" s="40"/>
      <c r="P30" s="40"/>
      <c r="Q30" s="40"/>
      <c r="R30" s="40"/>
      <c r="S30" s="40"/>
      <c r="T30" s="41"/>
      <c r="U30" s="3"/>
      <c r="V30" s="3"/>
    </row>
    <row r="31" ht="14" customHeight="1" spans="1:22">
      <c r="A31" s="47"/>
      <c r="B31" s="39" t="s">
        <v>1128</v>
      </c>
      <c r="C31" s="39"/>
      <c r="D31" s="39"/>
      <c r="E31" s="48"/>
      <c r="F31" s="40"/>
      <c r="G31" s="40"/>
      <c r="H31" s="40"/>
      <c r="I31" s="40"/>
      <c r="J31" s="40"/>
      <c r="K31" s="40"/>
      <c r="L31" s="40"/>
      <c r="M31" s="40"/>
      <c r="N31" s="40" t="s">
        <v>481</v>
      </c>
      <c r="O31" s="40"/>
      <c r="P31" s="40"/>
      <c r="Q31" s="40"/>
      <c r="R31" s="40"/>
      <c r="S31" s="40"/>
      <c r="T31" s="41"/>
      <c r="U31" s="3"/>
      <c r="V31" s="3"/>
    </row>
    <row r="32" ht="13.5" customHeight="1" spans="1:22">
      <c r="A32" s="42" t="s">
        <v>507</v>
      </c>
      <c r="B32" s="49" t="s">
        <v>508</v>
      </c>
      <c r="C32" s="49"/>
      <c r="D32" s="49"/>
      <c r="E32" s="50"/>
      <c r="F32" s="51" t="s">
        <v>449</v>
      </c>
      <c r="G32" s="51" t="s">
        <v>449</v>
      </c>
      <c r="H32" s="51" t="s">
        <v>449</v>
      </c>
      <c r="I32" s="51" t="s">
        <v>449</v>
      </c>
      <c r="J32" s="51" t="s">
        <v>449</v>
      </c>
      <c r="K32" s="51" t="s">
        <v>449</v>
      </c>
      <c r="L32" s="51" t="s">
        <v>450</v>
      </c>
      <c r="M32" s="51" t="s">
        <v>450</v>
      </c>
      <c r="N32" s="51" t="s">
        <v>449</v>
      </c>
      <c r="O32" s="51"/>
      <c r="P32" s="51"/>
      <c r="Q32" s="51"/>
      <c r="R32" s="51"/>
      <c r="S32" s="51"/>
      <c r="T32" s="52"/>
      <c r="U32" s="3"/>
      <c r="V32" s="3"/>
    </row>
    <row r="33" ht="13.5" customHeight="1" spans="1:22">
      <c r="A33" s="47"/>
      <c r="B33" s="53" t="s">
        <v>509</v>
      </c>
      <c r="C33" s="53"/>
      <c r="D33" s="53"/>
      <c r="E33" s="54"/>
      <c r="F33" s="55" t="s">
        <v>510</v>
      </c>
      <c r="G33" s="55" t="s">
        <v>510</v>
      </c>
      <c r="H33" s="55" t="s">
        <v>510</v>
      </c>
      <c r="I33" s="55" t="s">
        <v>510</v>
      </c>
      <c r="J33" s="55" t="s">
        <v>510</v>
      </c>
      <c r="K33" s="55" t="s">
        <v>510</v>
      </c>
      <c r="L33" s="55" t="s">
        <v>510</v>
      </c>
      <c r="M33" s="55" t="s">
        <v>510</v>
      </c>
      <c r="N33" s="55" t="s">
        <v>510</v>
      </c>
      <c r="O33" s="55"/>
      <c r="P33" s="55"/>
      <c r="Q33" s="55"/>
      <c r="R33" s="55"/>
      <c r="S33" s="55"/>
      <c r="T33" s="56"/>
      <c r="U33" s="3"/>
      <c r="V33" s="3"/>
    </row>
    <row r="34" ht="105" customHeight="1" spans="1:22">
      <c r="A34" s="47"/>
      <c r="B34" s="57" t="s">
        <v>511</v>
      </c>
      <c r="C34" s="57"/>
      <c r="D34" s="57"/>
      <c r="E34" s="58"/>
      <c r="F34" s="59" t="s">
        <v>53</v>
      </c>
      <c r="G34" s="59" t="s">
        <v>53</v>
      </c>
      <c r="H34" s="59" t="s">
        <v>53</v>
      </c>
      <c r="I34" s="59" t="s">
        <v>53</v>
      </c>
      <c r="J34" s="59" t="s">
        <v>53</v>
      </c>
      <c r="K34" s="59" t="s">
        <v>53</v>
      </c>
      <c r="L34" s="59" t="s">
        <v>53</v>
      </c>
      <c r="M34" s="59" t="s">
        <v>53</v>
      </c>
      <c r="N34" s="59" t="s">
        <v>53</v>
      </c>
      <c r="O34" s="59"/>
      <c r="P34" s="59"/>
      <c r="Q34" s="59"/>
      <c r="R34" s="59"/>
      <c r="S34" s="59"/>
      <c r="T34" s="60"/>
      <c r="U34" s="3"/>
      <c r="V34" s="3"/>
    </row>
    <row r="35" ht="20" customHeight="1" spans="1:22">
      <c r="A35" s="61"/>
      <c r="B35" s="62" t="s">
        <v>512</v>
      </c>
      <c r="C35" s="62"/>
      <c r="D35" s="62"/>
      <c r="E35" s="63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5"/>
      <c r="U35" s="3"/>
      <c r="V35" s="3"/>
    </row>
    <row r="36" ht="13.8"/>
  </sheetData>
  <mergeCells count="46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</mergeCells>
  <dataValidations count="2">
    <dataValidation type="list" allowBlank="1" sqref="F32:N32">
      <formula1>"N,A,B"</formula1>
    </dataValidation>
    <dataValidation type="list" allowBlank="1" sqref="F33:N33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6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Functions!E61</f>
        <v>BE-STU-11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Functions!D61</f>
        <v>BuildFrom / EmbedInSourcePlanJson / TryExtract / IsStale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793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76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3.6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403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COUNTIF(F23:T23,"P")</f>
        <v>4</v>
      </c>
      <c r="B7" s="20"/>
      <c r="C7" s="21">
        <f>COUNTIF(F23:T23,"F")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COUNTIF(F22:T22,"N")</f>
        <v>4</v>
      </c>
      <c r="M7" s="21">
        <f>COUNTIF(F22:T22,"A")</f>
        <v>0</v>
      </c>
      <c r="N7" s="21">
        <f>COUNTIF(F22:T22,"B")</f>
        <v>0</v>
      </c>
      <c r="O7" s="21">
        <f>COUNTA(F9:T9)</f>
        <v>4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404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1129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1130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1131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1132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3.5" customHeight="1" spans="1:22">
      <c r="A17" s="42" t="s">
        <v>494</v>
      </c>
      <c r="B17" s="43" t="s">
        <v>495</v>
      </c>
      <c r="C17" s="44"/>
      <c r="D17" s="45"/>
      <c r="E17" s="4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7"/>
      <c r="U17" s="3"/>
      <c r="V17" s="3"/>
    </row>
    <row r="18" ht="14" customHeight="1" spans="1:22">
      <c r="A18" s="47"/>
      <c r="B18" s="39" t="s">
        <v>1133</v>
      </c>
      <c r="C18" s="39"/>
      <c r="D18" s="39"/>
      <c r="E18" s="48"/>
      <c r="F18" s="40" t="s">
        <v>481</v>
      </c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3"/>
    </row>
    <row r="19" ht="14" customHeight="1" spans="1:22">
      <c r="A19" s="47"/>
      <c r="B19" s="39" t="s">
        <v>1134</v>
      </c>
      <c r="C19" s="39"/>
      <c r="D19" s="39"/>
      <c r="E19" s="48"/>
      <c r="F19" s="40"/>
      <c r="G19" s="40" t="s">
        <v>481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1"/>
      <c r="U19" s="3"/>
      <c r="V19" s="3"/>
    </row>
    <row r="20" ht="14" customHeight="1" spans="1:22">
      <c r="A20" s="47"/>
      <c r="B20" s="39" t="s">
        <v>1135</v>
      </c>
      <c r="C20" s="39"/>
      <c r="D20" s="39"/>
      <c r="E20" s="48"/>
      <c r="F20" s="40"/>
      <c r="G20" s="40"/>
      <c r="H20" s="40" t="s">
        <v>481</v>
      </c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1"/>
      <c r="U20" s="3"/>
      <c r="V20" s="3"/>
    </row>
    <row r="21" ht="14" customHeight="1" spans="1:22">
      <c r="A21" s="47"/>
      <c r="B21" s="39" t="s">
        <v>1136</v>
      </c>
      <c r="C21" s="39"/>
      <c r="D21" s="39"/>
      <c r="E21" s="48"/>
      <c r="F21" s="40"/>
      <c r="G21" s="40"/>
      <c r="H21" s="40"/>
      <c r="I21" s="40" t="s">
        <v>481</v>
      </c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1"/>
      <c r="U21" s="3"/>
      <c r="V21" s="3"/>
    </row>
    <row r="22" ht="13.5" customHeight="1" spans="1:22">
      <c r="A22" s="42" t="s">
        <v>507</v>
      </c>
      <c r="B22" s="49" t="s">
        <v>508</v>
      </c>
      <c r="C22" s="49"/>
      <c r="D22" s="49"/>
      <c r="E22" s="50"/>
      <c r="F22" s="51" t="s">
        <v>449</v>
      </c>
      <c r="G22" s="51" t="s">
        <v>449</v>
      </c>
      <c r="H22" s="51" t="s">
        <v>449</v>
      </c>
      <c r="I22" s="51" t="s">
        <v>449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2"/>
      <c r="U22" s="3"/>
      <c r="V22" s="3"/>
    </row>
    <row r="23" ht="13.5" customHeight="1" spans="1:22">
      <c r="A23" s="47"/>
      <c r="B23" s="53" t="s">
        <v>509</v>
      </c>
      <c r="C23" s="53"/>
      <c r="D23" s="53"/>
      <c r="E23" s="54"/>
      <c r="F23" s="55" t="s">
        <v>510</v>
      </c>
      <c r="G23" s="55" t="s">
        <v>510</v>
      </c>
      <c r="H23" s="55" t="s">
        <v>510</v>
      </c>
      <c r="I23" s="55" t="s">
        <v>510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6"/>
      <c r="U23" s="3"/>
      <c r="V23" s="3"/>
    </row>
    <row r="24" ht="105" customHeight="1" spans="1:22">
      <c r="A24" s="47"/>
      <c r="B24" s="57" t="s">
        <v>511</v>
      </c>
      <c r="C24" s="57"/>
      <c r="D24" s="57"/>
      <c r="E24" s="58"/>
      <c r="F24" s="59" t="s">
        <v>53</v>
      </c>
      <c r="G24" s="59" t="s">
        <v>53</v>
      </c>
      <c r="H24" s="59" t="s">
        <v>53</v>
      </c>
      <c r="I24" s="59" t="s">
        <v>53</v>
      </c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60"/>
      <c r="U24" s="3"/>
      <c r="V24" s="3"/>
    </row>
    <row r="25" ht="20" customHeight="1" spans="1:22">
      <c r="A25" s="61"/>
      <c r="B25" s="62" t="s">
        <v>512</v>
      </c>
      <c r="C25" s="62"/>
      <c r="D25" s="62"/>
      <c r="E25" s="63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5"/>
      <c r="U25" s="3"/>
      <c r="V25" s="3"/>
    </row>
    <row r="26" ht="13.8"/>
  </sheetData>
  <mergeCells count="36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8:D18"/>
    <mergeCell ref="B19:D19"/>
    <mergeCell ref="B20:D20"/>
    <mergeCell ref="B21:D21"/>
    <mergeCell ref="B22:D22"/>
    <mergeCell ref="B23:D23"/>
    <mergeCell ref="B24:D24"/>
    <mergeCell ref="B25:D25"/>
  </mergeCells>
  <dataValidations count="2">
    <dataValidation type="list" allowBlank="1" sqref="F22:I22">
      <formula1>"N,A,B"</formula1>
    </dataValidation>
    <dataValidation type="list" allowBlank="1" sqref="F23:I23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2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Functions!E62</f>
        <v>BE-STU-12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Functions!D62</f>
        <v>ResolveSlot / BuildSingleSlotApprovedPlan / ApplyRagResultToQuestion / NormalizeInstruction / BuildAvoidQuestionsNote / BuildRegenHrNote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793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187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11.7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409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COUNTIF(F29:T29,"P")</f>
        <v>7</v>
      </c>
      <c r="B7" s="20"/>
      <c r="C7" s="21">
        <f>COUNTIF(F29:T29,"F")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COUNTIF(F28:T28,"N")</f>
        <v>4</v>
      </c>
      <c r="M7" s="21">
        <f>COUNTIF(F28:T28,"A")</f>
        <v>0</v>
      </c>
      <c r="N7" s="21">
        <f>COUNTIF(F28:T28,"B")</f>
        <v>3</v>
      </c>
      <c r="O7" s="21">
        <f>COUNTA(F9:T9)</f>
        <v>7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410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1137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1138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1139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1140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1141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1142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1143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3.5" customHeight="1" spans="1:22">
      <c r="A20" s="42" t="s">
        <v>494</v>
      </c>
      <c r="B20" s="43" t="s">
        <v>495</v>
      </c>
      <c r="C20" s="44"/>
      <c r="D20" s="45"/>
      <c r="E20" s="4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7"/>
      <c r="U20" s="3"/>
      <c r="V20" s="3"/>
    </row>
    <row r="21" ht="14" customHeight="1" spans="1:22">
      <c r="A21" s="47"/>
      <c r="B21" s="39" t="s">
        <v>1144</v>
      </c>
      <c r="C21" s="39"/>
      <c r="D21" s="39"/>
      <c r="E21" s="48"/>
      <c r="F21" s="40" t="s">
        <v>481</v>
      </c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1"/>
      <c r="U21" s="3"/>
      <c r="V21" s="3"/>
    </row>
    <row r="22" ht="14" customHeight="1" spans="1:22">
      <c r="A22" s="47"/>
      <c r="B22" s="39" t="s">
        <v>1145</v>
      </c>
      <c r="C22" s="39"/>
      <c r="D22" s="39"/>
      <c r="E22" s="48"/>
      <c r="F22" s="40"/>
      <c r="G22" s="40" t="s">
        <v>481</v>
      </c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1"/>
      <c r="U22" s="3"/>
      <c r="V22" s="3"/>
    </row>
    <row r="23" ht="14" customHeight="1" spans="1:22">
      <c r="A23" s="47"/>
      <c r="B23" s="39" t="s">
        <v>1146</v>
      </c>
      <c r="C23" s="39"/>
      <c r="D23" s="39"/>
      <c r="E23" s="48"/>
      <c r="F23" s="40"/>
      <c r="G23" s="40"/>
      <c r="H23" s="40" t="s">
        <v>481</v>
      </c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1"/>
      <c r="U23" s="3"/>
      <c r="V23" s="3"/>
    </row>
    <row r="24" ht="14" customHeight="1" spans="1:22">
      <c r="A24" s="47"/>
      <c r="B24" s="39" t="s">
        <v>1147</v>
      </c>
      <c r="C24" s="39"/>
      <c r="D24" s="39"/>
      <c r="E24" s="48"/>
      <c r="F24" s="40"/>
      <c r="G24" s="40"/>
      <c r="H24" s="40"/>
      <c r="I24" s="40" t="s">
        <v>481</v>
      </c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1"/>
      <c r="U24" s="3"/>
      <c r="V24" s="3"/>
    </row>
    <row r="25" ht="14" customHeight="1" spans="1:22">
      <c r="A25" s="47"/>
      <c r="B25" s="39" t="s">
        <v>1148</v>
      </c>
      <c r="C25" s="39"/>
      <c r="D25" s="39"/>
      <c r="E25" s="48"/>
      <c r="F25" s="40"/>
      <c r="G25" s="40"/>
      <c r="H25" s="40"/>
      <c r="I25" s="40"/>
      <c r="J25" s="40" t="s">
        <v>481</v>
      </c>
      <c r="K25" s="40"/>
      <c r="L25" s="40"/>
      <c r="M25" s="40"/>
      <c r="N25" s="40"/>
      <c r="O25" s="40"/>
      <c r="P25" s="40"/>
      <c r="Q25" s="40"/>
      <c r="R25" s="40"/>
      <c r="S25" s="40"/>
      <c r="T25" s="41"/>
      <c r="U25" s="3"/>
      <c r="V25" s="3"/>
    </row>
    <row r="26" ht="14" customHeight="1" spans="1:22">
      <c r="A26" s="47"/>
      <c r="B26" s="39" t="s">
        <v>547</v>
      </c>
      <c r="C26" s="39"/>
      <c r="D26" s="39"/>
      <c r="E26" s="48"/>
      <c r="F26" s="40"/>
      <c r="G26" s="40"/>
      <c r="H26" s="40"/>
      <c r="I26" s="40"/>
      <c r="J26" s="40"/>
      <c r="K26" s="40" t="s">
        <v>481</v>
      </c>
      <c r="L26" s="40"/>
      <c r="M26" s="40"/>
      <c r="N26" s="40"/>
      <c r="O26" s="40"/>
      <c r="P26" s="40"/>
      <c r="Q26" s="40"/>
      <c r="R26" s="40"/>
      <c r="S26" s="40"/>
      <c r="T26" s="41"/>
      <c r="U26" s="3"/>
      <c r="V26" s="3"/>
    </row>
    <row r="27" ht="14" customHeight="1" spans="1:22">
      <c r="A27" s="47"/>
      <c r="B27" s="39" t="s">
        <v>1149</v>
      </c>
      <c r="C27" s="39"/>
      <c r="D27" s="39"/>
      <c r="E27" s="48"/>
      <c r="F27" s="40"/>
      <c r="G27" s="40"/>
      <c r="H27" s="40"/>
      <c r="I27" s="40"/>
      <c r="J27" s="40"/>
      <c r="K27" s="40"/>
      <c r="L27" s="40" t="s">
        <v>481</v>
      </c>
      <c r="M27" s="40"/>
      <c r="N27" s="40"/>
      <c r="O27" s="40"/>
      <c r="P27" s="40"/>
      <c r="Q27" s="40"/>
      <c r="R27" s="40"/>
      <c r="S27" s="40"/>
      <c r="T27" s="41"/>
      <c r="U27" s="3"/>
      <c r="V27" s="3"/>
    </row>
    <row r="28" ht="13.5" customHeight="1" spans="1:22">
      <c r="A28" s="42" t="s">
        <v>507</v>
      </c>
      <c r="B28" s="49" t="s">
        <v>508</v>
      </c>
      <c r="C28" s="49"/>
      <c r="D28" s="49"/>
      <c r="E28" s="50"/>
      <c r="F28" s="51" t="s">
        <v>449</v>
      </c>
      <c r="G28" s="51" t="s">
        <v>449</v>
      </c>
      <c r="H28" s="51" t="s">
        <v>449</v>
      </c>
      <c r="I28" s="51" t="s">
        <v>450</v>
      </c>
      <c r="J28" s="51" t="s">
        <v>450</v>
      </c>
      <c r="K28" s="51" t="s">
        <v>450</v>
      </c>
      <c r="L28" s="51" t="s">
        <v>449</v>
      </c>
      <c r="M28" s="51"/>
      <c r="N28" s="51"/>
      <c r="O28" s="51"/>
      <c r="P28" s="51"/>
      <c r="Q28" s="51"/>
      <c r="R28" s="51"/>
      <c r="S28" s="51"/>
      <c r="T28" s="52"/>
      <c r="U28" s="3"/>
      <c r="V28" s="3"/>
    </row>
    <row r="29" ht="13.5" customHeight="1" spans="1:22">
      <c r="A29" s="47"/>
      <c r="B29" s="53" t="s">
        <v>509</v>
      </c>
      <c r="C29" s="53"/>
      <c r="D29" s="53"/>
      <c r="E29" s="54"/>
      <c r="F29" s="55" t="s">
        <v>510</v>
      </c>
      <c r="G29" s="55" t="s">
        <v>510</v>
      </c>
      <c r="H29" s="55" t="s">
        <v>510</v>
      </c>
      <c r="I29" s="55" t="s">
        <v>510</v>
      </c>
      <c r="J29" s="55" t="s">
        <v>510</v>
      </c>
      <c r="K29" s="55" t="s">
        <v>510</v>
      </c>
      <c r="L29" s="55" t="s">
        <v>510</v>
      </c>
      <c r="M29" s="55"/>
      <c r="N29" s="55"/>
      <c r="O29" s="55"/>
      <c r="P29" s="55"/>
      <c r="Q29" s="55"/>
      <c r="R29" s="55"/>
      <c r="S29" s="55"/>
      <c r="T29" s="56"/>
      <c r="U29" s="3"/>
      <c r="V29" s="3"/>
    </row>
    <row r="30" ht="105" customHeight="1" spans="1:22">
      <c r="A30" s="47"/>
      <c r="B30" s="57" t="s">
        <v>511</v>
      </c>
      <c r="C30" s="57"/>
      <c r="D30" s="57"/>
      <c r="E30" s="58"/>
      <c r="F30" s="59" t="s">
        <v>53</v>
      </c>
      <c r="G30" s="59" t="s">
        <v>53</v>
      </c>
      <c r="H30" s="59" t="s">
        <v>53</v>
      </c>
      <c r="I30" s="59" t="s">
        <v>53</v>
      </c>
      <c r="J30" s="59" t="s">
        <v>53</v>
      </c>
      <c r="K30" s="59" t="s">
        <v>53</v>
      </c>
      <c r="L30" s="59" t="s">
        <v>53</v>
      </c>
      <c r="M30" s="59"/>
      <c r="N30" s="59"/>
      <c r="O30" s="59"/>
      <c r="P30" s="59"/>
      <c r="Q30" s="59"/>
      <c r="R30" s="59"/>
      <c r="S30" s="59"/>
      <c r="T30" s="60"/>
      <c r="U30" s="3"/>
      <c r="V30" s="3"/>
    </row>
    <row r="31" ht="20" customHeight="1" spans="1:22">
      <c r="A31" s="61"/>
      <c r="B31" s="62" t="s">
        <v>512</v>
      </c>
      <c r="C31" s="62"/>
      <c r="D31" s="62"/>
      <c r="E31" s="63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5"/>
      <c r="U31" s="3"/>
      <c r="V31" s="3"/>
    </row>
    <row r="32" ht="13.8"/>
  </sheetData>
  <mergeCells count="42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</mergeCells>
  <dataValidations count="2">
    <dataValidation type="list" allowBlank="1" sqref="F28:L28">
      <formula1>"N,A,B"</formula1>
    </dataValidation>
    <dataValidation type="list" allowBlank="1" sqref="F29:L29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2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Functions!E63</f>
        <v>BE-STU-13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Functions!D63</f>
        <v>NormalizeCategory / LegacyTypeToCanonical / FromLegacyQuestionTypes / RescaleQuestionCounts / ToLegacyQuestionTypes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793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112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3.2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415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COUNTIF(F29:T29,"P")</f>
        <v>8</v>
      </c>
      <c r="B7" s="20"/>
      <c r="C7" s="21">
        <f>COUNTIF(F29:T29,"F")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COUNTIF(F28:T28,"N")</f>
        <v>6</v>
      </c>
      <c r="M7" s="21">
        <f>COUNTIF(F28:T28,"A")</f>
        <v>1</v>
      </c>
      <c r="N7" s="21">
        <f>COUNTIF(F28:T28,"B")</f>
        <v>1</v>
      </c>
      <c r="O7" s="21">
        <f>COUNTA(F9:T9)</f>
        <v>8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 t="s">
        <v>474</v>
      </c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416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 t="s">
        <v>481</v>
      </c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1150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1151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1152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1153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1154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1155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1156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4" customHeight="1" spans="1:22">
      <c r="A20" s="38"/>
      <c r="B20" s="39" t="s">
        <v>1157</v>
      </c>
      <c r="C20" s="39"/>
      <c r="D20" s="39"/>
      <c r="E20" s="35"/>
      <c r="F20" s="40"/>
      <c r="G20" s="40"/>
      <c r="H20" s="40"/>
      <c r="I20" s="40"/>
      <c r="J20" s="40"/>
      <c r="K20" s="40"/>
      <c r="L20" s="40"/>
      <c r="M20" s="40" t="s">
        <v>481</v>
      </c>
      <c r="N20" s="40"/>
      <c r="O20" s="40"/>
      <c r="P20" s="40"/>
      <c r="Q20" s="40"/>
      <c r="R20" s="40"/>
      <c r="S20" s="40"/>
      <c r="T20" s="41"/>
      <c r="U20" s="3"/>
      <c r="V20" s="9"/>
    </row>
    <row r="21" ht="13.5" customHeight="1" spans="1:22">
      <c r="A21" s="42" t="s">
        <v>494</v>
      </c>
      <c r="B21" s="43" t="s">
        <v>495</v>
      </c>
      <c r="C21" s="44"/>
      <c r="D21" s="45"/>
      <c r="E21" s="4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/>
      <c r="U21" s="3"/>
      <c r="V21" s="3"/>
    </row>
    <row r="22" ht="14" customHeight="1" spans="1:22">
      <c r="A22" s="47"/>
      <c r="B22" s="39" t="s">
        <v>1158</v>
      </c>
      <c r="C22" s="39"/>
      <c r="D22" s="39"/>
      <c r="E22" s="48"/>
      <c r="F22" s="40" t="s">
        <v>481</v>
      </c>
      <c r="G22" s="40" t="s">
        <v>481</v>
      </c>
      <c r="H22" s="40"/>
      <c r="I22" s="40" t="s">
        <v>481</v>
      </c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1"/>
      <c r="U22" s="3"/>
      <c r="V22" s="3"/>
    </row>
    <row r="23" ht="14" customHeight="1" spans="1:22">
      <c r="A23" s="47"/>
      <c r="B23" s="39" t="s">
        <v>1159</v>
      </c>
      <c r="C23" s="39"/>
      <c r="D23" s="39"/>
      <c r="E23" s="48"/>
      <c r="F23" s="40"/>
      <c r="G23" s="40"/>
      <c r="H23" s="40" t="s">
        <v>481</v>
      </c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1"/>
      <c r="U23" s="3"/>
      <c r="V23" s="3"/>
    </row>
    <row r="24" ht="14" customHeight="1" spans="1:22">
      <c r="A24" s="47"/>
      <c r="B24" s="39" t="s">
        <v>1160</v>
      </c>
      <c r="C24" s="39"/>
      <c r="D24" s="39"/>
      <c r="E24" s="48"/>
      <c r="F24" s="40"/>
      <c r="G24" s="40"/>
      <c r="H24" s="40"/>
      <c r="I24" s="40"/>
      <c r="J24" s="40" t="s">
        <v>481</v>
      </c>
      <c r="K24" s="40"/>
      <c r="L24" s="40"/>
      <c r="M24" s="40"/>
      <c r="N24" s="40"/>
      <c r="O24" s="40"/>
      <c r="P24" s="40"/>
      <c r="Q24" s="40"/>
      <c r="R24" s="40"/>
      <c r="S24" s="40"/>
      <c r="T24" s="41"/>
      <c r="U24" s="3"/>
      <c r="V24" s="3"/>
    </row>
    <row r="25" ht="14" customHeight="1" spans="1:22">
      <c r="A25" s="47"/>
      <c r="B25" s="39" t="s">
        <v>1161</v>
      </c>
      <c r="C25" s="39"/>
      <c r="D25" s="39"/>
      <c r="E25" s="48"/>
      <c r="F25" s="40"/>
      <c r="G25" s="40"/>
      <c r="H25" s="40"/>
      <c r="I25" s="40"/>
      <c r="J25" s="40"/>
      <c r="K25" s="40" t="s">
        <v>481</v>
      </c>
      <c r="L25" s="40"/>
      <c r="M25" s="40"/>
      <c r="N25" s="40"/>
      <c r="O25" s="40"/>
      <c r="P25" s="40"/>
      <c r="Q25" s="40"/>
      <c r="R25" s="40"/>
      <c r="S25" s="40"/>
      <c r="T25" s="41"/>
      <c r="U25" s="3"/>
      <c r="V25" s="3"/>
    </row>
    <row r="26" ht="14" customHeight="1" spans="1:22">
      <c r="A26" s="47"/>
      <c r="B26" s="39" t="s">
        <v>1162</v>
      </c>
      <c r="C26" s="39"/>
      <c r="D26" s="39"/>
      <c r="E26" s="48"/>
      <c r="F26" s="40"/>
      <c r="G26" s="40"/>
      <c r="H26" s="40"/>
      <c r="I26" s="40"/>
      <c r="J26" s="40"/>
      <c r="K26" s="40"/>
      <c r="L26" s="40" t="s">
        <v>481</v>
      </c>
      <c r="M26" s="40"/>
      <c r="N26" s="40"/>
      <c r="O26" s="40"/>
      <c r="P26" s="40"/>
      <c r="Q26" s="40"/>
      <c r="R26" s="40"/>
      <c r="S26" s="40"/>
      <c r="T26" s="41"/>
      <c r="U26" s="3"/>
      <c r="V26" s="3"/>
    </row>
    <row r="27" ht="14" customHeight="1" spans="1:22">
      <c r="A27" s="47"/>
      <c r="B27" s="39" t="s">
        <v>1163</v>
      </c>
      <c r="C27" s="39"/>
      <c r="D27" s="39"/>
      <c r="E27" s="48"/>
      <c r="F27" s="40"/>
      <c r="G27" s="40"/>
      <c r="H27" s="40"/>
      <c r="I27" s="40"/>
      <c r="J27" s="40"/>
      <c r="K27" s="40"/>
      <c r="L27" s="40"/>
      <c r="M27" s="40" t="s">
        <v>481</v>
      </c>
      <c r="N27" s="40"/>
      <c r="O27" s="40"/>
      <c r="P27" s="40"/>
      <c r="Q27" s="40"/>
      <c r="R27" s="40"/>
      <c r="S27" s="40"/>
      <c r="T27" s="41"/>
      <c r="U27" s="3"/>
      <c r="V27" s="3"/>
    </row>
    <row r="28" ht="13.5" customHeight="1" spans="1:22">
      <c r="A28" s="42" t="s">
        <v>507</v>
      </c>
      <c r="B28" s="49" t="s">
        <v>508</v>
      </c>
      <c r="C28" s="49"/>
      <c r="D28" s="49"/>
      <c r="E28" s="50"/>
      <c r="F28" s="51" t="s">
        <v>449</v>
      </c>
      <c r="G28" s="51" t="s">
        <v>449</v>
      </c>
      <c r="H28" s="51" t="s">
        <v>449</v>
      </c>
      <c r="I28" s="51" t="s">
        <v>66</v>
      </c>
      <c r="J28" s="51" t="s">
        <v>449</v>
      </c>
      <c r="K28" s="51" t="s">
        <v>449</v>
      </c>
      <c r="L28" s="51" t="s">
        <v>450</v>
      </c>
      <c r="M28" s="51" t="s">
        <v>449</v>
      </c>
      <c r="N28" s="51"/>
      <c r="O28" s="51"/>
      <c r="P28" s="51"/>
      <c r="Q28" s="51"/>
      <c r="R28" s="51"/>
      <c r="S28" s="51"/>
      <c r="T28" s="52"/>
      <c r="U28" s="3"/>
      <c r="V28" s="3"/>
    </row>
    <row r="29" ht="13.5" customHeight="1" spans="1:22">
      <c r="A29" s="47"/>
      <c r="B29" s="53" t="s">
        <v>509</v>
      </c>
      <c r="C29" s="53"/>
      <c r="D29" s="53"/>
      <c r="E29" s="54"/>
      <c r="F29" s="55" t="s">
        <v>510</v>
      </c>
      <c r="G29" s="55" t="s">
        <v>510</v>
      </c>
      <c r="H29" s="55" t="s">
        <v>510</v>
      </c>
      <c r="I29" s="55" t="s">
        <v>510</v>
      </c>
      <c r="J29" s="55" t="s">
        <v>510</v>
      </c>
      <c r="K29" s="55" t="s">
        <v>510</v>
      </c>
      <c r="L29" s="55" t="s">
        <v>510</v>
      </c>
      <c r="M29" s="55" t="s">
        <v>510</v>
      </c>
      <c r="N29" s="55"/>
      <c r="O29" s="55"/>
      <c r="P29" s="55"/>
      <c r="Q29" s="55"/>
      <c r="R29" s="55"/>
      <c r="S29" s="55"/>
      <c r="T29" s="56"/>
      <c r="U29" s="3"/>
      <c r="V29" s="3"/>
    </row>
    <row r="30" ht="105" customHeight="1" spans="1:22">
      <c r="A30" s="47"/>
      <c r="B30" s="57" t="s">
        <v>511</v>
      </c>
      <c r="C30" s="57"/>
      <c r="D30" s="57"/>
      <c r="E30" s="58"/>
      <c r="F30" s="59" t="s">
        <v>53</v>
      </c>
      <c r="G30" s="59" t="s">
        <v>53</v>
      </c>
      <c r="H30" s="59" t="s">
        <v>53</v>
      </c>
      <c r="I30" s="59" t="s">
        <v>53</v>
      </c>
      <c r="J30" s="59" t="s">
        <v>53</v>
      </c>
      <c r="K30" s="59" t="s">
        <v>53</v>
      </c>
      <c r="L30" s="59" t="s">
        <v>53</v>
      </c>
      <c r="M30" s="59" t="s">
        <v>53</v>
      </c>
      <c r="N30" s="59"/>
      <c r="O30" s="59"/>
      <c r="P30" s="59"/>
      <c r="Q30" s="59"/>
      <c r="R30" s="59"/>
      <c r="S30" s="59"/>
      <c r="T30" s="60"/>
      <c r="U30" s="3"/>
      <c r="V30" s="3"/>
    </row>
    <row r="31" ht="20" customHeight="1" spans="1:22">
      <c r="A31" s="61"/>
      <c r="B31" s="62" t="s">
        <v>512</v>
      </c>
      <c r="C31" s="62"/>
      <c r="D31" s="62"/>
      <c r="E31" s="63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5"/>
      <c r="U31" s="3"/>
      <c r="V31" s="3"/>
    </row>
    <row r="32" ht="13.8"/>
  </sheetData>
  <mergeCells count="42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</mergeCells>
  <dataValidations count="2">
    <dataValidation type="list" allowBlank="1" sqref="F28:M28">
      <formula1>"N,A,B"</formula1>
    </dataValidation>
    <dataValidation type="list" allowBlank="1" sqref="F29:M29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6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Functions!E64</f>
        <v>BE-STU-14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Functions!D64</f>
        <v>ParseMeta / ExtractCitations / ExtractCitationsFromTagsJson / MapToStudioQuestionDto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802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49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0.9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421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COUNTIF(F23:T23,"P")</f>
        <v>4</v>
      </c>
      <c r="B7" s="20"/>
      <c r="C7" s="21">
        <f>COUNTIF(F23:T23,"F")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COUNTIF(F22:T22,"N")</f>
        <v>2</v>
      </c>
      <c r="M7" s="21">
        <f>COUNTIF(F22:T22,"A")</f>
        <v>1</v>
      </c>
      <c r="N7" s="21">
        <f>COUNTIF(F22:T22,"B")</f>
        <v>1</v>
      </c>
      <c r="O7" s="21">
        <f>COUNTA(F9:T9)</f>
        <v>4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422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1164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1165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1166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1167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3.5" customHeight="1" spans="1:22">
      <c r="A17" s="42" t="s">
        <v>494</v>
      </c>
      <c r="B17" s="43" t="s">
        <v>495</v>
      </c>
      <c r="C17" s="44"/>
      <c r="D17" s="45"/>
      <c r="E17" s="4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7"/>
      <c r="U17" s="3"/>
      <c r="V17" s="3"/>
    </row>
    <row r="18" ht="25" customHeight="1" spans="1:22">
      <c r="A18" s="47"/>
      <c r="B18" s="39" t="s">
        <v>1168</v>
      </c>
      <c r="C18" s="39"/>
      <c r="D18" s="39"/>
      <c r="E18" s="48"/>
      <c r="F18" s="40" t="s">
        <v>481</v>
      </c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3"/>
    </row>
    <row r="19" ht="14" customHeight="1" spans="1:22">
      <c r="A19" s="47"/>
      <c r="B19" s="39" t="s">
        <v>1169</v>
      </c>
      <c r="C19" s="39"/>
      <c r="D19" s="39"/>
      <c r="E19" s="48"/>
      <c r="F19" s="40"/>
      <c r="G19" s="40" t="s">
        <v>481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1"/>
      <c r="U19" s="3"/>
      <c r="V19" s="3"/>
    </row>
    <row r="20" ht="14" customHeight="1" spans="1:22">
      <c r="A20" s="47"/>
      <c r="B20" s="39" t="s">
        <v>1170</v>
      </c>
      <c r="C20" s="39"/>
      <c r="D20" s="39"/>
      <c r="E20" s="48"/>
      <c r="F20" s="40"/>
      <c r="G20" s="40"/>
      <c r="H20" s="40" t="s">
        <v>481</v>
      </c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1"/>
      <c r="U20" s="3"/>
      <c r="V20" s="3"/>
    </row>
    <row r="21" ht="14" customHeight="1" spans="1:22">
      <c r="A21" s="47"/>
      <c r="B21" s="39" t="s">
        <v>1171</v>
      </c>
      <c r="C21" s="39"/>
      <c r="D21" s="39"/>
      <c r="E21" s="48"/>
      <c r="F21" s="40"/>
      <c r="G21" s="40"/>
      <c r="H21" s="40"/>
      <c r="I21" s="40" t="s">
        <v>481</v>
      </c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1"/>
      <c r="U21" s="3"/>
      <c r="V21" s="3"/>
    </row>
    <row r="22" ht="13.5" customHeight="1" spans="1:22">
      <c r="A22" s="42" t="s">
        <v>507</v>
      </c>
      <c r="B22" s="49" t="s">
        <v>508</v>
      </c>
      <c r="C22" s="49"/>
      <c r="D22" s="49"/>
      <c r="E22" s="50"/>
      <c r="F22" s="51" t="s">
        <v>449</v>
      </c>
      <c r="G22" s="51" t="s">
        <v>450</v>
      </c>
      <c r="H22" s="51" t="s">
        <v>449</v>
      </c>
      <c r="I22" s="51" t="s">
        <v>66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2"/>
      <c r="U22" s="3"/>
      <c r="V22" s="3"/>
    </row>
    <row r="23" ht="13.5" customHeight="1" spans="1:22">
      <c r="A23" s="47"/>
      <c r="B23" s="53" t="s">
        <v>509</v>
      </c>
      <c r="C23" s="53"/>
      <c r="D23" s="53"/>
      <c r="E23" s="54"/>
      <c r="F23" s="55" t="s">
        <v>510</v>
      </c>
      <c r="G23" s="55" t="s">
        <v>510</v>
      </c>
      <c r="H23" s="55" t="s">
        <v>510</v>
      </c>
      <c r="I23" s="55" t="s">
        <v>510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6"/>
      <c r="U23" s="3"/>
      <c r="V23" s="3"/>
    </row>
    <row r="24" ht="105" customHeight="1" spans="1:22">
      <c r="A24" s="47"/>
      <c r="B24" s="57" t="s">
        <v>511</v>
      </c>
      <c r="C24" s="57"/>
      <c r="D24" s="57"/>
      <c r="E24" s="58"/>
      <c r="F24" s="59" t="s">
        <v>53</v>
      </c>
      <c r="G24" s="59" t="s">
        <v>53</v>
      </c>
      <c r="H24" s="59" t="s">
        <v>53</v>
      </c>
      <c r="I24" s="59" t="s">
        <v>53</v>
      </c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60"/>
      <c r="U24" s="3"/>
      <c r="V24" s="3"/>
    </row>
    <row r="25" ht="20" customHeight="1" spans="1:22">
      <c r="A25" s="61"/>
      <c r="B25" s="62" t="s">
        <v>512</v>
      </c>
      <c r="C25" s="62"/>
      <c r="D25" s="62"/>
      <c r="E25" s="63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5"/>
      <c r="U25" s="3"/>
      <c r="V25" s="3"/>
    </row>
    <row r="26" ht="13.8"/>
  </sheetData>
  <mergeCells count="36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8:D18"/>
    <mergeCell ref="B19:D19"/>
    <mergeCell ref="B20:D20"/>
    <mergeCell ref="B21:D21"/>
    <mergeCell ref="B22:D22"/>
    <mergeCell ref="B23:D23"/>
    <mergeCell ref="B24:D24"/>
    <mergeCell ref="B25:D25"/>
  </mergeCells>
  <dataValidations count="2">
    <dataValidation type="list" allowBlank="1" sqref="F22:I22">
      <formula1>"N,A,B"</formula1>
    </dataValidation>
    <dataValidation type="list" allowBlank="1" sqref="F23:I23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2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Functions!E65</f>
        <v>BE-SUB-01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Functions!D65</f>
        <v>ResolveMax / IsCooldownActive / NextMark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802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32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-4.8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428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COUNTIF(F29:T29,"P")</f>
        <v>8</v>
      </c>
      <c r="B7" s="20"/>
      <c r="C7" s="21">
        <f>COUNTIF(F29:T29,"F")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COUNTIF(F28:T28,"N")</f>
        <v>4</v>
      </c>
      <c r="M7" s="21">
        <f>COUNTIF(F28:T28,"A")</f>
        <v>1</v>
      </c>
      <c r="N7" s="21">
        <f>COUNTIF(F28:T28,"B")</f>
        <v>3</v>
      </c>
      <c r="O7" s="21">
        <f>COUNTA(F9:T9)</f>
        <v>8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 t="s">
        <v>474</v>
      </c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429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 t="s">
        <v>481</v>
      </c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1172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1173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1174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1175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1176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1177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1178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4" customHeight="1" spans="1:22">
      <c r="A20" s="38"/>
      <c r="B20" s="39" t="s">
        <v>1179</v>
      </c>
      <c r="C20" s="39"/>
      <c r="D20" s="39"/>
      <c r="E20" s="35"/>
      <c r="F20" s="40"/>
      <c r="G20" s="40"/>
      <c r="H20" s="40"/>
      <c r="I20" s="40"/>
      <c r="J20" s="40"/>
      <c r="K20" s="40"/>
      <c r="L20" s="40"/>
      <c r="M20" s="40" t="s">
        <v>481</v>
      </c>
      <c r="N20" s="40"/>
      <c r="O20" s="40"/>
      <c r="P20" s="40"/>
      <c r="Q20" s="40"/>
      <c r="R20" s="40"/>
      <c r="S20" s="40"/>
      <c r="T20" s="41"/>
      <c r="U20" s="3"/>
      <c r="V20" s="9"/>
    </row>
    <row r="21" ht="13.5" customHeight="1" spans="1:22">
      <c r="A21" s="42" t="s">
        <v>494</v>
      </c>
      <c r="B21" s="43" t="s">
        <v>495</v>
      </c>
      <c r="C21" s="44"/>
      <c r="D21" s="45"/>
      <c r="E21" s="4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/>
      <c r="U21" s="3"/>
      <c r="V21" s="3"/>
    </row>
    <row r="22" ht="14" customHeight="1" spans="1:22">
      <c r="A22" s="47"/>
      <c r="B22" s="39" t="s">
        <v>1180</v>
      </c>
      <c r="C22" s="39"/>
      <c r="D22" s="39"/>
      <c r="E22" s="48"/>
      <c r="F22" s="40" t="s">
        <v>481</v>
      </c>
      <c r="G22" s="40" t="s">
        <v>481</v>
      </c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1"/>
      <c r="U22" s="3"/>
      <c r="V22" s="3"/>
    </row>
    <row r="23" ht="14" customHeight="1" spans="1:22">
      <c r="A23" s="47"/>
      <c r="B23" s="39" t="s">
        <v>1181</v>
      </c>
      <c r="C23" s="39"/>
      <c r="D23" s="39"/>
      <c r="E23" s="48"/>
      <c r="F23" s="40"/>
      <c r="G23" s="40"/>
      <c r="H23" s="40" t="s">
        <v>481</v>
      </c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1"/>
      <c r="U23" s="3"/>
      <c r="V23" s="3"/>
    </row>
    <row r="24" ht="14" customHeight="1" spans="1:22">
      <c r="A24" s="47"/>
      <c r="B24" s="39" t="s">
        <v>1182</v>
      </c>
      <c r="C24" s="39"/>
      <c r="D24" s="39"/>
      <c r="E24" s="48"/>
      <c r="F24" s="40"/>
      <c r="G24" s="40"/>
      <c r="H24" s="40"/>
      <c r="I24" s="40" t="s">
        <v>481</v>
      </c>
      <c r="J24" s="40"/>
      <c r="K24" s="40" t="s">
        <v>481</v>
      </c>
      <c r="L24" s="40"/>
      <c r="M24" s="40"/>
      <c r="N24" s="40"/>
      <c r="O24" s="40"/>
      <c r="P24" s="40"/>
      <c r="Q24" s="40"/>
      <c r="R24" s="40"/>
      <c r="S24" s="40"/>
      <c r="T24" s="41"/>
      <c r="U24" s="3"/>
      <c r="V24" s="3"/>
    </row>
    <row r="25" ht="14" customHeight="1" spans="1:22">
      <c r="A25" s="47"/>
      <c r="B25" s="39" t="s">
        <v>1183</v>
      </c>
      <c r="C25" s="39"/>
      <c r="D25" s="39"/>
      <c r="E25" s="48"/>
      <c r="F25" s="40"/>
      <c r="G25" s="40"/>
      <c r="H25" s="40"/>
      <c r="I25" s="40"/>
      <c r="J25" s="40" t="s">
        <v>481</v>
      </c>
      <c r="K25" s="40"/>
      <c r="L25" s="40"/>
      <c r="M25" s="40"/>
      <c r="N25" s="40"/>
      <c r="O25" s="40"/>
      <c r="P25" s="40"/>
      <c r="Q25" s="40"/>
      <c r="R25" s="40"/>
      <c r="S25" s="40"/>
      <c r="T25" s="41"/>
      <c r="U25" s="3"/>
      <c r="V25" s="3"/>
    </row>
    <row r="26" ht="14" customHeight="1" spans="1:22">
      <c r="A26" s="47"/>
      <c r="B26" s="39" t="s">
        <v>1184</v>
      </c>
      <c r="C26" s="39"/>
      <c r="D26" s="39"/>
      <c r="E26" s="48"/>
      <c r="F26" s="40"/>
      <c r="G26" s="40"/>
      <c r="H26" s="40"/>
      <c r="I26" s="40"/>
      <c r="J26" s="40"/>
      <c r="K26" s="40"/>
      <c r="L26" s="40" t="s">
        <v>481</v>
      </c>
      <c r="M26" s="40"/>
      <c r="N26" s="40"/>
      <c r="O26" s="40"/>
      <c r="P26" s="40"/>
      <c r="Q26" s="40"/>
      <c r="R26" s="40"/>
      <c r="S26" s="40"/>
      <c r="T26" s="41"/>
      <c r="U26" s="3"/>
      <c r="V26" s="3"/>
    </row>
    <row r="27" ht="14" customHeight="1" spans="1:22">
      <c r="A27" s="47"/>
      <c r="B27" s="39" t="s">
        <v>1185</v>
      </c>
      <c r="C27" s="39"/>
      <c r="D27" s="39"/>
      <c r="E27" s="48"/>
      <c r="F27" s="40"/>
      <c r="G27" s="40"/>
      <c r="H27" s="40"/>
      <c r="I27" s="40"/>
      <c r="J27" s="40"/>
      <c r="K27" s="40"/>
      <c r="L27" s="40"/>
      <c r="M27" s="40" t="s">
        <v>481</v>
      </c>
      <c r="N27" s="40"/>
      <c r="O27" s="40"/>
      <c r="P27" s="40"/>
      <c r="Q27" s="40"/>
      <c r="R27" s="40"/>
      <c r="S27" s="40"/>
      <c r="T27" s="41"/>
      <c r="U27" s="3"/>
      <c r="V27" s="3"/>
    </row>
    <row r="28" ht="13.5" customHeight="1" spans="1:22">
      <c r="A28" s="42" t="s">
        <v>507</v>
      </c>
      <c r="B28" s="49" t="s">
        <v>508</v>
      </c>
      <c r="C28" s="49"/>
      <c r="D28" s="49"/>
      <c r="E28" s="50"/>
      <c r="F28" s="51" t="s">
        <v>66</v>
      </c>
      <c r="G28" s="51" t="s">
        <v>450</v>
      </c>
      <c r="H28" s="51" t="s">
        <v>449</v>
      </c>
      <c r="I28" s="51" t="s">
        <v>449</v>
      </c>
      <c r="J28" s="51" t="s">
        <v>449</v>
      </c>
      <c r="K28" s="51" t="s">
        <v>450</v>
      </c>
      <c r="L28" s="51" t="s">
        <v>449</v>
      </c>
      <c r="M28" s="51" t="s">
        <v>450</v>
      </c>
      <c r="N28" s="51"/>
      <c r="O28" s="51"/>
      <c r="P28" s="51"/>
      <c r="Q28" s="51"/>
      <c r="R28" s="51"/>
      <c r="S28" s="51"/>
      <c r="T28" s="52"/>
      <c r="U28" s="3"/>
      <c r="V28" s="3"/>
    </row>
    <row r="29" ht="13.5" customHeight="1" spans="1:22">
      <c r="A29" s="47"/>
      <c r="B29" s="53" t="s">
        <v>509</v>
      </c>
      <c r="C29" s="53"/>
      <c r="D29" s="53"/>
      <c r="E29" s="54"/>
      <c r="F29" s="55" t="s">
        <v>510</v>
      </c>
      <c r="G29" s="55" t="s">
        <v>510</v>
      </c>
      <c r="H29" s="55" t="s">
        <v>510</v>
      </c>
      <c r="I29" s="55" t="s">
        <v>510</v>
      </c>
      <c r="J29" s="55" t="s">
        <v>510</v>
      </c>
      <c r="K29" s="55" t="s">
        <v>510</v>
      </c>
      <c r="L29" s="55" t="s">
        <v>510</v>
      </c>
      <c r="M29" s="55" t="s">
        <v>510</v>
      </c>
      <c r="N29" s="55"/>
      <c r="O29" s="55"/>
      <c r="P29" s="55"/>
      <c r="Q29" s="55"/>
      <c r="R29" s="55"/>
      <c r="S29" s="55"/>
      <c r="T29" s="56"/>
      <c r="U29" s="3"/>
      <c r="V29" s="3"/>
    </row>
    <row r="30" ht="105" customHeight="1" spans="1:22">
      <c r="A30" s="47"/>
      <c r="B30" s="57" t="s">
        <v>511</v>
      </c>
      <c r="C30" s="57"/>
      <c r="D30" s="57"/>
      <c r="E30" s="58"/>
      <c r="F30" s="59" t="s">
        <v>53</v>
      </c>
      <c r="G30" s="59" t="s">
        <v>53</v>
      </c>
      <c r="H30" s="59" t="s">
        <v>53</v>
      </c>
      <c r="I30" s="59" t="s">
        <v>53</v>
      </c>
      <c r="J30" s="59" t="s">
        <v>53</v>
      </c>
      <c r="K30" s="59" t="s">
        <v>53</v>
      </c>
      <c r="L30" s="59" t="s">
        <v>53</v>
      </c>
      <c r="M30" s="59" t="s">
        <v>53</v>
      </c>
      <c r="N30" s="59"/>
      <c r="O30" s="59"/>
      <c r="P30" s="59"/>
      <c r="Q30" s="59"/>
      <c r="R30" s="59"/>
      <c r="S30" s="59"/>
      <c r="T30" s="60"/>
      <c r="U30" s="3"/>
      <c r="V30" s="3"/>
    </row>
    <row r="31" ht="20" customHeight="1" spans="1:22">
      <c r="A31" s="61"/>
      <c r="B31" s="62" t="s">
        <v>512</v>
      </c>
      <c r="C31" s="62"/>
      <c r="D31" s="62"/>
      <c r="E31" s="63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5"/>
      <c r="U31" s="3"/>
      <c r="V31" s="3"/>
    </row>
    <row r="32" ht="13.8"/>
  </sheetData>
  <mergeCells count="42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</mergeCells>
  <dataValidations count="2">
    <dataValidation type="list" allowBlank="1" sqref="F28:M28">
      <formula1>"N,A,B"</formula1>
    </dataValidation>
    <dataValidation type="list" allowBlank="1" sqref="F29:M29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3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Functions!E66</f>
        <v>BE-SUB-02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Functions!D66</f>
        <v>CheckGenerateSetAsync / CheckQuestionRegenAsync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802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45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-5.5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434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COUNTIF(F30:T30,"P")</f>
        <v>10</v>
      </c>
      <c r="B7" s="20"/>
      <c r="C7" s="21">
        <f>COUNTIF(F30:T30,"F")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COUNTIF(F29:T29,"N")</f>
        <v>4</v>
      </c>
      <c r="M7" s="21">
        <f>COUNTIF(F29:T29,"A")</f>
        <v>2</v>
      </c>
      <c r="N7" s="21">
        <f>COUNTIF(F29:T29,"B")</f>
        <v>4</v>
      </c>
      <c r="O7" s="21">
        <f>COUNTA(F9:T9)</f>
        <v>10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 t="s">
        <v>471</v>
      </c>
      <c r="K9" s="28" t="s">
        <v>472</v>
      </c>
      <c r="L9" s="28" t="s">
        <v>473</v>
      </c>
      <c r="M9" s="28" t="s">
        <v>474</v>
      </c>
      <c r="N9" s="28" t="s">
        <v>475</v>
      </c>
      <c r="O9" s="28" t="s">
        <v>476</v>
      </c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435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 t="s">
        <v>481</v>
      </c>
      <c r="K11" s="40" t="s">
        <v>481</v>
      </c>
      <c r="L11" s="40" t="s">
        <v>481</v>
      </c>
      <c r="M11" s="40" t="s">
        <v>481</v>
      </c>
      <c r="N11" s="40" t="s">
        <v>481</v>
      </c>
      <c r="O11" s="40" t="s">
        <v>481</v>
      </c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1186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1187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1188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1189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4" customHeight="1" spans="1:22">
      <c r="A17" s="38"/>
      <c r="B17" s="39" t="s">
        <v>1190</v>
      </c>
      <c r="C17" s="39"/>
      <c r="D17" s="39"/>
      <c r="E17" s="35"/>
      <c r="F17" s="40"/>
      <c r="G17" s="40"/>
      <c r="H17" s="40"/>
      <c r="I17" s="40"/>
      <c r="J17" s="40" t="s">
        <v>481</v>
      </c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3"/>
      <c r="V17" s="9"/>
    </row>
    <row r="18" ht="14" customHeight="1" spans="1:22">
      <c r="A18" s="38"/>
      <c r="B18" s="39" t="s">
        <v>1191</v>
      </c>
      <c r="C18" s="39"/>
      <c r="D18" s="39"/>
      <c r="E18" s="35"/>
      <c r="F18" s="40"/>
      <c r="G18" s="40"/>
      <c r="H18" s="40"/>
      <c r="I18" s="40"/>
      <c r="J18" s="40"/>
      <c r="K18" s="40" t="s">
        <v>481</v>
      </c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9"/>
    </row>
    <row r="19" ht="14" customHeight="1" spans="1:22">
      <c r="A19" s="38"/>
      <c r="B19" s="39" t="s">
        <v>1192</v>
      </c>
      <c r="C19" s="39"/>
      <c r="D19" s="39"/>
      <c r="E19" s="35"/>
      <c r="F19" s="40"/>
      <c r="G19" s="40"/>
      <c r="H19" s="40"/>
      <c r="I19" s="40"/>
      <c r="J19" s="40"/>
      <c r="K19" s="40"/>
      <c r="L19" s="40" t="s">
        <v>481</v>
      </c>
      <c r="M19" s="40"/>
      <c r="N19" s="40"/>
      <c r="O19" s="40"/>
      <c r="P19" s="40"/>
      <c r="Q19" s="40"/>
      <c r="R19" s="40"/>
      <c r="S19" s="40"/>
      <c r="T19" s="41"/>
      <c r="U19" s="3"/>
      <c r="V19" s="9"/>
    </row>
    <row r="20" ht="14" customHeight="1" spans="1:22">
      <c r="A20" s="38"/>
      <c r="B20" s="39" t="s">
        <v>1193</v>
      </c>
      <c r="C20" s="39"/>
      <c r="D20" s="39"/>
      <c r="E20" s="35"/>
      <c r="F20" s="40"/>
      <c r="G20" s="40"/>
      <c r="H20" s="40"/>
      <c r="I20" s="40"/>
      <c r="J20" s="40"/>
      <c r="K20" s="40"/>
      <c r="L20" s="40"/>
      <c r="M20" s="40" t="s">
        <v>481</v>
      </c>
      <c r="N20" s="40"/>
      <c r="O20" s="40"/>
      <c r="P20" s="40"/>
      <c r="Q20" s="40"/>
      <c r="R20" s="40"/>
      <c r="S20" s="40"/>
      <c r="T20" s="41"/>
      <c r="U20" s="3"/>
      <c r="V20" s="9"/>
    </row>
    <row r="21" ht="14" customHeight="1" spans="1:22">
      <c r="A21" s="38"/>
      <c r="B21" s="39" t="s">
        <v>1194</v>
      </c>
      <c r="C21" s="39"/>
      <c r="D21" s="39"/>
      <c r="E21" s="35"/>
      <c r="F21" s="40"/>
      <c r="G21" s="40"/>
      <c r="H21" s="40"/>
      <c r="I21" s="40"/>
      <c r="J21" s="40"/>
      <c r="K21" s="40"/>
      <c r="L21" s="40"/>
      <c r="M21" s="40"/>
      <c r="N21" s="40" t="s">
        <v>481</v>
      </c>
      <c r="O21" s="40"/>
      <c r="P21" s="40"/>
      <c r="Q21" s="40"/>
      <c r="R21" s="40"/>
      <c r="S21" s="40"/>
      <c r="T21" s="41"/>
      <c r="U21" s="3"/>
      <c r="V21" s="9"/>
    </row>
    <row r="22" ht="14" customHeight="1" spans="1:22">
      <c r="A22" s="38"/>
      <c r="B22" s="39" t="s">
        <v>1195</v>
      </c>
      <c r="C22" s="39"/>
      <c r="D22" s="39"/>
      <c r="E22" s="35"/>
      <c r="F22" s="40"/>
      <c r="G22" s="40"/>
      <c r="H22" s="40"/>
      <c r="I22" s="40"/>
      <c r="J22" s="40"/>
      <c r="K22" s="40"/>
      <c r="L22" s="40"/>
      <c r="M22" s="40"/>
      <c r="N22" s="40"/>
      <c r="O22" s="40" t="s">
        <v>481</v>
      </c>
      <c r="P22" s="40"/>
      <c r="Q22" s="40"/>
      <c r="R22" s="40"/>
      <c r="S22" s="40"/>
      <c r="T22" s="41"/>
      <c r="U22" s="3"/>
      <c r="V22" s="9"/>
    </row>
    <row r="23" ht="13.5" customHeight="1" spans="1:22">
      <c r="A23" s="42" t="s">
        <v>494</v>
      </c>
      <c r="B23" s="43" t="s">
        <v>495</v>
      </c>
      <c r="C23" s="44"/>
      <c r="D23" s="45"/>
      <c r="E23" s="4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7"/>
      <c r="U23" s="3"/>
      <c r="V23" s="3"/>
    </row>
    <row r="24" ht="14" customHeight="1" spans="1:22">
      <c r="A24" s="47"/>
      <c r="B24" s="39" t="s">
        <v>1196</v>
      </c>
      <c r="C24" s="39"/>
      <c r="D24" s="39"/>
      <c r="E24" s="48"/>
      <c r="F24" s="40" t="s">
        <v>481</v>
      </c>
      <c r="G24" s="40"/>
      <c r="H24" s="40" t="s">
        <v>481</v>
      </c>
      <c r="I24" s="40" t="s">
        <v>481</v>
      </c>
      <c r="J24" s="40"/>
      <c r="K24" s="40" t="s">
        <v>481</v>
      </c>
      <c r="L24" s="40"/>
      <c r="M24" s="40" t="s">
        <v>481</v>
      </c>
      <c r="N24" s="40" t="s">
        <v>481</v>
      </c>
      <c r="O24" s="40" t="s">
        <v>481</v>
      </c>
      <c r="P24" s="40"/>
      <c r="Q24" s="40"/>
      <c r="R24" s="40"/>
      <c r="S24" s="40"/>
      <c r="T24" s="41"/>
      <c r="U24" s="3"/>
      <c r="V24" s="3"/>
    </row>
    <row r="25" ht="13.5" customHeight="1" spans="1:22">
      <c r="A25" s="42"/>
      <c r="B25" s="43" t="s">
        <v>913</v>
      </c>
      <c r="C25" s="44"/>
      <c r="D25" s="45"/>
      <c r="E25" s="4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7"/>
      <c r="U25" s="3"/>
      <c r="V25" s="3"/>
    </row>
    <row r="26" ht="14" customHeight="1" spans="1:22">
      <c r="A26" s="47"/>
      <c r="B26" s="39" t="s">
        <v>1197</v>
      </c>
      <c r="C26" s="39"/>
      <c r="D26" s="39"/>
      <c r="E26" s="48"/>
      <c r="F26" s="40"/>
      <c r="G26" s="40" t="s">
        <v>481</v>
      </c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1"/>
      <c r="U26" s="3"/>
      <c r="V26" s="3"/>
    </row>
    <row r="27" ht="14" customHeight="1" spans="1:22">
      <c r="A27" s="47"/>
      <c r="B27" s="39" t="s">
        <v>1198</v>
      </c>
      <c r="C27" s="39"/>
      <c r="D27" s="39"/>
      <c r="E27" s="48"/>
      <c r="F27" s="40"/>
      <c r="G27" s="40"/>
      <c r="H27" s="40"/>
      <c r="I27" s="40"/>
      <c r="J27" s="40" t="s">
        <v>481</v>
      </c>
      <c r="K27" s="40"/>
      <c r="L27" s="40"/>
      <c r="M27" s="40"/>
      <c r="N27" s="40"/>
      <c r="O27" s="40"/>
      <c r="P27" s="40"/>
      <c r="Q27" s="40"/>
      <c r="R27" s="40"/>
      <c r="S27" s="40"/>
      <c r="T27" s="41"/>
      <c r="U27" s="3"/>
      <c r="V27" s="3"/>
    </row>
    <row r="28" ht="14" customHeight="1" spans="1:22">
      <c r="A28" s="47"/>
      <c r="B28" s="39" t="s">
        <v>1199</v>
      </c>
      <c r="C28" s="39"/>
      <c r="D28" s="39"/>
      <c r="E28" s="48"/>
      <c r="F28" s="40"/>
      <c r="G28" s="40"/>
      <c r="H28" s="40"/>
      <c r="I28" s="40"/>
      <c r="J28" s="40"/>
      <c r="K28" s="40"/>
      <c r="L28" s="40" t="s">
        <v>481</v>
      </c>
      <c r="M28" s="40"/>
      <c r="N28" s="40"/>
      <c r="O28" s="40"/>
      <c r="P28" s="40"/>
      <c r="Q28" s="40"/>
      <c r="R28" s="40"/>
      <c r="S28" s="40"/>
      <c r="T28" s="41"/>
      <c r="U28" s="3"/>
      <c r="V28" s="3"/>
    </row>
    <row r="29" ht="13.5" customHeight="1" spans="1:22">
      <c r="A29" s="42" t="s">
        <v>507</v>
      </c>
      <c r="B29" s="49" t="s">
        <v>508</v>
      </c>
      <c r="C29" s="49"/>
      <c r="D29" s="49"/>
      <c r="E29" s="50"/>
      <c r="F29" s="51" t="s">
        <v>449</v>
      </c>
      <c r="G29" s="51" t="s">
        <v>66</v>
      </c>
      <c r="H29" s="51" t="s">
        <v>450</v>
      </c>
      <c r="I29" s="51" t="s">
        <v>449</v>
      </c>
      <c r="J29" s="51" t="s">
        <v>66</v>
      </c>
      <c r="K29" s="51" t="s">
        <v>450</v>
      </c>
      <c r="L29" s="51" t="s">
        <v>450</v>
      </c>
      <c r="M29" s="51" t="s">
        <v>450</v>
      </c>
      <c r="N29" s="51" t="s">
        <v>449</v>
      </c>
      <c r="O29" s="51" t="s">
        <v>449</v>
      </c>
      <c r="P29" s="51"/>
      <c r="Q29" s="51"/>
      <c r="R29" s="51"/>
      <c r="S29" s="51"/>
      <c r="T29" s="52"/>
      <c r="U29" s="3"/>
      <c r="V29" s="3"/>
    </row>
    <row r="30" ht="13.5" customHeight="1" spans="1:22">
      <c r="A30" s="47"/>
      <c r="B30" s="53" t="s">
        <v>509</v>
      </c>
      <c r="C30" s="53"/>
      <c r="D30" s="53"/>
      <c r="E30" s="54"/>
      <c r="F30" s="55" t="s">
        <v>510</v>
      </c>
      <c r="G30" s="55" t="s">
        <v>510</v>
      </c>
      <c r="H30" s="55" t="s">
        <v>510</v>
      </c>
      <c r="I30" s="55" t="s">
        <v>510</v>
      </c>
      <c r="J30" s="55" t="s">
        <v>510</v>
      </c>
      <c r="K30" s="55" t="s">
        <v>510</v>
      </c>
      <c r="L30" s="55" t="s">
        <v>510</v>
      </c>
      <c r="M30" s="55" t="s">
        <v>510</v>
      </c>
      <c r="N30" s="55" t="s">
        <v>510</v>
      </c>
      <c r="O30" s="55" t="s">
        <v>510</v>
      </c>
      <c r="P30" s="55"/>
      <c r="Q30" s="55"/>
      <c r="R30" s="55"/>
      <c r="S30" s="55"/>
      <c r="T30" s="56"/>
      <c r="U30" s="3"/>
      <c r="V30" s="3"/>
    </row>
    <row r="31" ht="105" customHeight="1" spans="1:22">
      <c r="A31" s="47"/>
      <c r="B31" s="57" t="s">
        <v>511</v>
      </c>
      <c r="C31" s="57"/>
      <c r="D31" s="57"/>
      <c r="E31" s="58"/>
      <c r="F31" s="59" t="s">
        <v>53</v>
      </c>
      <c r="G31" s="59" t="s">
        <v>53</v>
      </c>
      <c r="H31" s="59" t="s">
        <v>53</v>
      </c>
      <c r="I31" s="59" t="s">
        <v>53</v>
      </c>
      <c r="J31" s="59" t="s">
        <v>53</v>
      </c>
      <c r="K31" s="59" t="s">
        <v>53</v>
      </c>
      <c r="L31" s="59" t="s">
        <v>53</v>
      </c>
      <c r="M31" s="59" t="s">
        <v>53</v>
      </c>
      <c r="N31" s="59" t="s">
        <v>53</v>
      </c>
      <c r="O31" s="59" t="s">
        <v>53</v>
      </c>
      <c r="P31" s="59"/>
      <c r="Q31" s="59"/>
      <c r="R31" s="59"/>
      <c r="S31" s="59"/>
      <c r="T31" s="60"/>
      <c r="U31" s="3"/>
      <c r="V31" s="3"/>
    </row>
    <row r="32" ht="20" customHeight="1" spans="1:22">
      <c r="A32" s="61"/>
      <c r="B32" s="62" t="s">
        <v>512</v>
      </c>
      <c r="C32" s="62"/>
      <c r="D32" s="62"/>
      <c r="E32" s="63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5"/>
      <c r="U32" s="3"/>
      <c r="V32" s="3"/>
    </row>
    <row r="33" ht="13.8"/>
  </sheetData>
  <mergeCells count="42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4:D24"/>
    <mergeCell ref="B26:D26"/>
    <mergeCell ref="B27:D27"/>
    <mergeCell ref="B28:D28"/>
    <mergeCell ref="B29:D29"/>
    <mergeCell ref="B30:D30"/>
    <mergeCell ref="B31:D31"/>
    <mergeCell ref="B32:D32"/>
  </mergeCells>
  <dataValidations count="2">
    <dataValidation type="list" allowBlank="1" sqref="F29:O29">
      <formula1>"N,A,B"</formula1>
    </dataValidation>
    <dataValidation type="list" allowBlank="1" sqref="F30:O30">
      <formula1>"P,F"</formula1>
    </dataValidation>
  </dataValidations>
  <pageMargins left="0.7" right="0.7" top="0.75" bottom="0.75" header="0.3" footer="0.3"/>
  <pageSetup paperSize="1" orientation="portrait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6"/>
  <sheetViews>
    <sheetView workbookViewId="0">
      <pane ySplit="9" topLeftCell="A10" activePane="bottomLeft" state="frozen"/>
      <selection/>
      <selection pane="bottomLeft" activeCell="F10" sqref="F10"/>
    </sheetView>
  </sheetViews>
  <sheetFormatPr defaultColWidth="9" defaultRowHeight="13.05"/>
  <cols>
    <col min="1" max="1" width="8.1271186440678" customWidth="1"/>
    <col min="2" max="4" width="28.5" customWidth="1"/>
    <col min="5" max="5" width="1.88135593220339" customWidth="1"/>
    <col min="6" max="20" width="4.75423728813559" customWidth="1"/>
    <col min="21" max="21" width="2.88135593220339" customWidth="1"/>
  </cols>
  <sheetData>
    <row r="1" ht="13.5" customHeight="1" spans="1:22">
      <c r="A1" s="1"/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5" customHeight="1" spans="1:22">
      <c r="A2" s="5" t="s">
        <v>459</v>
      </c>
      <c r="B2" s="5"/>
      <c r="C2" s="6" t="str">
        <f>Functions!E67</f>
        <v>BE-SUB-03</v>
      </c>
      <c r="D2" s="6"/>
      <c r="E2" s="6"/>
      <c r="F2" s="7" t="s">
        <v>100</v>
      </c>
      <c r="G2" s="7"/>
      <c r="H2" s="7"/>
      <c r="I2" s="7"/>
      <c r="J2" s="7"/>
      <c r="K2" s="7"/>
      <c r="L2" s="8" t="str">
        <f>Functions!D67</f>
        <v>CheckCoachGenerationAsync / CheckGeneratePersonalSetAsync</v>
      </c>
      <c r="M2" s="8"/>
      <c r="N2" s="8"/>
      <c r="O2" s="8"/>
      <c r="P2" s="8"/>
      <c r="Q2" s="8"/>
      <c r="R2" s="8"/>
      <c r="S2" s="8"/>
      <c r="T2" s="8"/>
      <c r="U2" s="3"/>
      <c r="V2" s="9"/>
    </row>
    <row r="3" ht="13.5" customHeight="1" spans="1:22">
      <c r="A3" s="10" t="s">
        <v>460</v>
      </c>
      <c r="B3" s="10"/>
      <c r="C3" s="11" t="s">
        <v>802</v>
      </c>
      <c r="D3" s="11"/>
      <c r="E3" s="11"/>
      <c r="F3" s="12" t="s">
        <v>462</v>
      </c>
      <c r="G3" s="12"/>
      <c r="H3" s="12"/>
      <c r="I3" s="12"/>
      <c r="J3" s="12"/>
      <c r="K3" s="12"/>
      <c r="L3" s="13" t="s">
        <v>461</v>
      </c>
      <c r="M3" s="13"/>
      <c r="N3" s="13"/>
      <c r="O3" s="13"/>
      <c r="P3" s="13"/>
      <c r="Q3" s="13"/>
      <c r="R3" s="13"/>
      <c r="S3" s="13"/>
      <c r="T3" s="13"/>
      <c r="U3" s="3"/>
      <c r="V3" s="3"/>
    </row>
    <row r="4" ht="13.5" customHeight="1" spans="1:22">
      <c r="A4" s="10" t="s">
        <v>463</v>
      </c>
      <c r="B4" s="10"/>
      <c r="C4" s="14">
        <v>44</v>
      </c>
      <c r="D4" s="14"/>
      <c r="E4" s="14"/>
      <c r="F4" s="12" t="s">
        <v>464</v>
      </c>
      <c r="G4" s="12"/>
      <c r="H4" s="12"/>
      <c r="I4" s="12"/>
      <c r="J4" s="12"/>
      <c r="K4" s="12"/>
      <c r="L4" s="15">
        <f>IF(Functions!E6&lt;&gt;"N/A",SUM(C4*Functions!E6/1000,-O7),"N/A")</f>
        <v>0.4</v>
      </c>
      <c r="M4" s="15"/>
      <c r="N4" s="15"/>
      <c r="O4" s="15"/>
      <c r="P4" s="15"/>
      <c r="Q4" s="15"/>
      <c r="R4" s="15"/>
      <c r="S4" s="15"/>
      <c r="T4" s="15"/>
      <c r="U4" s="3"/>
      <c r="V4" s="9"/>
    </row>
    <row r="5" ht="14" customHeight="1" spans="1:22">
      <c r="A5" s="10" t="s">
        <v>465</v>
      </c>
      <c r="B5" s="10"/>
      <c r="C5" s="16" t="s">
        <v>439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3"/>
      <c r="V5" s="3"/>
    </row>
    <row r="6" ht="13.5" customHeight="1" spans="1:22">
      <c r="A6" s="17" t="s">
        <v>446</v>
      </c>
      <c r="B6" s="17"/>
      <c r="C6" s="18" t="s">
        <v>447</v>
      </c>
      <c r="D6" s="18"/>
      <c r="E6" s="18"/>
      <c r="F6" s="18" t="s">
        <v>448</v>
      </c>
      <c r="G6" s="18"/>
      <c r="H6" s="18"/>
      <c r="I6" s="18"/>
      <c r="J6" s="18"/>
      <c r="K6" s="18"/>
      <c r="L6" s="19" t="s">
        <v>466</v>
      </c>
      <c r="M6" s="19"/>
      <c r="N6" s="19"/>
      <c r="O6" s="18" t="s">
        <v>451</v>
      </c>
      <c r="P6" s="18"/>
      <c r="Q6" s="18"/>
      <c r="R6" s="18"/>
      <c r="S6" s="18"/>
      <c r="T6" s="18"/>
      <c r="U6" s="3"/>
      <c r="V6" s="9"/>
    </row>
    <row r="7" ht="13.5" customHeight="1" spans="1:22">
      <c r="A7" s="20">
        <f>COUNTIF(F23:T23,"P")</f>
        <v>4</v>
      </c>
      <c r="B7" s="20"/>
      <c r="C7" s="21">
        <f>COUNTIF(F23:T23,"F")</f>
        <v>0</v>
      </c>
      <c r="D7" s="21"/>
      <c r="E7" s="21"/>
      <c r="F7" s="21">
        <f>SUM(O7,-A7,-C7)</f>
        <v>0</v>
      </c>
      <c r="G7" s="21"/>
      <c r="H7" s="21"/>
      <c r="I7" s="21"/>
      <c r="J7" s="21"/>
      <c r="K7" s="21"/>
      <c r="L7" s="21">
        <f>COUNTIF(F22:T22,"N")</f>
        <v>0</v>
      </c>
      <c r="M7" s="21">
        <f>COUNTIF(F22:T22,"A")</f>
        <v>2</v>
      </c>
      <c r="N7" s="21">
        <f>COUNTIF(F22:T22,"B")</f>
        <v>2</v>
      </c>
      <c r="O7" s="21">
        <f>COUNTA(F9:T9)</f>
        <v>4</v>
      </c>
      <c r="P7" s="21"/>
      <c r="Q7" s="21"/>
      <c r="R7" s="21"/>
      <c r="S7" s="21"/>
      <c r="T7" s="21"/>
      <c r="U7" s="22"/>
      <c r="V7" s="3"/>
    </row>
    <row r="8" ht="12" customHeight="1" spans="1:22">
      <c r="A8" s="3"/>
      <c r="B8" s="23"/>
      <c r="C8" s="3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46.5" customHeight="1" spans="1:22">
      <c r="A9" s="24"/>
      <c r="B9" s="25"/>
      <c r="C9" s="26"/>
      <c r="D9" s="27"/>
      <c r="E9" s="26"/>
      <c r="F9" s="28" t="s">
        <v>467</v>
      </c>
      <c r="G9" s="28" t="s">
        <v>468</v>
      </c>
      <c r="H9" s="28" t="s">
        <v>469</v>
      </c>
      <c r="I9" s="28" t="s">
        <v>470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9"/>
      <c r="U9" s="30"/>
      <c r="V9" s="9"/>
    </row>
    <row r="10" ht="13.5" customHeight="1" spans="1:22">
      <c r="A10" s="31" t="s">
        <v>478</v>
      </c>
      <c r="B10" s="32" t="s">
        <v>479</v>
      </c>
      <c r="C10" s="33"/>
      <c r="D10" s="34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"/>
      <c r="V10" s="3"/>
    </row>
    <row r="11" ht="14" customHeight="1" spans="1:22">
      <c r="A11" s="38"/>
      <c r="B11" s="39" t="s">
        <v>440</v>
      </c>
      <c r="C11" s="39"/>
      <c r="D11" s="39"/>
      <c r="E11" s="35"/>
      <c r="F11" s="40" t="s">
        <v>481</v>
      </c>
      <c r="G11" s="40" t="s">
        <v>481</v>
      </c>
      <c r="H11" s="40" t="s">
        <v>481</v>
      </c>
      <c r="I11" s="40" t="s">
        <v>481</v>
      </c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3"/>
      <c r="V11" s="9"/>
    </row>
    <row r="12" ht="13.5" customHeight="1" spans="1:22">
      <c r="A12" s="31"/>
      <c r="B12" s="32" t="s">
        <v>483</v>
      </c>
      <c r="C12" s="33"/>
      <c r="D12" s="34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"/>
      <c r="V12" s="3"/>
    </row>
    <row r="13" ht="14" customHeight="1" spans="1:22">
      <c r="A13" s="38"/>
      <c r="B13" s="39" t="s">
        <v>1200</v>
      </c>
      <c r="C13" s="39"/>
      <c r="D13" s="39"/>
      <c r="E13" s="35"/>
      <c r="F13" s="40" t="s">
        <v>481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3"/>
      <c r="V13" s="9"/>
    </row>
    <row r="14" ht="14" customHeight="1" spans="1:22">
      <c r="A14" s="38"/>
      <c r="B14" s="39" t="s">
        <v>1201</v>
      </c>
      <c r="C14" s="39"/>
      <c r="D14" s="39"/>
      <c r="E14" s="35"/>
      <c r="F14" s="40"/>
      <c r="G14" s="40" t="s">
        <v>481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3"/>
      <c r="V14" s="9"/>
    </row>
    <row r="15" ht="14" customHeight="1" spans="1:22">
      <c r="A15" s="38"/>
      <c r="B15" s="39" t="s">
        <v>1202</v>
      </c>
      <c r="C15" s="39"/>
      <c r="D15" s="39"/>
      <c r="E15" s="35"/>
      <c r="F15" s="40"/>
      <c r="G15" s="40"/>
      <c r="H15" s="40" t="s">
        <v>481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3"/>
      <c r="V15" s="9"/>
    </row>
    <row r="16" ht="14" customHeight="1" spans="1:22">
      <c r="A16" s="38"/>
      <c r="B16" s="39" t="s">
        <v>1203</v>
      </c>
      <c r="C16" s="39"/>
      <c r="D16" s="39"/>
      <c r="E16" s="35"/>
      <c r="F16" s="40"/>
      <c r="G16" s="40"/>
      <c r="H16" s="40"/>
      <c r="I16" s="40" t="s">
        <v>481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3"/>
      <c r="V16" s="9"/>
    </row>
    <row r="17" ht="13.5" customHeight="1" spans="1:22">
      <c r="A17" s="42" t="s">
        <v>494</v>
      </c>
      <c r="B17" s="43" t="s">
        <v>495</v>
      </c>
      <c r="C17" s="44"/>
      <c r="D17" s="45"/>
      <c r="E17" s="4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7"/>
      <c r="U17" s="3"/>
      <c r="V17" s="3"/>
    </row>
    <row r="18" ht="14" customHeight="1" spans="1:22">
      <c r="A18" s="47"/>
      <c r="B18" s="39" t="s">
        <v>1196</v>
      </c>
      <c r="C18" s="39"/>
      <c r="D18" s="39"/>
      <c r="E18" s="48"/>
      <c r="F18" s="40" t="s">
        <v>481</v>
      </c>
      <c r="G18" s="40"/>
      <c r="H18" s="40"/>
      <c r="I18" s="40" t="s">
        <v>481</v>
      </c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3"/>
      <c r="V18" s="3"/>
    </row>
    <row r="19" ht="13.5" customHeight="1" spans="1:22">
      <c r="A19" s="42"/>
      <c r="B19" s="43" t="s">
        <v>913</v>
      </c>
      <c r="C19" s="44"/>
      <c r="D19" s="45"/>
      <c r="E19" s="4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7"/>
      <c r="U19" s="3"/>
      <c r="V19" s="3"/>
    </row>
    <row r="20" ht="14" customHeight="1" spans="1:22">
      <c r="A20" s="47"/>
      <c r="B20" s="39" t="s">
        <v>1204</v>
      </c>
      <c r="C20" s="39"/>
      <c r="D20" s="39"/>
      <c r="E20" s="48"/>
      <c r="F20" s="40"/>
      <c r="G20" s="40" t="s">
        <v>481</v>
      </c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1"/>
      <c r="U20" s="3"/>
      <c r="V20" s="3"/>
    </row>
    <row r="21" ht="14" customHeight="1" spans="1:22">
      <c r="A21" s="47"/>
      <c r="B21" s="39" t="s">
        <v>1205</v>
      </c>
      <c r="C21" s="39"/>
      <c r="D21" s="39"/>
      <c r="E21" s="48"/>
      <c r="F21" s="40"/>
      <c r="G21" s="40"/>
      <c r="H21" s="40" t="s">
        <v>481</v>
      </c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1"/>
      <c r="U21" s="3"/>
      <c r="V21" s="3"/>
    </row>
    <row r="22" ht="13.5" customHeight="1" spans="1:22">
      <c r="A22" s="42" t="s">
        <v>507</v>
      </c>
      <c r="B22" s="49" t="s">
        <v>508</v>
      </c>
      <c r="C22" s="49"/>
      <c r="D22" s="49"/>
      <c r="E22" s="50"/>
      <c r="F22" s="51" t="s">
        <v>450</v>
      </c>
      <c r="G22" s="51" t="s">
        <v>66</v>
      </c>
      <c r="H22" s="51" t="s">
        <v>66</v>
      </c>
      <c r="I22" s="51" t="s">
        <v>450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2"/>
      <c r="U22" s="3"/>
      <c r="V22" s="3"/>
    </row>
    <row r="23" ht="13.5" customHeight="1" spans="1:22">
      <c r="A23" s="47"/>
      <c r="B23" s="53" t="s">
        <v>509</v>
      </c>
      <c r="C23" s="53"/>
      <c r="D23" s="53"/>
      <c r="E23" s="54"/>
      <c r="F23" s="55" t="s">
        <v>510</v>
      </c>
      <c r="G23" s="55" t="s">
        <v>510</v>
      </c>
      <c r="H23" s="55" t="s">
        <v>510</v>
      </c>
      <c r="I23" s="55" t="s">
        <v>510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6"/>
      <c r="U23" s="3"/>
      <c r="V23" s="3"/>
    </row>
    <row r="24" ht="105" customHeight="1" spans="1:22">
      <c r="A24" s="47"/>
      <c r="B24" s="57" t="s">
        <v>511</v>
      </c>
      <c r="C24" s="57"/>
      <c r="D24" s="57"/>
      <c r="E24" s="58"/>
      <c r="F24" s="59" t="s">
        <v>53</v>
      </c>
      <c r="G24" s="59" t="s">
        <v>53</v>
      </c>
      <c r="H24" s="59" t="s">
        <v>53</v>
      </c>
      <c r="I24" s="59" t="s">
        <v>53</v>
      </c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60"/>
      <c r="U24" s="3"/>
      <c r="V24" s="3"/>
    </row>
    <row r="25" ht="20" customHeight="1" spans="1:22">
      <c r="A25" s="61"/>
      <c r="B25" s="62" t="s">
        <v>512</v>
      </c>
      <c r="C25" s="62"/>
      <c r="D25" s="62"/>
      <c r="E25" s="63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5"/>
      <c r="U25" s="3"/>
      <c r="V25" s="3"/>
    </row>
    <row r="26" ht="13.8"/>
  </sheetData>
  <mergeCells count="35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8:D18"/>
    <mergeCell ref="B20:D20"/>
    <mergeCell ref="B21:D21"/>
    <mergeCell ref="B22:D22"/>
    <mergeCell ref="B23:D23"/>
    <mergeCell ref="B24:D24"/>
    <mergeCell ref="B25:D25"/>
  </mergeCells>
  <dataValidations count="2">
    <dataValidation type="list" allowBlank="1" sqref="F22:I22">
      <formula1>"N,A,B"</formula1>
    </dataValidation>
    <dataValidation type="list" allowBlank="1" sqref="F23:I23">
      <formula1>"P,F"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61</vt:i4>
      </vt:variant>
    </vt:vector>
  </HeadingPairs>
  <TitlesOfParts>
    <vt:vector size="61" baseType="lpstr">
      <vt:lpstr>Guideline</vt:lpstr>
      <vt:lpstr>Cover</vt:lpstr>
      <vt:lpstr>Functions</vt:lpstr>
      <vt:lpstr>Statistics</vt:lpstr>
      <vt:lpstr>FE-AuthInterceptor</vt:lpstr>
      <vt:lpstr>FE-ExtractErrorMessage</vt:lpstr>
      <vt:lpstr>FE-AuthState</vt:lpstr>
      <vt:lpstr>FE-RoleRedirectExtractRole</vt:lpstr>
      <vt:lpstr>FE-CitationDisplay</vt:lpstr>
      <vt:lpstr>FE-InferTemplate-Detect</vt:lpstr>
      <vt:lpstr>FE-InferTemplate-Snippet</vt:lpstr>
      <vt:lpstr>FE-InferGeneratedTemplate</vt:lpstr>
      <vt:lpstr>FE-GamificationFormatters</vt:lpstr>
      <vt:lpstr>FE-TimeAgo</vt:lpstr>
      <vt:lpstr>FE-ComputeStreakDays</vt:lpstr>
      <vt:lpstr>FE-LabelsCompanyScore</vt:lpstr>
      <vt:lpstr>FE-AdminUserDisplay</vt:lpstr>
      <vt:lpstr>FE-GreetingLoginWelcome</vt:lpstr>
      <vt:lpstr>FE-FormatRelativeTime</vt:lpstr>
      <vt:lpstr>FE-NavUserDisplay</vt:lpstr>
      <vt:lpstr>FE-UrlAvatarMessages</vt:lpstr>
      <vt:lpstr>FE-SubscriptionRealtime</vt:lpstr>
      <vt:lpstr>FE-CandidatePlanCache</vt:lpstr>
      <vt:lpstr>BE-CvCoachPromptBuilder</vt:lpstr>
      <vt:lpstr>BE-SkillPlanResolveStatus</vt:lpstr>
      <vt:lpstr>BE-SkillMatchHelper</vt:lpstr>
      <vt:lpstr>BE-AchievementRules</vt:lpstr>
      <vt:lpstr>BE-LevelCalculator-Level</vt:lpstr>
      <vt:lpstr>BE-LevelCalculator-Xp</vt:lpstr>
      <vt:lpstr>BE-StreakCalculator</vt:lpstr>
      <vt:lpstr>BE-UserLocalDateProvider</vt:lpstr>
      <vt:lpstr>BE-XpRewardPolicy-Score</vt:lpstr>
      <vt:lpstr>BE-XpRewardPolicy-Bonus</vt:lpstr>
      <vt:lpstr>BE-PublishQuestionSelection</vt:lpstr>
      <vt:lpstr>BE-RubricNormalizer</vt:lpstr>
      <vt:lpstr>BE-CitationSourceScope</vt:lpstr>
      <vt:lpstr>BE-JdFitReviewMapper</vt:lpstr>
      <vt:lpstr>BE-JdFitContentHash</vt:lpstr>
      <vt:lpstr>BE-PracticeFeedbackMapper</vt:lpstr>
      <vt:lpstr>BE-SkillFitCalculator</vt:lpstr>
      <vt:lpstr>BE-RecommendationP1Rules</vt:lpstr>
      <vt:lpstr>BE-RecommendationIntakeScore</vt:lpstr>
      <vt:lpstr>BE-KnowledgeDocumentType</vt:lpstr>
      <vt:lpstr>BE-ProfileDtoValidator</vt:lpstr>
      <vt:lpstr>BE-JobDescriptionValidator</vt:lpstr>
      <vt:lpstr>BE-PlanMergeService</vt:lpstr>
      <vt:lpstr>BE-FocusAreaWeightHelper</vt:lpstr>
      <vt:lpstr>BE-FocusWeightOutline</vt:lpstr>
      <vt:lpstr>BE-HrSkillsHelper</vt:lpstr>
      <vt:lpstr>BE-JdClassifyGate</vt:lpstr>
      <vt:lpstr>BE-JdSeniority</vt:lpstr>
      <vt:lpstr>BE-RagPlanHrNoteBuilder</vt:lpstr>
      <vt:lpstr>BE-PlanFocusJdCompleter</vt:lpstr>
      <vt:lpstr>BE-PlanSettingsPatcher</vt:lpstr>
      <vt:lpstr>BE-PlanSettingsSnapshot</vt:lpstr>
      <vt:lpstr>BE-QuestionRegenHelper</vt:lpstr>
      <vt:lpstr>BE-QuestionTaxonomyMapper</vt:lpstr>
      <vt:lpstr>BE-RagQuestionMapper</vt:lpstr>
      <vt:lpstr>BE-HrGenerateWindow</vt:lpstr>
      <vt:lpstr>BE-GateHrGenerateRegen</vt:lpstr>
      <vt:lpstr>BE-GateCandidateCoach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Anh</dc:creator>
  <cp:lastModifiedBy>dangk</cp:lastModifiedBy>
  <dcterms:created xsi:type="dcterms:W3CDTF">2007-10-09T09:39:00Z</dcterms:created>
  <dcterms:modified xsi:type="dcterms:W3CDTF">2026-09-22T01:41:25Z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C3FA3827B75F47F599EAA524546EE428_12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