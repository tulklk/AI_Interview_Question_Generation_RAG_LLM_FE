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4360" firstSheet="9" activeTab="14"/>
  </bookViews>
  <sheets>
    <sheet name="Guideline" sheetId="1" r:id="rId1"/>
    <sheet name="Cover" sheetId="2" r:id="rId2"/>
    <sheet name="Functions" sheetId="3" r:id="rId3"/>
    <sheet name="Statistics" sheetId="4" r:id="rId4"/>
    <sheet name="DisplayManualQuestionForm" sheetId="5" r:id="rId5"/>
    <sheet name="ValidateJobTitleRequired" sheetId="6" r:id="rId6"/>
    <sheet name="ValidateQuestionContentRequired" sheetId="7" r:id="rId7"/>
    <sheet name="ValidateDurationBoundaryValue" sheetId="8" r:id="rId8"/>
    <sheet name="SaveQuestionSetSuccess" sheetId="9" r:id="rId9"/>
    <sheet name="DeleteQuestionMinLimitGuard" sheetId="10" r:id="rId10"/>
    <sheet name="ImportExcelValidFile" sheetId="11" r:id="rId11"/>
    <sheet name="ImportExcelInvalidFile" sheetId="12" r:id="rId12"/>
    <sheet name="ExportTxtValidation" sheetId="13" r:id="rId13"/>
    <sheet name="AiQuotaExceededManualLink" sheetId="14" r:id="rId14"/>
    <sheet name="UnauthorizedRoleAccessManualPag" sheetId="15" r:id="rId15"/>
    <sheet name="JdInputPasteValidation" sheetId="16" r:id="rId16"/>
    <sheet name="JdInputUploadFileTypes" sheetId="17" r:id="rId17"/>
    <sheet name="KnowledgeDocumentIngestionStatu" sheetId="18" r:id="rId18"/>
    <sheet name="SourcesPanelLockOnGenerate" sheetId="19" r:id="rId19"/>
    <sheet name="GenerateQuestionsSuccessFlow" sheetId="20" r:id="rId20"/>
    <sheet name="GenerateQuestionsAutoRetryRepla" sheetId="21" r:id="rId21"/>
    <sheet name="GenerateQuestionsFailedStatus" sheetId="22" r:id="rId22"/>
    <sheet name="GenerateQuestionsTimeoutDeadlin" sheetId="23" r:id="rId23"/>
    <sheet name="BackgroundPollResumeOnReload" sheetId="24" r:id="rId24"/>
    <sheet name="QuotaCooldownBlockingModal" sheetId="25" r:id="rId25"/>
    <sheet name="PlanApprovedLocksRefine" sheetId="26" r:id="rId26"/>
    <sheet name="QuestionEditDeleteRegenerate" sheetId="27" r:id="rId27"/>
    <sheet name="SaveDraftPublishShare" sheetId="28" r:id="rId28"/>
    <sheet name="GenerateFormRetired" sheetId="29" r:id="rId29"/>
    <sheet name="Token401SilentRefreshSuccess" sheetId="30" r:id="rId30"/>
    <sheet name="Token401RefreshFailureRedirect" sheetId="31" r:id="rId31"/>
    <sheet name="Token401NoRefreshTokenStored" sheetId="32" r:id="rId32"/>
    <sheet name="Token401OnRefreshEndpointItself" sheetId="33" r:id="rId33"/>
    <sheet name="Token401AlreadyRetriedOnce" sheetId="34" r:id="rId34"/>
    <sheet name="PublicAuthEndpoint401NoIntercep" sheetId="35" r:id="rId35"/>
    <sheet name="Forbidden403NoDedicatedHandling" sheetId="36" r:id="rId36"/>
    <sheet name="NoRoleGateOnHrRoutes" sheetId="37" r:id="rId37"/>
    <sheet name="SubscriptionErrorCodeCannedMess" sheetId="38" r:id="rId38"/>
    <sheet name="UnrecognizedErrorCodeFallback" sheetId="39" r:id="rId39"/>
    <sheet name="TimeoutRaw5xxNoFriendlyMessage" sheetId="40" r:id="rId40"/>
    <sheet name="SessionExpiryMidGenerationPolli" sheetId="41" r:id="rId41"/>
    <sheet name="ConcurrentRequests401Dedup" sheetId="42" r:id="rId42"/>
    <sheet name="RagServiceDeadCodeNoAuthHeader" sheetId="43" r:id="rId43"/>
    <sheet name="SampleJdModalCopyUse" sheetId="44" r:id="rId44"/>
    <sheet name="PublishedSetEditRestrictions" sheetId="45" r:id="rId45"/>
    <sheet name="ApplyPlanSettingsTimeout" sheetId="46" r:id="rId46"/>
    <sheet name="RefinePlanChatFlow" sheetId="47" r:id="rId47"/>
    <sheet name="StudioGenerationSettingsToggles" sheetId="48" r:id="rId48"/>
    <sheet name="NewSetResetsLockedPanels" sheetId="49" r:id="rId49"/>
    <sheet name="KnowledgeDocLibraryAttachVsUplo" sheetId="50" r:id="rId50"/>
    <sheet name="StudioChatRefineMultiTurn" sheetId="51" r:id="rId51"/>
    <sheet name="StudioApprovePlanButtonStates" sheetId="52" r:id="rId52"/>
    <sheet name="StudioQuestionListEmptyStateBef" sheetId="53" r:id="rId53"/>
    <sheet name="LoginSpecificAuthErrors" sheetId="54" r:id="rId54"/>
    <sheet name="CandidateForbiddenErrorMessages" sheetId="55" r:id="rId55"/>
    <sheet name="TokenStorageLocalStorageNotHttp" sheetId="56" r:id="rId56"/>
    <sheet name="SsrNoTokenAttachNoOp" sheetId="57" r:id="rId57"/>
    <sheet name="ClearAuthClearsCachedUserProfil" sheetId="58" r:id="rId58"/>
    <sheet name="RefreshTokenRotationOnSuccess" sheetId="59" r:id="rId59"/>
    <sheet name="ManualQuestionPageResponsiveLay" sheetId="60" r:id="rId60"/>
    <sheet name="ManualQuestionPageDarkLightThem" sheetId="61" r:id="rId61"/>
    <sheet name="StudioPageResponsiveLayout" sheetId="62" r:id="rId62"/>
    <sheet name="StudioPageDarkLightTheme" sheetId="63" r:id="rId63"/>
    <sheet name="QuotaModalResponsiveDisplay" sheetId="64" r:id="rId64"/>
    <sheet name="ToastNotificationPositioning" sheetId="65" r:id="rId65"/>
    <sheet name="FileUploadDropzoneVisualStates" sheetId="66" r:id="rId66"/>
    <sheet name="ButtonLoadingDisabledStates" sheetId="67" r:id="rId67"/>
    <sheet name="FormFieldValidationVisualStates" sheetId="68" r:id="rId68"/>
    <sheet name="NavigationSidebarResponsive" sheetId="69" r:id="rId69"/>
    <sheet name="ModalDialogPositioningZIndex" sheetId="70" r:id="rId70"/>
    <sheet name="TableGridResponsiveOverflow" sheetId="71" r:id="rId71"/>
    <sheet name="TooltipHoverDisplay" sheetId="72" r:id="rId72"/>
    <sheet name="LoadingSpinnerSkeletonStates" sheetId="73" r:id="rId73"/>
    <sheet name="AccessibilityKeyboardNavigation" sheetId="74" r:id="rId74"/>
    <sheet name="BrandingLogoHeaderConsistency" sheetId="75" r:id="rId75"/>
    <sheet name="RegisterHR" sheetId="76" r:id="rId76"/>
    <sheet name="Login" sheetId="77" r:id="rId77"/>
    <sheet name="RegisterJobSeeker" sheetId="78" r:id="rId78"/>
    <sheet name="VerifyEmail" sheetId="79" r:id="rId79"/>
    <sheet name="ForgotResetPassword" sheetId="80" r:id="rId80"/>
    <sheet name="AccessControl" sheetId="81" r:id="rId81"/>
    <sheet name="UpdateProfile" sheetId="82" r:id="rId82"/>
    <sheet name="ManageUsers" sheetId="83" r:id="rId83"/>
    <sheet name="GetTimeOfDayGreeting" sheetId="84" r:id="rId84"/>
    <sheet name="BuildWelcomeMessage" sheetId="85" r:id="rId85"/>
    <sheet name="FormatRelativeTimeInvalidDate" sheetId="86" r:id="rId86"/>
    <sheet name="FormatRelativeTimeAgeBuckets" sheetId="87" r:id="rId87"/>
    <sheet name="NormalizePathname" sheetId="88" r:id="rId88"/>
    <sheet name="IsAdminNavActive" sheetId="89" r:id="rId89"/>
    <sheet name="IsHrNavActive" sheetId="90" r:id="rId90"/>
    <sheet name="GetInitials" sheetId="91" r:id="rId91"/>
    <sheet name="ResolveAvatarUrl" sheetId="92" r:id="rId92"/>
    <sheet name="IsValidUrl" sheetId="93" r:id="rId93"/>
    <sheet name="MapAvatarUploadError" sheetId="94" r:id="rId94"/>
    <sheet name="AuthRoundTripLegacyFlagAndRealT" sheetId="95" r:id="rId95"/>
    <sheet name="UserRoleAndClearAuthCascade" sheetId="96" r:id="rId96"/>
    <sheet name="GetRoleRedirect" sheetId="97" r:id="rId97"/>
    <sheet name="ExtractRole" sheetId="98" r:id="rId98"/>
    <sheet name="IsJdCitation" sheetId="99" r:id="rId99"/>
    <sheet name="SortAndInjectJdCitation" sheetId="100" r:id="rId100"/>
    <sheet name="FormatCitationExcerptAndDisplay" sheetId="101" r:id="rId101"/>
    <sheet name="FormatXp" sheetId="102" r:id="rId102"/>
    <sheet name="GetLevelLabel" sheetId="103" r:id="rId103"/>
    <sheet name="LevelColorAndStreakIntensity" sheetId="104" r:id="rId104"/>
    <sheet name="XpRewardTypeLabel" sheetId="105" r:id="rId105"/>
    <sheet name="TimeAgo" sheetId="106" r:id="rId106"/>
    <sheet name="GetLoginWelcomeRoleFromRedirect" sheetId="107" r:id="rId107"/>
    <sheet name="LoginWelcomePendingFlagRoundTri" sheetId="108" r:id="rId108"/>
    <sheet name="SaveAndGetLocalSession" sheetId="109" r:id="rId109"/>
    <sheet name="PatchAndUpdateLocalSession" sheetId="110" r:id="rId110"/>
    <sheet name="ToGenerationSessionAndMalformed" sheetId="111" r:id="rId111"/>
    <sheet name="ValidateAvatarFile" sheetId="112" r:id="rId112"/>
    <sheet name="ComputeStreakDays" sheetId="113" r:id="rId113"/>
    <sheet name="TranslateDimensionKeyAndCategor" sheetId="114" r:id="rId114"/>
    <sheet name="CompanyInitialsAndColor" sheetId="115" r:id="rId115"/>
    <sheet name="ToBackendRoleFilterAndNormalize" sheetId="116" r:id="rId116"/>
    <sheet name="GetAdminUserStatusAndIsAdminRol" sheetId="117" r:id="rId117"/>
    <sheet name="BadgeClassAndCategoryLabelHelpe" sheetId="118" r:id="rId118"/>
    <sheet name="ScoreBadgeClassAndScoreLevel" sheetId="119" r:id="rId119"/>
    <sheet name="TemplateDetectionExplicitAndKey" sheetId="120" r:id="rId120"/>
    <sheet name="SnippetExtraction" sheetId="121" r:id="rId121"/>
    <sheet name="MetaParsingLangImageDiagramHint" sheetId="122" r:id="rId122"/>
    <sheet name="InferGeneratedQuestionTemplate" sheetId="123" r:id="rId123"/>
    <sheet name="ChangePasswordClientValidation" sheetId="124" r:id="rId124"/>
    <sheet name="ChangePasswordSubmitFlow" sheetId="125" r:id="rId125"/>
    <sheet name="XpHistoryStandaloneList" sheetId="126" r:id="rId126"/>
    <sheet name="XpHistoryEmbeddedMode" sheetId="127" r:id="rId127"/>
    <sheet name="DailyGoalPresetDisplay" sheetId="128" r:id="rId128"/>
    <sheet name="DailyGoalSaveFlow" sheetId="129" r:id="rId129"/>
    <sheet name="GamificationProgressCardDisplay" sheetId="130" r:id="rId130"/>
    <sheet name="AchievementGridFullVariant" sheetId="131" r:id="rId131"/>
    <sheet name="AchievementGridCompactVariant" sheetId="132" r:id="rId132"/>
    <sheet name="PlatformSettingsGeneralLoadSave" sheetId="133" r:id="rId133"/>
    <sheet name="PlatformSettingsPermissionsNoti" sheetId="134" r:id="rId134"/>
    <sheet name="PlatformSettingsComingSoonButto" sheetId="135" r:id="rId135"/>
    <sheet name="AiConfigLoadAndRetry" sheetId="136" r:id="rId136"/>
    <sheet name="AiConfigProviderSwitchAndSave" sheetId="137" r:id="rId137"/>
    <sheet name="ContentTableRowAndDeadDeleteBut" sheetId="138" r:id="rId138"/>
    <sheet name="CompanyManagementListingSearchR" sheetId="139" r:id="rId139"/>
    <sheet name="CompanyManagementCreateEditDele" sheetId="140" r:id="rId140"/>
    <sheet name="AdminKnowledgeWrapperWiring" sheetId="141" r:id="rId141"/>
    <sheet name="AdminDashboardKpisAndAlerts" sheetId="142" r:id="rId142"/>
    <sheet name="AdminDashboardRetryAndRefresh" sheetId="143" r:id="rId143"/>
    <sheet name="MarketplaceListingSearchAndErro" sheetId="144" r:id="rId144"/>
    <sheet name="MarketplacePinAndDetail" sheetId="145" r:id="rId145"/>
    <sheet name="PlansListingAndRefresh" sheetId="146" r:id="rId146"/>
    <sheet name="PlansEditSaveAndFailure" sheetId="147" r:id="rId147"/>
    <sheet name="PlansFreeVisiblePercentClamp" sheetId="148" r:id="rId148"/>
    <sheet name="HrDashboardKpisAndSections" sheetId="149" r:id="rId149"/>
    <sheet name="HrDashboardRetryAndNullFallback" sheetId="150" r:id="rId150"/>
    <sheet name="HistoryListingSearchAndFilter" sheetId="151" r:id="rId151"/>
    <sheet name="HistoryPublishUnpublishBookmark" sheetId="152" r:id="rId152"/>
    <sheet name="HistoryDeleteConfirmAndPublishe" sheetId="153" r:id="rId153"/>
    <sheet name="HistoryExportGatedByPlan" sheetId="154" r:id="rId154"/>
    <sheet name="BillingCurrentPlanDisplay" sheetId="155" r:id="rId155"/>
    <sheet name="BillingPaymentHistoryAndReceipt" sheetId="156" r:id="rId156"/>
    <sheet name="BillingComingSoonButtons" sheetId="157" r:id="rId157"/>
    <sheet name="BillingUpgradeAndCancel" sheetId="158" r:id="rId158"/>
    <sheet name="CandidateDashboardKpisAndSessio" sheetId="159" r:id="rId159"/>
    <sheet name="CandidateDashboardRecommendedSe" sheetId="160" r:id="rId160"/>
    <sheet name="CandidateProfileViewAndEditTogg" sheetId="161" r:id="rId161"/>
    <sheet name="CandidateProfileSaveValidationS" sheetId="162" r:id="rId162"/>
    <sheet name="CandidateProfileCvManagement" sheetId="163" r:id="rId163"/>
    <sheet name="CandidateSettingsTabRouting" sheetId="164" r:id="rId164"/>
    <sheet name="CandidateSettingsGeneral" sheetId="165" r:id="rId165"/>
    <sheet name="CandidateSettingsPrivacyPlanGat" sheetId="166" r:id="rId166"/>
    <sheet name="SubscriptionContextUserScopedPl" sheetId="167" r:id="rId167"/>
    <sheet name="UpgradeModalFinishPaidRetry" sheetId="168" r:id="rId168"/>
    <sheet name="FeedbackScorePollingUntilArriva" sheetId="169" r:id="rId169"/>
    <sheet name="FeedbackScoreTimeoutAndRetry" sheetId="170" r:id="rId170"/>
    <sheet name="HrBillingCurrentPlan" sheetId="171" r:id="rId171"/>
    <sheet name="HrBillingPaymentHistoryAndRecei" sheetId="172" r:id="rId172"/>
    <sheet name="HrBillingCancelToFreeFlow" sheetId="173" r:id="rId173"/>
    <sheet name="KnowledgePageListingAndErrors" sheetId="174" r:id="rId174"/>
    <sheet name="KnowledgeUploadAndSizeLimit" sheetId="175" r:id="rId175"/>
    <sheet name="KnowledgeDeleteConfirm" sheetId="176" r:id="rId176"/>
    <sheet name="RecommendationsListingFilterSea" sheetId="177" r:id="rId177"/>
    <sheet name="RecommendationsShortlistDismiss" sheetId="178" r:id="rId178"/>
    <sheet name="HrSettingsPreferencesNotificati" sheetId="179" r:id="rId179"/>
    <sheet name="InvitationsListingAndFilter" sheetId="180" r:id="rId180"/>
    <sheet name="InvitationsAcceptFlow" sheetId="181" r:id="rId181"/>
    <sheet name="InvitationsDeclineFlow" sheetId="182" r:id="rId182"/>
    <sheet name="MarketplaceBrowsingFilterSearch" sheetId="183" r:id="rId183"/>
    <sheet name="MarketplaceBookmarkAndNavigatio" sheetId="184" r:id="rId184"/>
    <sheet name="PracticeSessionStarting" sheetId="185" r:id="rId185"/>
    <sheet name="PracticeSessionResume" sheetId="186" r:id="rId186"/>
    <sheet name="PracticeSessionFinishAndSubmit" sheetId="187" r:id="rId187"/>
    <sheet name="PracticeSessionAutoCompletedFal" sheetId="188" r:id="rId188"/>
    <sheet name="PracticeSessionLockedQuestion" sheetId="189" r:id="rId189"/>
    <sheet name="PremiumRevokedDialogVisibilityA" sheetId="190" r:id="rId190"/>
    <sheet name="PremiumRevokedDialogUpgradeCta" sheetId="191" r:id="rId191"/>
    <sheet name="PremiumRevokedDialogCloseVarian" sheetId="192" r:id="rId192"/>
    <sheet name="SubscriptionHubConnectionNeverT" sheetId="193" r:id="rId193"/>
    <sheet name="SubscriptionRealtimeFallbackPol" sheetId="194" r:id="rId194"/>
    <sheet name="HealthCheckEndpoints" sheetId="195" r:id="rId195"/>
    <sheet name="InternalApiKeyAuthGate" sheetId="196" r:id="rId196"/>
    <sheet name="ChatEndpointValidation" sheetId="197" r:id="rId197"/>
    <sheet name="IngestSystemFilesValidation" sheetId="198" r:id="rId198"/>
    <sheet name="IngestHrFilesValidation" sheetId="199" r:id="rId199"/>
    <sheet name="JdValidationRules" sheetId="200" r:id="rId200"/>
    <sheet name="InterviewPlanStartValidation" sheetId="201" r:id="rId201"/>
    <sheet name="InterviewPlanMessagesClarifyLoo" sheetId="202" r:id="rId202"/>
    <sheet name="InterviewPlanConfirmValidation" sheetId="203" r:id="rId203"/>
    <sheet name="InterviewQuestionsGenerateValid" sheetId="204" r:id="rId204"/>
    <sheet name="ErrorResponseEnvelopeConsistenc" sheetId="205" r:id="rId205"/>
    <sheet name="LlmErrorMapping" sheetId="206" r:id="rId206"/>
    <sheet name="LegacyEndpointsDeprecation" sheetId="207" r:id="rId207"/>
    <sheet name="SynchronousBlockingNoTimeout" sheetId="208" r:id="rId208"/>
    <sheet name="NoCorsMiddlewareConfigured" sheetId="209" r:id="rId209"/>
    <sheet name="NoRateLimitingConfigured" sheetId="210" r:id="rId210"/>
    <sheet name="StartupNoFailFastValidation" sheetId="211" r:id="rId211"/>
    <sheet name="FileExtensionAllowList" sheetId="212" r:id="rId2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<sst xmlns="http://schemas.openxmlformats.org/spreadsheetml/2006/main" count="65767" uniqueCount="2701">
  <si>
    <t>Guideline to make and understand Unit Test Case</t>
  </si>
  <si>
    <t>1. Overview</t>
  </si>
  <si>
    <t xml:space="preserve"> - In the template, Unit test cases are based on functions. Each sheet presents test cases for one function.</t>
  </si>
  <si>
    <r>
      <rPr>
        <sz val="10"/>
        <color theme="1"/>
        <rFont val="Tahoma"/>
        <charset val="134"/>
      </rPr>
      <t xml:space="preserve"> - </t>
    </r>
    <r>
      <rPr>
        <b/>
        <sz val="10"/>
        <color theme="1"/>
        <rFont val="Tahoma"/>
        <charset val="134"/>
      </rPr>
      <t>Cover</t>
    </r>
    <r>
      <rPr>
        <sz val="10"/>
        <color theme="1"/>
        <rFont val="Tahoma"/>
        <charset val="134"/>
      </rPr>
      <t>: General information of the project and Unit Test cases</t>
    </r>
  </si>
  <si>
    <r>
      <rPr>
        <sz val="10"/>
        <color theme="1"/>
        <rFont val="Tahoma"/>
        <charset val="134"/>
      </rPr>
      <t xml:space="preserve"> - </t>
    </r>
    <r>
      <rPr>
        <b/>
        <sz val="10"/>
        <color theme="1"/>
        <rFont val="Tahoma"/>
        <charset val="134"/>
      </rPr>
      <t>FunctionList</t>
    </r>
    <r>
      <rPr>
        <sz val="10"/>
        <color theme="1"/>
        <rFont val="Tahoma"/>
        <charset val="134"/>
      </rPr>
      <t xml:space="preserve">: The list of Classes and Functions in the document. 
     + To control that the number of Unit TC meets customer's requirement or the norm, user should fill value for  
     'Normal number of Test cases/KLOC'. </t>
    </r>
  </si>
  <si>
    <r>
      <rPr>
        <sz val="10"/>
        <color theme="1"/>
        <rFont val="Tahoma"/>
        <charset val="134"/>
      </rPr>
      <t xml:space="preserve">     + Click on Function link to open the related Test cases of the function.  
     </t>
    </r>
    <r>
      <rPr>
        <i/>
        <sz val="10"/>
        <color theme="1"/>
        <rFont val="Tahoma"/>
        <charset val="134"/>
      </rPr>
      <t>Note:</t>
    </r>
    <r>
      <rPr>
        <sz val="10"/>
        <color theme="1"/>
        <rFont val="Tahoma"/>
        <charset val="134"/>
      </rPr>
      <t xml:space="preserve"> You should create new Function sheet before creating the link</t>
    </r>
  </si>
  <si>
    <r>
      <rPr>
        <sz val="10"/>
        <color theme="1"/>
        <rFont val="Tahoma"/>
        <charset val="134"/>
      </rPr>
      <t xml:space="preserve"> - </t>
    </r>
    <r>
      <rPr>
        <b/>
        <sz val="10"/>
        <color theme="1"/>
        <rFont val="Tahoma"/>
        <charset val="134"/>
      </rPr>
      <t>Test Report</t>
    </r>
    <r>
      <rPr>
        <sz val="10"/>
        <color theme="1"/>
        <rFont val="Tahoma"/>
        <charset val="134"/>
      </rPr>
      <t>: provive the overview results of Functions Unit test: Test coverage, Test successful coverage 
    (Summary, for normal/abnormal/boundary cases)</t>
    </r>
  </si>
  <si>
    <t xml:space="preserve">     Note:  Should check the formula of "Sub Total" if you add more functions</t>
  </si>
  <si>
    <t>2. Content in Test function sheet</t>
  </si>
  <si>
    <t>2.1 Combination of test cases.</t>
  </si>
  <si>
    <t xml:space="preserve"> - To verify that number of Unit TC meets customer's requirement or not. User has to fill number LOC of tested function and fill value of 'Normal number test cases/KLOC' item in FunctionList sheet, which is required by customer or normal value. The number of lacked TC is shown in 'Lack of test cases' item.</t>
  </si>
  <si>
    <t xml:space="preserve"> - If the number of Unit TC does not meet the requirement, creator should explain the reasons.</t>
  </si>
  <si>
    <t xml:space="preserve"> - If the number of  'Normal number test cases/KLOC' item in FunctionList sheet is not recorded, the number in 'Lack of test cases' is not calculated.</t>
  </si>
  <si>
    <t xml:space="preserve"> 2.2 Condition and confirmation of Test cases.</t>
  </si>
  <si>
    <t xml:space="preserve"> Each test case is the combination of condition and confirmation.</t>
  </si>
  <si>
    <t>a. Condition:</t>
  </si>
  <si>
    <t xml:space="preserve">        - Condition is combination of precondition and values of inputs.</t>
  </si>
  <si>
    <t xml:space="preserve">        - Precondition: it is setting condition that must exist before execution of the test case. 
                    Example: file A is precondition for the test case that needs to access file A.</t>
  </si>
  <si>
    <t xml:space="preserve">        - Values of inputs: it includes 3 types of values: normal, boundary and abnormal.</t>
  </si>
  <si>
    <t xml:space="preserve">                . Normal values are values of inputs used mainly and usually to ensure the function works.</t>
  </si>
  <si>
    <t xml:space="preserve">                . Boundary values are limited values that contain upper and lower values.</t>
  </si>
  <si>
    <t xml:space="preserve">                . Abnormal values are non-expected values. And normally it processes exception cases.   </t>
  </si>
  <si>
    <t xml:space="preserve"> </t>
  </si>
  <si>
    <t xml:space="preserve">        - For examples:</t>
  </si>
  <si>
    <t xml:space="preserve">            Input value belongs to 5&lt;= input &lt;=10.</t>
  </si>
  <si>
    <t xml:space="preserve">               . 6,7,8,9 are normal values.</t>
  </si>
  <si>
    <t xml:space="preserve">               . 5, 10 are boundary values.</t>
  </si>
  <si>
    <t xml:space="preserve">               . -1, 11,... are abnormal values.   </t>
  </si>
  <si>
    <t xml:space="preserve">b. Confirmation: </t>
  </si>
  <si>
    <t xml:space="preserve">        - It is combination of expected result to check output of each function. 
          If the results are the same with confirmation, the test case is passed, other case it is failed. </t>
  </si>
  <si>
    <t xml:space="preserve">        - Confirmation can include:</t>
  </si>
  <si>
    <t xml:space="preserve">                + Output result of the function.</t>
  </si>
  <si>
    <t xml:space="preserve">                + Output log messages in log file.</t>
  </si>
  <si>
    <t xml:space="preserve">                + Output screen message...</t>
  </si>
  <si>
    <t>c. Type of test cases and result:</t>
  </si>
  <si>
    <t xml:space="preserve">        - Type of test case: It includes normal, boundary and abnormal test cases. User selects the type based on the type of input data.</t>
  </si>
  <si>
    <r>
      <rPr>
        <sz val="10"/>
        <color theme="1"/>
        <rFont val="Tahoma"/>
        <charset val="134"/>
      </rPr>
      <t xml:space="preserve">        - Test case result: the actual output results comparing with the Confirmation.
                 </t>
    </r>
    <r>
      <rPr>
        <b/>
        <sz val="10"/>
        <color theme="1"/>
        <rFont val="Tahoma"/>
        <charset val="134"/>
      </rPr>
      <t>P</t>
    </r>
    <r>
      <rPr>
        <sz val="10"/>
        <color theme="1"/>
        <rFont val="Tahoma"/>
        <charset val="134"/>
      </rPr>
      <t xml:space="preserve"> for Passed and </t>
    </r>
    <r>
      <rPr>
        <b/>
        <sz val="10"/>
        <color theme="1"/>
        <rFont val="Tahoma"/>
        <charset val="134"/>
      </rPr>
      <t>F</t>
    </r>
    <r>
      <rPr>
        <sz val="10"/>
        <color theme="1"/>
        <rFont val="Tahoma"/>
        <charset val="134"/>
      </rPr>
      <t xml:space="preserve"> for Failed cases.
          It can 'OK' or 'NG' (it depends on habit of the teams or customers)</t>
    </r>
  </si>
  <si>
    <t xml:space="preserve"> 2.3. Other items:</t>
  </si>
  <si>
    <t xml:space="preserve"> - Function Code: it is ID of the function and updated automatically according to FunctionList sheet.</t>
  </si>
  <si>
    <t xml:space="preserve"> - Function Name: it is name  of the function and updated automatically according to FunctionList sheet.</t>
  </si>
  <si>
    <t xml:space="preserve"> - Created By: Name of creator.</t>
  </si>
  <si>
    <t xml:space="preserve"> - Executed By: Name of person who executes the unit test</t>
  </si>
  <si>
    <t xml:space="preserve"> - Lines of code: Number of Code line of the function.</t>
  </si>
  <si>
    <t xml:space="preserve"> - Test requirement: Brief description about requirements which are tested in this function, it is not mandatory.</t>
  </si>
  <si>
    <t xml:space="preserve">         </t>
  </si>
  <si>
    <t>UNIT &amp; API TEST DOCUMENT</t>
  </si>
  <si>
    <t>Project Name</t>
  </si>
  <si>
    <t>IQGS – AI-Powered Interview Question Generation System Using RAG and LLM – A Dual-Sided Platform for Recruiters and Job Seekers</t>
  </si>
  <si>
    <t>Creator</t>
  </si>
  <si>
    <t>NamNM</t>
  </si>
  <si>
    <t>Project Code</t>
  </si>
  <si>
    <t>SU26SE102</t>
  </si>
  <si>
    <t>Issue Date</t>
  </si>
  <si>
    <t>Document Code</t>
  </si>
  <si>
    <t>Version</t>
  </si>
  <si>
    <t>v0.1</t>
  </si>
  <si>
    <t>Record of change</t>
  </si>
  <si>
    <t>Effective Date</t>
  </si>
  <si>
    <t>Change Item</t>
  </si>
  <si>
    <t>*A,D,M</t>
  </si>
  <si>
    <t>Change description</t>
  </si>
  <si>
    <t>Reference</t>
  </si>
  <si>
    <t>0.0.1</t>
  </si>
  <si>
    <t>A</t>
  </si>
  <si>
    <t>Add project information and record of change table</t>
  </si>
  <si>
    <t>0.2.0</t>
  </si>
  <si>
    <t>Cover title</t>
  </si>
  <si>
    <t>M</t>
  </si>
  <si>
    <t>Retitled from "UNIT TEST DOCUMENT" to "UNIT &amp; API TEST DOCUMENT", the workbook documents both FE Vitest scenarios and 18 real BE (RAG_IQGS) API test scenarios, not FE unit tests alone.</t>
  </si>
  <si>
    <t/>
  </si>
  <si>
    <t>Function List</t>
  </si>
  <si>
    <t xml:space="preserve">Normal number of Test cases/KLOC </t>
  </si>
  <si>
    <t>Test Environment Setup Description</t>
  </si>
  <si>
    <t>&lt;List enviroment requires in this system
1. Server
2. Database
3. Web Browser
...
&gt;</t>
  </si>
  <si>
    <t>No</t>
  </si>
  <si>
    <t>Requirement
Name</t>
  </si>
  <si>
    <t>Class Name</t>
  </si>
  <si>
    <t>Function Name</t>
  </si>
  <si>
    <t xml:space="preserve"> Function Code(Optional)</t>
  </si>
  <si>
    <t>Sheet Name</t>
  </si>
  <si>
    <t>Description</t>
  </si>
  <si>
    <t>Pre-Condition</t>
  </si>
  <si>
    <t>Manual Question Creation (HR)</t>
  </si>
  <si>
    <t>ManualQuestionModule</t>
  </si>
  <si>
    <t>DisplayManualQuestionForm</t>
  </si>
  <si>
    <t>FE_MQ_001</t>
  </si>
  <si>
    <t>Display manual question creation form with default fields when HR opens /hr/generate/manual</t>
  </si>
  <si>
    <t>HR user is logged in; Network is connected</t>
  </si>
  <si>
    <t>ValidateJobTitleRequired</t>
  </si>
  <si>
    <t>FE_MQ_002</t>
  </si>
  <si>
    <t>Validate that saving a question set requires a non-blank job title</t>
  </si>
  <si>
    <t>HR is on the manual question page; At least 1 question row is filled</t>
  </si>
  <si>
    <t>ValidateQuestionContentRequired</t>
  </si>
  <si>
    <t>FE_MQ_003</t>
  </si>
  <si>
    <t>Validate question content requirement rules before a question set can be saved</t>
  </si>
  <si>
    <t>Job title is valid ("QA Engineer")</t>
  </si>
  <si>
    <t>ValidateDurationBoundaryValue</t>
  </si>
  <si>
    <t>FE_MQ_004</t>
  </si>
  <si>
    <t>Verify interview duration input clamping at its min/max boundaries (input: min=15, max=240, step=5)</t>
  </si>
  <si>
    <t>14 (below min 15); 240 (at max); 9999 (above max 240)</t>
  </si>
  <si>
    <t>SaveQuestionSetSuccess</t>
  </si>
  <si>
    <t>FE_MQ_005</t>
  </si>
  <si>
    <t>Verify the save flow's loading/success UX across browsers (client-side only, no real persistence)</t>
  </si>
  <si>
    <t>Job title and all question rows are valid</t>
  </si>
  <si>
    <t>DeleteQuestionMinLimitGuard</t>
  </si>
  <si>
    <t>FE_MQ_006</t>
  </si>
  <si>
    <t>Verify the delete (trash) action is guarded so at least 1 question row always remains</t>
  </si>
  <si>
    <t>Starts with 5 questions, delete down to 1; Starts with 2 questions, delete 1; Exactly 1 question remaining</t>
  </si>
  <si>
    <t>ImportExcelValidFile</t>
  </si>
  <si>
    <t>FE_MQ_007</t>
  </si>
  <si>
    <t>Verify importing questions from a valid .xlsx file (downloaded template)</t>
  </si>
  <si>
    <t>Existing rows present, valid .xlsx from the template; Contains a typo'd Type value (e.g. "Techncal")</t>
  </si>
  <si>
    <t>ImportExcelInvalidFile</t>
  </si>
  <si>
    <t>FE_MQ_008</t>
  </si>
  <si>
    <t>Verify rejection handling for unsupported, empty, or unreadable import files</t>
  </si>
  <si>
    <t>a .pdf or .docx file; a valid .xlsx with all rows blank; a corrupted/renamed .xlsx (not a real Excel binary)</t>
  </si>
  <si>
    <t>ExportTxtValidation</t>
  </si>
  <si>
    <t>FE_MQ_009</t>
  </si>
  <si>
    <t>Verify "Export .txt" requires a job title and at least 1 filled question before downloading</t>
  </si>
  <si>
    <t>Empty title, 0 questions; Valid title, 0 filled questions; Valid title, &gt;=1 filled question</t>
  </si>
  <si>
    <t>AiQuotaExceededManualLink</t>
  </si>
  <si>
    <t>FE_MQ_010</t>
  </si>
  <si>
    <t>Verify HR can reach manual creation from the AI-quota-exceeded banner/dialog once the Free-plan cooldown is hit</t>
  </si>
  <si>
    <t>Free plan, quota exhausted, on /hr/generate; Free plan, quota exhausted, on Studio JD flow; Premium plan, generateUnlimited = true</t>
  </si>
  <si>
    <t>UnauthorizedRoleAccessManualPage</t>
  </si>
  <si>
    <t>FE_MQ_011</t>
  </si>
  <si>
    <t>UnauthorizedRoleAccessManualPag</t>
  </si>
  <si>
    <t>Verify behavior when a non-HR account directly navigates to /hr/generate/manual by URL (no client-side role guard found in code)</t>
  </si>
  <si>
    <t>Candidate role; Admin role; Guest (not logged in)</t>
  </si>
  <si>
    <t>AI Question Generation Flow (Studio / Generate Form)</t>
  </si>
  <si>
    <t>HRRAGFlowGenerateQuestions</t>
  </si>
  <si>
    <t>JdInputPasteValidation</t>
  </si>
  <si>
    <t>FE_RAG_001</t>
  </si>
  <si>
    <t>Studio: validate JD paste input behavior - no minimum length enforced, Save &amp; Analyze disabled only when empty</t>
  </si>
  <si>
    <t>HR is on the Studio JD input step</t>
  </si>
  <si>
    <t>JdInputUploadFileTypes</t>
  </si>
  <si>
    <t>FE_RAG_002</t>
  </si>
  <si>
    <t>Studio: validate accepted JD upload file types (.pdf/.docx/.txt/.jpg/.jpeg/.png) and the missing client-side size check</t>
  </si>
  <si>
    <t>.pdf file; .docx file; .txt file; .jpg / .png image file; unsupported type (.xlsx); accepted type but file is well over the "max 20MB" label</t>
  </si>
  <si>
    <t>KnowledgeDocumentIngestionStatus</t>
  </si>
  <si>
    <t>FE_RAG_003</t>
  </si>
  <si>
    <t>KnowledgeDocumentIngestionStatu</t>
  </si>
  <si>
    <t>Studio: verify RAG ingestion status chips for attached Knowledge Base documents and checkbox gating</t>
  </si>
  <si>
    <t>HR has uploaded/attached a knowledge document</t>
  </si>
  <si>
    <t>SourcesPanelLockOnGenerate</t>
  </si>
  <si>
    <t>FE_RAG_004</t>
  </si>
  <si>
    <t>Studio: verify Sources/Inspector panels lock once generation starts or questions already exist</t>
  </si>
  <si>
    <t>Not generating, no questions yet; Generation in progress (isGeneratingQuestions); Questions already exist from a prior generation</t>
  </si>
  <si>
    <t>GenerateQuestionsSuccessFlow</t>
  </si>
  <si>
    <t>FE_RAG_005</t>
  </si>
  <si>
    <t>Studio: verify the happy-path Generate Questions flow (toast, 2.5s polling, success)</t>
  </si>
  <si>
    <t>Plan is approved and ready to generate</t>
  </si>
  <si>
    <t>GenerateQuestionsAutoRetryReplace</t>
  </si>
  <si>
    <t>FE_RAG_006</t>
  </si>
  <si>
    <t>GenerateQuestionsAutoRetryRepla</t>
  </si>
  <si>
    <t>Studio: verify auto-retry with replaceExisting:true when backend returns QUESTIONS_ALREADY_EXIST</t>
  </si>
  <si>
    <t>Plan has no existing questions yet; Plan already has questions from a prior generation</t>
  </si>
  <si>
    <t>GenerateQuestionsFailedStatus</t>
  </si>
  <si>
    <t>FE_RAG_007</t>
  </si>
  <si>
    <t>Studio: verify a Failed generation run surfaces the backend errorCode/errorMessage via toast</t>
  </si>
  <si>
    <t>Failed, errorCode and errorMessage both present; Failed, only errorCode present; Failed, neither errorCode nor errorMessage present</t>
  </si>
  <si>
    <t>GenerateQuestionsTimeoutDeadline</t>
  </si>
  <si>
    <t>FE_RAG_008</t>
  </si>
  <si>
    <t>GenerateQuestionsTimeoutDeadlin</t>
  </si>
  <si>
    <t>Studio: verify behavior when a generation run exceeds the 5-minute polling deadline</t>
  </si>
  <si>
    <t>Completes just under 5 minutes; Still Pending/Generating past the 5-minute mark</t>
  </si>
  <si>
    <t>BackgroundPollResumeOnReload</t>
  </si>
  <si>
    <t>FE_RAG_009</t>
  </si>
  <si>
    <t>Studio: verify a Pending/Generating run resumes polling automatically after page reload/tab-switch</t>
  </si>
  <si>
    <t>Run status is Pending; Run status is Generating; Run already Completed before reload</t>
  </si>
  <si>
    <t>QuotaCooldownBlockingModal</t>
  </si>
  <si>
    <t>FE_RAG_010</t>
  </si>
  <si>
    <t>Studio: verify the full-page blocking quota modal (Free plan cooldown), including the new suppression while a run is already in flight</t>
  </si>
  <si>
    <t>Free plan, within 24h cooldown, no generation currently in flight; Free plan, cooldown period has passed; Premium plan (generateUnlimited = true); Free plan quota exceeded, but a generation run is currently in flight (isGeneratingQuestions, or generationRun.status is Generating/Pending, or isStreaming); Free plan quota exceeded; the previously in-flight run just completed or failed</t>
  </si>
  <si>
    <t>PlanApprovedLocksRefine</t>
  </si>
  <si>
    <t>FE_RAG_011</t>
  </si>
  <si>
    <t>Studio: verify refine/apply-settings are blocked once a plan is approved, without hitting the API</t>
  </si>
  <si>
    <t>Plan is in draft / not approved; Plan is approved, HR sends a refine chat message; Plan is approved, HR tries to apply settings</t>
  </si>
  <si>
    <t>QuestionEditDeleteRegenerate</t>
  </si>
  <si>
    <t>FE_RAG_012</t>
  </si>
  <si>
    <t>Studio: verify per-question edit/delete/AI-regenerate actions after generation, including the hard-coded estimatedMinutes bug</t>
  </si>
  <si>
    <t>HR edits a question's content/difficulty/type and saves; HR deletes a question; HR clicks AI-regenerate on a single question; HR double-clicks AI-regenerate rapidly on the same question</t>
  </si>
  <si>
    <t>SaveDraftPublishShare</t>
  </si>
  <si>
    <t>FE_RAG_013</t>
  </si>
  <si>
    <t>Studio: verify Save Draft / Publish / Unpublish / Create Share link / New Session actions</t>
  </si>
  <si>
    <t>Click Save Draft; Click Publish; Click Unpublish on a published set; Click Create Share link; Start a new session from a shared link</t>
  </si>
  <si>
    <t>GenerateFormRetired</t>
  </si>
  <si>
    <t>FE_RAG_014</t>
  </si>
  <si>
    <t>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</si>
  <si>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HR navigates to /hr/generate</t>
  </si>
  <si>
    <t>Auth / Session Error Handling</t>
  </si>
  <si>
    <t>HRRAGAuthErrorHandling</t>
  </si>
  <si>
    <t>Token401SilentRefreshSuccess</t>
  </si>
  <si>
    <t>FE_RAGAUTH_001</t>
  </si>
  <si>
    <t>Verify a 401 on any HR/RAG-adjacent call triggers a silent token refresh + transparent retry when refresh succeeds</t>
  </si>
  <si>
    <t>Studio getGenerationRun poll request; GenerateForm getGenerationJob poll request; A normal HR action call (e.g. Save Draft)</t>
  </si>
  <si>
    <t>Token401RefreshFailureRedirect</t>
  </si>
  <si>
    <t>FE_RAGAUTH_002</t>
  </si>
  <si>
    <t>Verify a 401 with a failed refresh results in silent clearAuth + hard redirect to /login, with zero toast/message</t>
  </si>
  <si>
    <t>Refresh endpoint returns a non-2xx response; Refresh call fails due to a network error; Refresh response has no parseable accessToken/access_token/token field</t>
  </si>
  <si>
    <t>Token401NoRefreshTokenStored</t>
  </si>
  <si>
    <t>FE_RAGAUTH_003</t>
  </si>
  <si>
    <t>Verify immediate redirect when no refresh token exists in storage at all</t>
  </si>
  <si>
    <t>getRefreshToken() returns null (no refresh token stored)</t>
  </si>
  <si>
    <t>Token401OnRefreshEndpointItself</t>
  </si>
  <si>
    <t>FE_RAGAUTH_004</t>
  </si>
  <si>
    <t>Verify a 401 on the refresh-token call itself is treated as unrecoverable (no further retry)</t>
  </si>
  <si>
    <t>The failing request's URL matches the refresh-token endpoint itself</t>
  </si>
  <si>
    <t>Token401AlreadyRetriedOnce</t>
  </si>
  <si>
    <t>FE_RAGAUTH_005</t>
  </si>
  <si>
    <t>Verify a second 401 on an already-retried request is treated as unrecoverable</t>
  </si>
  <si>
    <t>The request already has _retry=true from a prior refresh-and-retry cycle</t>
  </si>
  <si>
    <t>PublicAuthEndpoint401NoInterceptor</t>
  </si>
  <si>
    <t>FE_RAGAUTH_006</t>
  </si>
  <si>
    <t>PublicAuthEndpoint401NoIntercep</t>
  </si>
  <si>
    <t>Verify 401s on public auth endpoints (login/register/verify-email/etc.) bypass the refresh/redirect interceptor entirely</t>
  </si>
  <si>
    <t>/api/auth/login returns 401 (wrong credentials); /api/auth/register returns 401; /api/auth/verify-email returns 401 (expired link)</t>
  </si>
  <si>
    <t>Forbidden403NoDedicatedHandling</t>
  </si>
  <si>
    <t>FE_RAGAUTH_007</t>
  </si>
  <si>
    <t>Verify 403 responses on HR/Studio/RAG-adjacent endpoints have no dedicated handling and fall through to generic messaging</t>
  </si>
  <si>
    <t>Backend returns response.data.detail with a specific message; Backend returns 403 with no parseable body; 403 occurs inside a function that swallows errors and returns false (e.g. approvePlan)</t>
  </si>
  <si>
    <t>NoRoleGateOnHrRoutes</t>
  </si>
  <si>
    <t>FE_RAGAUTH_008</t>
  </si>
  <si>
    <t>Verify there is no client-side role gate on /hr/* routes - wrong-role users can load the pages</t>
  </si>
  <si>
    <t>Candidate role navigates directly to /hr/generate; Candidate role navigates directly to /hr/generate-v2 (Studio); Admin role navigates directly to /hr/generate</t>
  </si>
  <si>
    <t>SubscriptionErrorCodeCannedMessages</t>
  </si>
  <si>
    <t>FE_RAGAUTH_009</t>
  </si>
  <si>
    <t>SubscriptionErrorCodeCannedMess</t>
  </si>
  <si>
    <t>Verify subscription-specific backend error codes map to canned bilingual messages via extractErrorMessage</t>
  </si>
  <si>
    <t>QUOTA_EXCEEDED; COOLDOWN_ACTIVE; FEATURE_REQUIRES_PREMIUM; PLAN_REGENERATE_LIMIT</t>
  </si>
  <si>
    <t>UnrecognizedErrorCodeFallback</t>
  </si>
  <si>
    <t>FE_RAGAUTH_010</t>
  </si>
  <si>
    <t>Verify the extractErrorMessage fallback chain for unrecognized error codes / missing response bodies</t>
  </si>
  <si>
    <t>errorCode present but not one of the 4 known codes; No errorCode, but data.detail is present; No errorCode/detail, only data.title present; No parseable body at all, only axios error.message (e.g. timeout text); Nothing usable anywhere in the error object</t>
  </si>
  <si>
    <t>TimeoutRaw5xxNoFriendlyMessage</t>
  </si>
  <si>
    <t>FE_RAGAUTH_011</t>
  </si>
  <si>
    <t>Verify timeouts and 5xx errors on RAG-adjacent calls show raw/generic text, and that no 429 handling exists</t>
  </si>
  <si>
    <t>generatePlan or refinePlan exceeds its 180s timeout; generateQuestions start-call exceeds its 60s timeout; Backend responds with 500 Internal Server Error; Backend responds with 429 Too Many Requests</t>
  </si>
  <si>
    <t>SessionExpiryMidGenerationPolling</t>
  </si>
  <si>
    <t>FE_RAGAUTH_012</t>
  </si>
  <si>
    <t>SessionExpiryMidGenerationPolli</t>
  </si>
  <si>
    <t>Verify what happens when the access token expires mid-poll during a long-running RAG generation</t>
  </si>
  <si>
    <t>Access token expires during polling, refresh token still valid; Access token expires during polling, refresh token also expired/invalid</t>
  </si>
  <si>
    <t>ConcurrentRequests401Dedup</t>
  </si>
  <si>
    <t>FE_RAGAUTH_013</t>
  </si>
  <si>
    <t>Verify multiple simultaneous 401s trigger only one refresh-token call, de-duplicated via refreshInFlight</t>
  </si>
  <si>
    <t>Exactly 2 requests fail with 401 at the same time; 3 or more requests fail with 401 at the same time</t>
  </si>
  <si>
    <t>RagServiceDeadCodeNoAuthHeader</t>
  </si>
  <si>
    <t>FE_RAGAUTH_014</t>
  </si>
  <si>
    <t>Static finding: rag.service.ts / /api/rag/* proxy routes have zero interceptor coverage (latent risk, not exercisable via current UI)</t>
  </si>
  <si>
    <t>src/features/interview/services/rag.service.ts (bare axios.create(), no interceptors); src/app/api/rag/*/route.ts proxy routes (no caller-session/JWT check, only a static internal API key)</t>
  </si>
  <si>
    <t>SampleJdModalCopyUse</t>
  </si>
  <si>
    <t>FE_RAG_027</t>
  </si>
  <si>
    <t>Studio: verify the Sample JD modal's Copy and Use buttons</t>
  </si>
  <si>
    <t>Open Sample JD modal, click Copy; Open Sample JD modal, click Use</t>
  </si>
  <si>
    <t>PublishedSetEditRestrictions</t>
  </si>
  <si>
    <t>FE_RAG_029</t>
  </si>
  <si>
    <t>Verify the backend rejects add/edit/delete/reorder while a question set is PUBLISHED</t>
  </si>
  <si>
    <t>Set is a DRAFT; Set is PUBLISHED</t>
  </si>
  <si>
    <t>ApplyPlanSettingsTimeout</t>
  </si>
  <si>
    <t>FE_RAG_030</t>
  </si>
  <si>
    <t>Studio: verify applyPlanSettings behavior around its 30s timeout</t>
  </si>
  <si>
    <t>Completes within 30s; Exceeds the 30s timeout</t>
  </si>
  <si>
    <t>RefinePlanChatFlow</t>
  </si>
  <si>
    <t>FE_RAG_031</t>
  </si>
  <si>
    <t>Studio: verify the refine-plan chat flow (180s timeout, distinct from generatePlan)</t>
  </si>
  <si>
    <t>Refine message sent, plan updates in response; Refine request exceeds its 180s timeout</t>
  </si>
  <si>
    <t>StudioGenerationSettingsToggles</t>
  </si>
  <si>
    <t>FE_RAG_032</t>
  </si>
  <si>
    <t>Studio: verify includeSampleAnswers / includeScoringRubric toggles are respected on Generate</t>
  </si>
  <si>
    <t>Both toggles off; includeSampleAnswers on only; includeScoringRubric on only; Both toggles on</t>
  </si>
  <si>
    <t>NewSetResetsLockedPanels</t>
  </si>
  <si>
    <t>FE_RAG_033</t>
  </si>
  <si>
    <t>Studio: verify the "New Set" action unlocks and resets the Sources/Inspector panels</t>
  </si>
  <si>
    <t>Panels are locked (questions exist) and HR clicks New Set; HR has unsaved plan-refine edits when clicking New Set</t>
  </si>
  <si>
    <t>KnowledgeDocLibraryAttachVsUploadNew</t>
  </si>
  <si>
    <t>FE_RAG_034</t>
  </si>
  <si>
    <t>KnowledgeDocLibraryAttachVsUplo</t>
  </si>
  <si>
    <t>Studio: verify attaching an existing library document vs. uploading a brand-new one</t>
  </si>
  <si>
    <t>Attach an existing document from the library; Upload a brand-new document</t>
  </si>
  <si>
    <t>StudioChatRefineMultiTurn</t>
  </si>
  <si>
    <t>FE_RAG_035</t>
  </si>
  <si>
    <t>Studio: verify multiple sequential refine-chat messages before approving the plan</t>
  </si>
  <si>
    <t>1st refine message sent; 2nd refine message, builds on the 1st refined plan; 3rd refine message, builds on the 2nd refined plan</t>
  </si>
  <si>
    <t>StudioApprovePlanButtonStates</t>
  </si>
  <si>
    <t>FE_RAG_037</t>
  </si>
  <si>
    <t>Studio: verify the Approve Plan button's loading/disabled/error states</t>
  </si>
  <si>
    <t>Approve request is in flight; Approve succeeds; Approve fails (network error)</t>
  </si>
  <si>
    <t>StudioQuestionListEmptyStateBeforeGenerate</t>
  </si>
  <si>
    <t>FE_RAG_039</t>
  </si>
  <si>
    <t>StudioQuestionListEmptyStateBef</t>
  </si>
  <si>
    <t>Studio: verify the question list's empty-state variants before/around generation</t>
  </si>
  <si>
    <t>No plan created yet; Plan approved but generation not yet run; Generation failed, list still empty</t>
  </si>
  <si>
    <t>LoginSpecificAuthErrors</t>
  </si>
  <si>
    <t>FE_RAGAUTH_015</t>
  </si>
  <si>
    <t>Verify login-page-owned 401/403 handling is separate from the mid-session interceptor path</t>
  </si>
  <si>
    <t>401 - invalid credentials; 403 - account disabled</t>
  </si>
  <si>
    <t>CandidateForbiddenErrorMessages</t>
  </si>
  <si>
    <t>FE_RAGAUTH_016</t>
  </si>
  <si>
    <t>Verify the candidate-scoped ForbiddenError messages on practice-session/feedback 403s (distinct from HR/RAG generic handling)</t>
  </si>
  <si>
    <t>Candidate accesses another account's practice session; Candidate views another account's feedback</t>
  </si>
  <si>
    <t>TokenStorageLocalStorageNotHttpOnly</t>
  </si>
  <si>
    <t>FE_RAGAUTH_017</t>
  </si>
  <si>
    <t>TokenStorageLocalStorageNotHttp</t>
  </si>
  <si>
    <t>Static finding: access/refresh tokens are stored in plain localStorage, not httpOnly cookies (XSS exposure risk)</t>
  </si>
  <si>
    <t>interviewai_access_token key in localStorage; interviewai_refresh_token key in localStorage</t>
  </si>
  <si>
    <t>SsrNoTokenAttachNoOp</t>
  </si>
  <si>
    <t>FE_RAGAUTH_018</t>
  </si>
  <si>
    <t>Verify the auth request interceptor no-ops during SSR (window === undefined) and attaches correctly after hydration</t>
  </si>
  <si>
    <t>Server-side render pass (window undefined); Client-side after hydration</t>
  </si>
  <si>
    <t>ClearAuthClearsCachedUserProfile</t>
  </si>
  <si>
    <t>FE_RAGAUTH_019</t>
  </si>
  <si>
    <t>ClearAuthClearsCachedUserProfil</t>
  </si>
  <si>
    <t>Verify clearAuth() also clears the cached user profile, not just tokens/role</t>
  </si>
  <si>
    <t>Cached user profile present before a 401-triggered clearAuth(); Cached user profile already absent (already cleared)</t>
  </si>
  <si>
    <t>RefreshTokenRotationOnSuccess</t>
  </si>
  <si>
    <t>FE_RAGAUTH_020</t>
  </si>
  <si>
    <t>Verify token persistence behavior after a successful refresh call (rotation vs. access-token-only response)</t>
  </si>
  <si>
    <t>Response includes both a new access token and a new refresh token; Response includes only a new access token (refresh token unchanged)</t>
  </si>
  <si>
    <t>UI Visual &amp; Responsive Layout</t>
  </si>
  <si>
    <t>UIVisualLayoutModule</t>
  </si>
  <si>
    <t>ManualQuestionPageResponsiveLayout</t>
  </si>
  <si>
    <t>FE_UI_001</t>
  </si>
  <si>
    <t>ManualQuestionPageResponsiveLay</t>
  </si>
  <si>
    <t>Verify the manual question page layout adapts correctly across viewport sizes</t>
  </si>
  <si>
    <t>Desktop 1920x1080; Laptop 1366x768; Tablet 768x1024 portrait; Mobile 375x667</t>
  </si>
  <si>
    <t>ManualQuestionPageDarkLightTheme</t>
  </si>
  <si>
    <t>FE_UI_002</t>
  </si>
  <si>
    <t>ManualQuestionPageDarkLightThem</t>
  </si>
  <si>
    <t>Verify the manual question page renders correctly in both light and dark theme</t>
  </si>
  <si>
    <t>Light theme; Dark theme</t>
  </si>
  <si>
    <t>StudioPageResponsiveLayout</t>
  </si>
  <si>
    <t>FE_UI_003</t>
  </si>
  <si>
    <t>Verify Studio's 3-panel layout (Sources | Chat/Plan | Inspector) adapts across viewport sizes</t>
  </si>
  <si>
    <t>Desktop wide (&gt;=1440px); Laptop (1024-1439px); Tablet (768-1023px); Mobile (&lt;768px)</t>
  </si>
  <si>
    <t>StudioPageDarkLightTheme</t>
  </si>
  <si>
    <t>FE_UI_004</t>
  </si>
  <si>
    <t>Verify the Studio page renders correctly in both light and dark theme</t>
  </si>
  <si>
    <t>QuotaModalResponsiveDisplay</t>
  </si>
  <si>
    <t>FE_UI_007</t>
  </si>
  <si>
    <t>Verify the Studio full-page blocking quota modal renders correctly across viewport sizes (GenerateForm's separate inline banner variant no longer applies - /hr/generate now just redirects to Studio, see FE_RAG_014 GenerateFormRetired)</t>
  </si>
  <si>
    <t>Desktop (1920x1080); Laptop (1366x768); Tablet (768x1024); Mobile (375x667)</t>
  </si>
  <si>
    <t>ToastNotificationPositioning</t>
  </si>
  <si>
    <t>FE_UI_008</t>
  </si>
  <si>
    <t>Verify toast notification display, stacking, wrapping, and mobile behavior</t>
  </si>
  <si>
    <t>Single toast shown; Multiple toasts fired in quick succession; Toast with a long message; Toast shown on a mobile viewport</t>
  </si>
  <si>
    <t>FileUploadDropzoneVisualStates</t>
  </si>
  <si>
    <t>FE_UI_009</t>
  </si>
  <si>
    <t>Verify the Studio JD/document upload dropzone's visual states</t>
  </si>
  <si>
    <t>Idle / default; Drag-over highlight; Uploading in progress; Error (invalid type / too large)</t>
  </si>
  <si>
    <t>ButtonLoadingDisabledStates</t>
  </si>
  <si>
    <t>FE_UI_010</t>
  </si>
  <si>
    <t>Verify primary action buttons (Save/Generate/Submit) show correct visual states across pages</t>
  </si>
  <si>
    <t>Default enabled; Hover; Disabled (invalid form); Loading (submit in flight)</t>
  </si>
  <si>
    <t>FormFieldValidationVisualStates</t>
  </si>
  <si>
    <t>FE_UI_011</t>
  </si>
  <si>
    <t>Verify text input/textarea visual states across HR forms (default/focus/error/disabled)</t>
  </si>
  <si>
    <t>Default; Focused; Error (invalid value, after submit attempt); Disabled</t>
  </si>
  <si>
    <t>NavigationSidebarResponsive</t>
  </si>
  <si>
    <t>FE_UI_012</t>
  </si>
  <si>
    <t>Verify the HR shell sidebar/navigation adapts across viewport sizes</t>
  </si>
  <si>
    <t>Desktop, sidebar expanded; Desktop, sidebar collapsed to icon-only; Tablet; Mobile</t>
  </si>
  <si>
    <t>ModalDialogPositioningZIndex</t>
  </si>
  <si>
    <t>FE_UI_013</t>
  </si>
  <si>
    <t>Verify modal dialogs (Confirm Import, Payment QR, Quota, Downgrade confirm) are positioned and layered correctly</t>
  </si>
  <si>
    <t>Confirm Import modal (Excel import); Payment QR modal (SePay); Quota-exceeded modal; Downgrade-to-Free confirm modal</t>
  </si>
  <si>
    <t>TableGridResponsiveOverflow</t>
  </si>
  <si>
    <t>FE_UI_014</t>
  </si>
  <si>
    <t>Verify data tables/grids (payment history, question list) handle overflow responsively</t>
  </si>
  <si>
    <t>Desktop (no scroll needed); Tablet; Mobile</t>
  </si>
  <si>
    <t>TooltipHoverDisplay</t>
  </si>
  <si>
    <t>FE_UI_015</t>
  </si>
  <si>
    <t>Verify tooltip display on hover and keyboard focus (locked panel, RAG status chip, disabled trash icon)</t>
  </si>
  <si>
    <t>Mouse hover on locked panel overlay; Mouse hover on RAG status chip; Mouse hover on disabled trash icon; Keyboard focus (Tab) instead of mouse hover</t>
  </si>
  <si>
    <t>LoadingSpinnerSkeletonStates</t>
  </si>
  <si>
    <t>FE_UI_016</t>
  </si>
  <si>
    <t>Verify loading skeletons and AI generation spinners across pages</t>
  </si>
  <si>
    <t>Initial page load (skeleton placeholders); AI generation in progress (spinner + status text); Slow network - spinner shown for an unusually long time</t>
  </si>
  <si>
    <t>AccessibilityKeyboardNavigation</t>
  </si>
  <si>
    <t>FE_UI_017</t>
  </si>
  <si>
    <t>Verify keyboard-only navigation across key interactive flows</t>
  </si>
  <si>
    <t>Tab through Manual Question form fields; Tab through Studio's 3-panel layout; Escape key while a modal is open; Enter/Space activates a focused button</t>
  </si>
  <si>
    <t>BrandingLogoHeaderConsistency</t>
  </si>
  <si>
    <t>FE_UI_018</t>
  </si>
  <si>
    <t>Verify header/logo/branding render consistently across HR pages</t>
  </si>
  <si>
    <t>Manual Question page; Studio page; Admin Manage Users page; Settings/Billing page</t>
  </si>
  <si>
    <t>Authentication (Register / Login / Verify / Reset)</t>
  </si>
  <si>
    <t>AuthModule</t>
  </si>
  <si>
    <t>RegisterHR</t>
  </si>
  <si>
    <t>FE_AUTH_001</t>
  </si>
  <si>
    <t>Check HR Manager registration form and validations</t>
  </si>
  <si>
    <t>Can connect with server</t>
  </si>
  <si>
    <t>Login</t>
  </si>
  <si>
    <t>FE_AUTH_002</t>
  </si>
  <si>
    <t>Validate HR/Candidate login form fields, error handling, and role-based redirect</t>
  </si>
  <si>
    <t>RegisterJobSeeker</t>
  </si>
  <si>
    <t>FE_AUTH_003</t>
  </si>
  <si>
    <t>Check Job Seeker registration form (step 1) validations</t>
  </si>
  <si>
    <t>VerifyEmail</t>
  </si>
  <si>
    <t>FE_AUTH_004</t>
  </si>
  <si>
    <t>Check the 6-digit OTP email verification flow and resend behavior</t>
  </si>
  <si>
    <t>No email in the URL query param; Correct 6-digit OTP entered; Wrong or expired OTP entered; Resend clicked while the 60s cooldown is still active; Resend clicked after the cooldown expired; 6 digits pasted at once into the OTP boxes</t>
  </si>
  <si>
    <t>ForgotResetPassword</t>
  </si>
  <si>
    <t>FE_AUTH_005</t>
  </si>
  <si>
    <t>Check the forgot-password request and reset-password form validations</t>
  </si>
  <si>
    <t>Email field left empty; Email format invalid; Valid email submitted</t>
  </si>
  <si>
    <t>Admin Access Control</t>
  </si>
  <si>
    <t>AuthAdminModule</t>
  </si>
  <si>
    <t>AccessControl</t>
  </si>
  <si>
    <t>FE_AUTH_006</t>
  </si>
  <si>
    <t>Check AdminRouteGuard behavior across session states and its unguarded-route gap</t>
  </si>
  <si>
    <t>Not authenticated, navigates to a guarded admin page (e.g. /admin/users); Authenticated with HR role, navigates to a guarded admin page; Authenticated with Jobseeker role, navigates to a guarded admin page; Authenticated with Admin role, navigates to a guarded admin page; useUser() is still loading (role/auth not resolved yet); Non-admin navigates directly to an UNGUARDED admin page (e.g. /admin/dashboard)</t>
  </si>
  <si>
    <t>HR Profile Management</t>
  </si>
  <si>
    <t>ProfileModule</t>
  </si>
  <si>
    <t>UpdateProfile</t>
  </si>
  <si>
    <t>FE_AUTH_007</t>
  </si>
  <si>
    <t>Check profile edit form validations and avatar upload rules</t>
  </si>
  <si>
    <t>Full Name field cleared to empty; LinkedIn or GitHub URL is invalid, field blurred; All fields valid; Avatar file is not JPG/PNG/GIF/WebP; Avatar file exceeds 2MB; Avatar file is valid (e.g. JPG, 500KB); User clicks Cancel after making unsaved edits; User attempts to edit the Email field</t>
  </si>
  <si>
    <t>Admin User Management</t>
  </si>
  <si>
    <t>AdminModule</t>
  </si>
  <si>
    <t>ManageUsers</t>
  </si>
  <si>
    <t>FE_AUTH_008</t>
  </si>
  <si>
    <t>Check the admin Manage Users page - search/filter/pagination (now numbered with ellipsis), activate/deactivate, and subscription actions</t>
  </si>
  <si>
    <t>Admin types a search term matching a user's name/email; Admin selects a Role filter; Admin selects a Status filter; Admin applies multiple filters then clicks "Clear filters"; Admin clicks Next/Previous at the first/last page; Admin clicks a specific numbered page (e.g. page 3 of 10); Total pages exceeds 7 (ellipsis "…" separators appear per getPageRange); Admin deactivates a user account and confirms; Admin reactivates a suspended account and confirms; Admin grants a Premium subscription (e.g. 3 months); Admin revokes a user's Premium subscription and confirms; User list fails to load (API error)</t>
  </si>
  <si>
    <t>Shared Utilities (pure functions)</t>
  </si>
  <si>
    <t>SharedUtilsModule</t>
  </si>
  <si>
    <t>GetTimeOfDayGreeting</t>
  </si>
  <si>
    <t>FE_SU_001</t>
  </si>
  <si>
    <t>getTimeOfDayGreeting maps an hour-of-day to the correct Morning/Afternoon/Evening/Night label</t>
  </si>
  <si>
    <t>5 (early morning); 11 (late morning); 12 (noon); 17 (late afternoon); 18 (early evening); 21 (late evening); 22 (late night); 4 (pre-dawn); 0 (midnight)</t>
  </si>
  <si>
    <t>BuildWelcomeMessage</t>
  </si>
  <si>
    <t>FE_SU_002</t>
  </si>
  <si>
    <t>buildWelcomeMessage substitutes {{greeting}}/{{name}} placeholders when present, leaves the string untouched when absent</t>
  </si>
  <si>
    <t>"{{greeting}}, {{name}}!"; "Hello there" (no placeholders)</t>
  </si>
  <si>
    <t>FormatRelativeTimeInvalidDate</t>
  </si>
  <si>
    <t>FE_SU_003</t>
  </si>
  <si>
    <t>formatRelativeTime returns an empty string for an undefined or unparseable date instead of throwing</t>
  </si>
  <si>
    <t>undefined; "not-a-date" (unparseable string)</t>
  </si>
  <si>
    <t>FormatRelativeTimeAgeBuckets</t>
  </si>
  <si>
    <t>FE_SU_004</t>
  </si>
  <si>
    <t>formatRelativeTime buckets an elapsed duration into a localized relative-time label (en/vi)</t>
  </si>
  <si>
    <t>0ms, en; 0ms, vi; 5 min, en; 5 min, vi; 3h, en; 3h, vi; 2d, en; 2d, vi</t>
  </si>
  <si>
    <t>NormalizePathname</t>
  </si>
  <si>
    <t>FE_SU_005</t>
  </si>
  <si>
    <t>normalizePathname strips a trailing slash but keeps the bare root '/' as-is</t>
  </si>
  <si>
    <t>"/hr/dashboard/" (trailing slash); "/hr/dashboard" (no trailing slash); "/" (bare root)</t>
  </si>
  <si>
    <t>IsAdminNavActive</t>
  </si>
  <si>
    <t>FE_SU_006</t>
  </si>
  <si>
    <t>isAdminNavActive treats the bare '/admin' href as equivalent to '/admin/dashboard', with trailing-slash tolerance</t>
  </si>
  <si>
    <t>/admin/dashboard, /admin; /admin/dashboard, /admin/dashboard; /admin/dashboard, /admin/users; /admin/users, /admin/users/ (trailing slash)</t>
  </si>
  <si>
    <t>IsHrNavActive</t>
  </si>
  <si>
    <t>FE_SU_007</t>
  </si>
  <si>
    <t>isHrNavActive matches an HR sidebar link's active state, including nested-route and sibling-route cases</t>
  </si>
  <si>
    <t>/hr/dashboard, /hr; /hr/dashboard, /hr/dashboard; /hr/settings, /hr/settings; /hr/settings, /hr/settings/billing; /hr/history, /hr/history/qs-1; /hr/history, /hr/history; /hr/generate-question, /hr/generate-question/manual; /hr/generate-question, /hr/generate-question; /hr/generate-question, /hr/history</t>
  </si>
  <si>
    <t>GetInitials</t>
  </si>
  <si>
    <t>FE_SU_008</t>
  </si>
  <si>
    <t>getInitials derives 1-2 letter initials from a display name, with a '??' fallback for empty/whitespace input</t>
  </si>
  <si>
    <t>"" (empty); "   " (whitespace only); "Madonna" (single word); "Nguyen Van A" (multi-word); "  Nguyen   Van A  " (extra whitespace)</t>
  </si>
  <si>
    <t>ResolveAvatarUrl</t>
  </si>
  <si>
    <t>FE_SU_009</t>
  </si>
  <si>
    <t>resolveAvatarUrl returns null for a null/undefined user, then prefers user.avatarUrl over candidateProfile over hrProfile, and treats a whitespace-only avatarUrl as absent</t>
  </si>
  <si>
    <t>null; undefined; avatarUrl=top.png, candidateProfile.avatarUrl=c.png; avatarUrl=null, candidateProfile.avatarUrl=c.png; avatarUrl=null, candidateProfile=null, hrProfile.avatarUrl=h.png; avatarUrl="  " (whitespace only)</t>
  </si>
  <si>
    <t>IsValidUrl</t>
  </si>
  <si>
    <t>FE_SU_010</t>
  </si>
  <si>
    <t>isValidUrl treats an empty/whitespace value as valid (optional field), accepts http(s) URLs, and rejects other schemes/malformed input</t>
  </si>
  <si>
    <t>"" (empty); "   " (whitespace); "https://example.com"; "http://example.com/path?x=1"; "ftp://example.com"; "not a url"; "javascript:alert(1)"</t>
  </si>
  <si>
    <t>MapAvatarUploadError</t>
  </si>
  <si>
    <t>FE_SU_011</t>
  </si>
  <si>
    <t>mapAvatarUploadError maps an avatar-upload error code to its localized message, falling back to a generic upload-failed message for unknown/blank codes</t>
  </si>
  <si>
    <t>"invalid_type"; "too_large"; "unknown_code"; "" (blank)</t>
  </si>
  <si>
    <t>Permissions &amp; Citation Formatting (pure functions)</t>
  </si>
  <si>
    <t>PermissionsAndCitationsModule</t>
  </si>
  <si>
    <t>AuthRoundTripLegacyFlagAndRealToken</t>
  </si>
  <si>
    <t>FE_PC_001</t>
  </si>
  <si>
    <t>AuthRoundTripLegacyFlagAndRealT</t>
  </si>
  <si>
    <t>setAuth/isAuthenticated/clearAuth round-trip via the legacy flag, and isAuthenticated is also true from a real access token alone</t>
  </si>
  <si>
    <t>setAuth() then clearAuth() (legacy flag); setAuthTokens() only, no legacy flag</t>
  </si>
  <si>
    <t>UserRoleAndClearAuthCascade</t>
  </si>
  <si>
    <t>FE_PC_002</t>
  </si>
  <si>
    <t>setUserRole/getUserRole round-trip, and clearAuth clears role + tokens + cached user profile together</t>
  </si>
  <si>
    <t>setUserRole('HR_MANAGER') then getUserRole(); setAuth+setUserRole+setAuthTokens+setCachedUserProfile then clearAuth()</t>
  </si>
  <si>
    <t>GetRoleRedirect</t>
  </si>
  <si>
    <t>FE_PC_003</t>
  </si>
  <si>
    <t>getRoleRedirect maps a role string (or null) to its post-login landing route</t>
  </si>
  <si>
    <t>ADMIN; SUPER_ADMIN; HR_MANAGER; JOB_SEEKER; null</t>
  </si>
  <si>
    <t>ExtractRole</t>
  </si>
  <si>
    <t>FE_PC_004</t>
  </si>
  <si>
    <t>extractRole reads a direct/nested role field, decodes it from a JWT payload under several possible token field names, and fails safe (null) for malformed/role-less input</t>
  </si>
  <si>
    <t>{ role: 'HR_MANAGER' } (direct field); { data: { role: 'ADMIN' } } (nested); JWT under accessToken/access_token/token, claim 'role'; JWT under accessToken, claim 'Role' (capitalized fallback); { accessToken: 'not-a-jwt' } (malformed); null; 'a string' (non-object); {} (role-less object)</t>
  </si>
  <si>
    <t>IsJdCitation</t>
  </si>
  <si>
    <t>FE_PC_005</t>
  </si>
  <si>
    <t>isJdCitation recognizes the JD source-file marker across common spellings/casings, and treats a missing/blank source as not-JD</t>
  </si>
  <si>
    <t>'job-description'; 'jd'; 'Job Description'; 'job_description'; 'handbook.pdf'; null; undefined; '' (empty)</t>
  </si>
  <si>
    <t>SortAndInjectJdCitation</t>
  </si>
  <si>
    <t>FE_PC_006</t>
  </si>
  <si>
    <t>sortCitationsPrimaryFirst puts the JD citation first (preserving relative order otherwise, and handling null/empty input), and citationsForDisplay injects a synthetic empty-excerpt JD row only when one isn't already present</t>
  </si>
  <si>
    <t>sort([handbook, job-description, policy]); sort(null) / sort([]); citationsForDisplay([handbook]), no JD present; citationsForDisplay([job-description w/ real excerpt]), JD present</t>
  </si>
  <si>
    <t>FormatCitationExcerptAndDisplayName</t>
  </si>
  <si>
    <t>FE_PC_007</t>
  </si>
  <si>
    <t>FormatCitationExcerptAndDisplay</t>
  </si>
  <si>
    <t>formatCitationExcerpt trims/truncates-with-ellipsis/nulls-blank text, and citationDisplayName shows the localized JD label for a JD source and the raw filename otherwise</t>
  </si>
  <si>
    <t>'  short text  ' (trim only); null; '   ' (whitespace only); 200 'x' chars, maxLength=140; citationDisplayName('job-description', labels); citationDisplayName('handbook.pdf', labels)</t>
  </si>
  <si>
    <t>Gamification &amp; Local History (pure functions)</t>
  </si>
  <si>
    <t>GamificationAndHistoryUtilsModule</t>
  </si>
  <si>
    <t>FormatXp</t>
  </si>
  <si>
    <t>FE_GH_001</t>
  </si>
  <si>
    <t>formatXp adds thousands separators, including the zero case</t>
  </si>
  <si>
    <t>1200; 0</t>
  </si>
  <si>
    <t>GetLevelLabel</t>
  </si>
  <si>
    <t>FE_GH_002</t>
  </si>
  <si>
    <t>getLevelLabel maps a numeric level to its named tier across all 6 tier boundaries</t>
  </si>
  <si>
    <t>1-2; 3-5; 6-9; 10-14; 15-19; 20-29</t>
  </si>
  <si>
    <t>LevelColorAndStreakIntensity</t>
  </si>
  <si>
    <t>FE_GH_003</t>
  </si>
  <si>
    <t>getLevelColorClass/getLevelBarColor stay in sync at the tier extremes, and streakIntensity buckets a streak count into an intensity level 0-3</t>
  </si>
  <si>
    <t>level 1 (lowest tier); level 30 (highest tier); streak 0; streak 1-2; streak 3-6; streak 7-29; streak 30</t>
  </si>
  <si>
    <t>XpRewardTypeLabel</t>
  </si>
  <si>
    <t>FE_GH_004</t>
  </si>
  <si>
    <t>xpRewardTypeLabel resolves a per-locale label and falls back to the raw type string for an unknown value</t>
  </si>
  <si>
    <t>'StreakMilestone', en; 'StreakMilestone', vi; 'SomethingNew' (unknown), en</t>
  </si>
  <si>
    <t>TimeAgo</t>
  </si>
  <si>
    <t>FE_GH_005</t>
  </si>
  <si>
    <t>timeAgo formats an elapsed duration into a localized relative-time label (en/vi), across minute/hour/day/month buckets</t>
  </si>
  <si>
    <t>0ms, en; 0ms, vi; 10 min, en; 10 min, vi; 5h, en; 5h, vi; 10d, en; 10d, vi; 2 months, en; 2 months, vi</t>
  </si>
  <si>
    <t>GetLoginWelcomeRoleFromRedirect</t>
  </si>
  <si>
    <t>FE_GH_006</t>
  </si>
  <si>
    <t>getLoginWelcomeRoleFromRedirect maps a post-login redirect path to the role whose welcome banner should show, or null for non-role paths</t>
  </si>
  <si>
    <t>/jobseeker or /jobseeker/; /admin/dashboard or /admin/users; /hr/dashboard or /hr/generate-question; /login or /</t>
  </si>
  <si>
    <t>LoginWelcomePendingFlagRoundTrip</t>
  </si>
  <si>
    <t>FE_GH_007</t>
  </si>
  <si>
    <t>LoginWelcomePendingFlagRoundTri</t>
  </si>
  <si>
    <t>markLoginWelcomePending/hasLoginWelcomePending/clearLoginWelcomePending round-trip through sessionStorage and are role-specific</t>
  </si>
  <si>
    <t>sessionStorage is empty</t>
  </si>
  <si>
    <t>SaveAndGetLocalSession</t>
  </si>
  <si>
    <t>FE_GH_008</t>
  </si>
  <si>
    <t>saveLocalSession assigns a 'local-' id and prepends to the list (most-recent-first), and getLocalSession finds by id or returns null when missing</t>
  </si>
  <si>
    <t>save 2 sessions in sequence; getLocalSession(existing id) / getLocalSession('does-not-exist')</t>
  </si>
  <si>
    <t>PatchAndUpdateLocalSession</t>
  </si>
  <si>
    <t>FE_GH_009</t>
  </si>
  <si>
    <t>patchLocalSession merges fields for a matching id and no-ops for an unknown id; updateLocalSessionQuestions replaces the question list and bumps updatedAt</t>
  </si>
  <si>
    <t>patchLocalSession(existing id, {backendJobId}); patchLocalSession('does-not-exist', {...}); updateLocalSessionQuestions(existing id, newQuestions)</t>
  </si>
  <si>
    <t>ToGenerationSessionAndMalformedStorage</t>
  </si>
  <si>
    <t>FE_GH_010</t>
  </si>
  <si>
    <t>ToGenerationSessionAndMalformed</t>
  </si>
  <si>
    <t>toGenerationSession maps every field 1:1, and a malformed localStorage entry is treated as an empty list instead of throwing</t>
  </si>
  <si>
    <t>toGenerationSession(saved local session); localStorage has '{not valid json' under the history key</t>
  </si>
  <si>
    <t>Candidate &amp; Admin Utilities (pure functions)</t>
  </si>
  <si>
    <t>CandidateAndAdminUtilsModule</t>
  </si>
  <si>
    <t>ValidateAvatarFile</t>
  </si>
  <si>
    <t>FE_CA_001</t>
  </si>
  <si>
    <t>validateAvatarFile accepts an allowed image type under the 2MB cap, and throws AvatarUploadError with the right code for a disallowed mime type or an oversized file</t>
  </si>
  <si>
    <t>a.png, image/png, 1KB; a.pdf, application/pdf, tiny; a.png, image/png, just over 2MB</t>
  </si>
  <si>
    <t>ComputeStreakDays</t>
  </si>
  <si>
    <t>FE_CA_002</t>
  </si>
  <si>
    <t>computeStreakDays counts a consecutive-day practice streak ending today or yesterday, breaking on any gap of 2+ days, de-duping same-day timestamps, and ignoring malformed entries</t>
  </si>
  <si>
    <t>[] (no sessions); [today]; [today, yesterday, 2d ago]; [today, 2d ago] (gap); [yesterday, 2d ago] (no session today); [3d ago] (nothing today/yesterday); [undefined, 'not-a-date', today]; [today, today] (duplicate same-day)</t>
  </si>
  <si>
    <t>TranslateDimensionKeyAndCategory</t>
  </si>
  <si>
    <t>FE_CA_003</t>
  </si>
  <si>
    <t>TranslateDimensionKeyAndCategor</t>
  </si>
  <si>
    <t>translateDimensionKey/translateQuestionCategory return the Vietnamese label for known keys (case/separator-insensitive) and title-case the raw key as a fallback for unknown ones or the English locale</t>
  </si>
  <si>
    <t>translateDimensionKey('technical_accuracy'/'Technical-Accuracy', vi); translateDimensionKey('some_new_dimension', vi) / ('clarity', en); translateQuestionCategory('problem-solving', vi); translateQuestionCategory('unknown-cat', vi) / ('technical', en)</t>
  </si>
  <si>
    <t>CompanyInitialsAndColor</t>
  </si>
  <si>
    <t>FE_CA_004</t>
  </si>
  <si>
    <t>getCompanyInitials handles empty/single/multi-word names with a '?' fallback, and getCompanyColor is deterministic per seed while generally varying across seeds</t>
  </si>
  <si>
    <t>getCompanyInitials('' / '   '); getCompanyInitials('Acme'); getCompanyInitials('Acme Corp International'); getCompanyColor('Acme Corp') called twice, vs getCompanyColor('Zephyr Industries')</t>
  </si>
  <si>
    <t>ToBackendRoleFilterAndNormalizeAdminRoleKey</t>
  </si>
  <si>
    <t>FE_CA_005</t>
  </si>
  <si>
    <t>ToBackendRoleFilterAndNormalize</t>
  </si>
  <si>
    <t>toBackendRoleFilter maps a FE role key to the BE query value (undefined for unknown), and normalizeAdminRoleKey normalizes assorted BE role spellings into ADMIN/HR_MANAGER/JOB_SEEKER/UNKNOWN</t>
  </si>
  <si>
    <t>toBackendRoleFilter: ADMIN / HR_MANAGER / JOB_SEEKER / UNKNOWN; normalizeAdminRoleKey: ADMIN, SysAdmin, HR_MANAGER, Recruiter, JOB_SEEKER, Candidate, JobSeeker, something-else, undefined</t>
  </si>
  <si>
    <t>GetAdminUserStatusAndIsAdminRole</t>
  </si>
  <si>
    <t>FE_CA_006</t>
  </si>
  <si>
    <t>GetAdminUserStatusAndIsAdminRol</t>
  </si>
  <si>
    <t>getAdminUserStatus derives Suspended/Pending/Active from isActive+emailVerified (isActive=false always wins), and isAdminRole is case-insensitive and null-safe</t>
  </si>
  <si>
    <t>isActive=false, emailVerified=true; isActive=true, emailVerified=false; isActive=true, emailVerified=true; isActive=false, emailVerified=false; isAdminRole('ADMIN' / 'SuperAdmin'); isAdminRole('HR_MANAGER'); isAdminRole(null / undefined)</t>
  </si>
  <si>
    <t>BadgeClassAndCategoryLabelHelpers</t>
  </si>
  <si>
    <t>FE_CA_007</t>
  </si>
  <si>
    <t>BadgeClassAndCategoryLabelHelpe</t>
  </si>
  <si>
    <t>getDifficultyBadgeClass/getCategoryBadgeClass/formatCategoryLabel pick the right badge color and title-case a hyphen/underscore/space-separated category, with a gray fallback for unknown categories</t>
  </si>
  <si>
    <t>getDifficultyBadgeClass: Easy / Medium / Hard; getCategoryBadgeClass: Technical / system-design (case-insensitive); getCategoryBadgeClass: some-unknown-type; formatCategoryLabel: problem-solving / system_design / technical</t>
  </si>
  <si>
    <t>ScoreBadgeClassAndScoreLevel</t>
  </si>
  <si>
    <t>FE_CA_008</t>
  </si>
  <si>
    <t>getScoreBadgeClass thresholds at 80/65, and getScoreLevel derives a label+badge color from the same 80/65/50 thresholds</t>
  </si>
  <si>
    <t>85 / 80 (&gt;= 80); 70 / 65 (65-79); 40 (&lt; 65); getScoreLevel(90), Excellent tier; getScoreLevel(70), Good tier; getScoreLevel(55), Fair tier; getScoreLevel(30), Needs work tier</t>
  </si>
  <si>
    <t>Studio Question Template Inference (pure functions)</t>
  </si>
  <si>
    <t>QuestionTemplateInferModule</t>
  </si>
  <si>
    <t>TemplateDetectionExplicitAndKeyword</t>
  </si>
  <si>
    <t>FE_QTI_001</t>
  </si>
  <si>
    <t>TemplateDetectionExplicitAndKey</t>
  </si>
  <si>
    <t>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</si>
  <si>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 codeTemplateType='  refactoring  ' (loose casing); codeTemplateType='NOT_A_REAL_TEMPLATE' (unrecognized, falls through); content keyword: system design / code completion / bug / refactor / unit test / complexity; no template signal, scoringRubric='Look for bug handling'; type='SystemDesign', neutral content; codeSnippet present, no other signal; purely theoretical, no snippet/keywords</t>
  </si>
  <si>
    <t>SnippetExtraction</t>
  </si>
  <si>
    <t>FE_QTI_002</t>
  </si>
  <si>
    <t>inferStudioTemplate extracts a code snippet from codeSnippet directly, an expectedAnswer 'Code snippet:' marker, a fenced code block, or heuristically-detected raw code, while not mistaking plain prose for code, and normalizing literal \n/\t escapes</t>
  </si>
  <si>
    <t>codeSnippet='const x = 1;'; expectedAnswer with 'Code snippet:' marker; content with a fenced ```js block; expectedAnswer is raw code, no marker (heuristic detection); expectedAnswer is plain prose, no code; codeSnippet has literal \n/\t escape sequences</t>
  </si>
  <si>
    <t>MetaParsingLangImageDiagramHints</t>
  </si>
  <si>
    <t>FE_QTI_003</t>
  </si>
  <si>
    <t>MetaParsingLangImageDiagramHint</t>
  </si>
  <si>
    <t>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</si>
  <si>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 scoringRubric='lang=auto'; question.imageHint='Custom hint' + codeTemplateType=BUG_DETECTION; no imageHint/meta, content implies bug template; system design content + scoringRubric diagramHint meta; system design content, no diagramHint meta; attachedImageUrl='  https://x/img.png  ' / '   '</t>
  </si>
  <si>
    <t>InferGeneratedQuestionTemplate</t>
  </si>
  <si>
    <t>FE_QTI_004</t>
  </si>
  <si>
    <t>inferGeneratedQuestionTemplate maps a History/Review-page GeneratedQuestion (questionType, rationale+scoringRubric meta, difficulty string) onto the same template/snippet/lang inference, and never throws on an unrecognized difficulty string</t>
  </si>
  <si>
    <t>questionType='System Design'; rationale='template=BUG_DETECTION;lang=Python', scoringRubric='snippet=...'; difficulty='very easy'; difficulty='HARD' (case-insensitive); difficulty='unrecognized'</t>
  </si>
  <si>
    <t>Gamification Components (Candidate)</t>
  </si>
  <si>
    <t>GamificationComponentsModule</t>
  </si>
  <si>
    <t>ChangePasswordClientValidation</t>
  </si>
  <si>
    <t>FE_SEC_001</t>
  </si>
  <si>
    <t>SecuritySection blocks submit client-side for empty fields, a new password under 8 chars, or a mismatched confirmation, without ever calling changePassword</t>
  </si>
  <si>
    <t>all fields empty; current="oldpass1", new="short1" (&lt; 8 chars), confirm="short1"; current="oldpass1", new="newpassword1", confirm="differentpassword1" (mismatch)</t>
  </si>
  <si>
    <t>ChangePasswordSubmitFlow</t>
  </si>
  <si>
    <t>FE_SEC_002</t>
  </si>
  <si>
    <t>A valid password change calls changePassword and clears the form on success; an API failure shows the generic save-failed error</t>
  </si>
  <si>
    <t>valid current/new/confirm, changePassword resolves; valid current/new/confirm, changePassword rejects (network down)</t>
  </si>
  <si>
    <t>XpHistoryStandaloneList</t>
  </si>
  <si>
    <t>FE_XPH_001</t>
  </si>
  <si>
    <t>Standalone XpHistorySection lists entries with label+amount, falls back to a type-based i18n label when the backend omits one, shows an empty state, and fetches exactly page 1/size 10</t>
  </si>
  <si>
    <t>entries with a label, e.g. 'Session completed' +20; entry with label='', type='StreakMilestone'; items: []; render standalone (no embedded prop)</t>
  </si>
  <si>
    <t>XpHistoryEmbeddedMode</t>
  </si>
  <si>
    <t>FE_XPH_002</t>
  </si>
  <si>
    <t>Embedded XpHistorySection (used inside a settings tab) hides the outer card title and fetches a larger page (30) than standalone mode</t>
  </si>
  <si>
    <t>render with embedded prop</t>
  </si>
  <si>
    <t>DailyGoalPresetDisplay</t>
  </si>
  <si>
    <t>FE_DGS_001</t>
  </si>
  <si>
    <t>DailyGoalSettings highlights the server-saved preset as active on load, and hides the Save button until a different preset is picked</t>
  </si>
  <si>
    <t>getMyProgress returns dailyGoalXp=50, no interaction; getMyProgress returns dailyGoalXp=50, still no preset changed</t>
  </si>
  <si>
    <t>DailyGoalSaveFlow</t>
  </si>
  <si>
    <t>FE_DGS_002</t>
  </si>
  <si>
    <t>Selecting a different daily-goal preset and saving calls updateDailyGoal and optimistically marks the new preset active; a save failure shows an error toast and keeps Save visible</t>
  </si>
  <si>
    <t>pick '80 XP', click Save goal, updateDailyGoal resolves; pick '120 XP', click Save goal, updateDailyGoal rejects (network down)</t>
  </si>
  <si>
    <t>GamificationProgressCardDisplay</t>
  </si>
  <si>
    <t>FE_GPC_001</t>
  </si>
  <si>
    <t>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</si>
  <si>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 dailyGoalCompleted=true, todayXp=50; dailyGoalXp=50, todayXp=20, dailyGoalCompleted=false; click 'How to earn XP?'; getMyProgress rejects (network down)</t>
  </si>
  <si>
    <t>AchievementGridFullVariant</t>
  </si>
  <si>
    <t>FE_AG_001</t>
  </si>
  <si>
    <t>The full-variant AchievementGrid lists achievements with an unlocked count, filters by category, shows an empty state with none, and offers a working Try-again retry after a load failure</t>
  </si>
  <si>
    <t>2 achievements, 1 unlocked; 2 achievements, different categories, click 'Streak' filter; getAchievements resolves []; getAchievements rejects once, then resolves; click 'Try again'</t>
  </si>
  <si>
    <t>AchievementGridCompactVariant</t>
  </si>
  <si>
    <t>FE_AG_002</t>
  </si>
  <si>
    <t>The compact-variant AchievementGrid sorts unlocked achievements ahead of locked ones</t>
  </si>
  <si>
    <t>1 locked + 1 unlocked achievement, compact variant</t>
  </si>
  <si>
    <t>Admin Operations (Settings / AI Config / Content / Companies / Knowledge / Dashboard / Marketplace / Plans)</t>
  </si>
  <si>
    <t>AdminOperationsModule</t>
  </si>
  <si>
    <t>PlatformSettingsGeneralLoadSave</t>
  </si>
  <si>
    <t>FE_APS_001</t>
  </si>
  <si>
    <t>AdminSettingsPage's General tab loads platform settings from getPlatformSettings, retries the fetch after a load failure, and calls updatePlatformSettings with the edited platform name on Save</t>
  </si>
  <si>
    <t>getPlatformSettings resolves with platformName/defaultQuestionCount/sessionTimeout; getPlatformSettings rejects once, then Retry re-fetches; edit Platform Name field, click Save Changes</t>
  </si>
  <si>
    <t>PlatformSettingsPermissionsNotificationsToggle</t>
  </si>
  <si>
    <t>FE_APS_002</t>
  </si>
  <si>
    <t>PlatformSettingsPermissionsNoti</t>
  </si>
  <si>
    <t>The Permissions tab locks Admin's own toggles while Recruiter's stay editable, and the Notifications tab's per-event Email toggle updates its own state</t>
  </si>
  <si>
    <t>Permissions tab, 'Manage Users' row; Notifications tab, 'JD Generation' row, click Email toggle</t>
  </si>
  <si>
    <t>PlatformSettingsComingSoonButtons</t>
  </si>
  <si>
    <t>FE_APS_003</t>
  </si>
  <si>
    <t>PlatformSettingsComingSoonButto</t>
  </si>
  <si>
    <t>Save Permissions, Save Notifications, and the General tab's Reset Platform Data button are rendered disabled with a Coming soon tooltip, since none has a backend to act on yet, rather than being silently non-functional active buttons</t>
  </si>
  <si>
    <t>Permissions tab: Save Permissions; Notifications tab: Save Notifications; General tab danger zone: Reset</t>
  </si>
  <si>
    <t>AiConfigLoadAndRetry</t>
  </si>
  <si>
    <t>FE_AICFG_001</t>
  </si>
  <si>
    <t>AdminAiConfigRoutePage loads the saved LLM provider/chat model/temperature from getRagSettings+listRagModels, and a load failure shows Retry which re-fetches and repopulates the form</t>
  </si>
  <si>
    <t>getRagSettings/listRagModels resolve with ollama provider, llama3.1:8b, temp=0.3; both calls reject once, then Retry re-fetches successfully</t>
  </si>
  <si>
    <t>AiConfigProviderSwitchAndSave</t>
  </si>
  <si>
    <t>FE_AICFG_002</t>
  </si>
  <si>
    <t>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</si>
  <si>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 edit temperature to 0.7, click Save AI configuration, updateRagSettings resolves; click Save AI configuration, updateRagSettings rejects with 'Backend does not support saving AI config yet.'</t>
  </si>
  <si>
    <t>ContentTableRowAndDeadDeleteButton</t>
  </si>
  <si>
    <t>FE_ACT_001</t>
  </si>
  <si>
    <t>ContentTableRowAndDeadDeleteBut</t>
  </si>
  <si>
    <t>ContentTable renders a session row's job title/recruiter/question count from props, its per-row Delete button is disabled with a Coming soon tooltip (no backend to delete against), and the View link still navigates to the session's history detail page</t>
  </si>
  <si>
    <t>session row with jobTitle/recruiter/recruiterEmail/questionsCount; per-row Delete button; View link, session id='sess-42'</t>
  </si>
  <si>
    <t>CompanyManagementListingSearchRetry</t>
  </si>
  <si>
    <t>FE_ACOMP_001</t>
  </si>
  <si>
    <t>CompanyManagementListingSearchR</t>
  </si>
  <si>
    <t>CompanyManagementPage lists companies from listCompanies, re-fetches with a keyword on Enter in the search box, shows an empty state when there are none, and a load failure shows Retry which re-fetches</t>
  </si>
  <si>
    <t>listCompanies resolves with 1 company; type 'Acme{Enter}' in the search box; listCompanies resolves with an empty list; listCompanies rejects once, then Retry re-fetches</t>
  </si>
  <si>
    <t>CompanyManagementCreateEditDelete</t>
  </si>
  <si>
    <t>FE_ACOMP_002</t>
  </si>
  <si>
    <t>CompanyManagementCreateEditDele</t>
  </si>
  <si>
    <t>Creating a company trims the entered name and calls createCompany, editing a company's name calls updateCompany, and deleting a company requires a confirm step before calling deleteCompany</t>
  </si>
  <si>
    <t>Add Company, type '  New Co  ' in the name field, click Create Company; Edit Company on 'Acme Corp', rename to 'Acme Corp Renamed', Save Changes; Delete Company on 'Acme Corp', then confirm the delete</t>
  </si>
  <si>
    <t>AdminKnowledgeWrapperWiring</t>
  </si>
  <si>
    <t>FE_AKB_001</t>
  </si>
  <si>
    <t>AdminKnowledgePage wires the shared KnowledgePageContent to the admin-scoped knowledge.service functions (not the HR ones), it lists documents via getAdminKnowledgeDocs and shows an empty state when there are none</t>
  </si>
  <si>
    <t>getAdminKnowledgeDocs resolves with 1 doc ('company-handbook.pdf'); getAdminKnowledgeDocs resolves with an empty list</t>
  </si>
  <si>
    <t>AdminDashboardKpisAndAlerts</t>
  </si>
  <si>
    <t>FE_ADASH_001</t>
  </si>
  <si>
    <t>AdminDashboardPage renders KPI values and a recent-user registration from fetchAdminDashboardStats, and shows a 'No companies registered' alert when totalCompanies=0 or 'No alerts detected' when data is healthy</t>
  </si>
  <si>
    <t>totalUsers=120, hrManagers=15, jobSeekers=100, totalCompanies=8; recentUsers=[{fullName:'Nguyen Van A', email:'a@example.com'}]; totalCompanies=0, companies=[]; companies + HR managers present, no anomalies</t>
  </si>
  <si>
    <t>AdminDashboardRetryAndRefresh</t>
  </si>
  <si>
    <t>FE_ADASH_002</t>
  </si>
  <si>
    <t>A load failure shows an error banner with Retry which re-fetches and clears the error, and clicking the header's Refresh button re-fetches dashboard data</t>
  </si>
  <si>
    <t>fetchAdminDashboardStats rejects once, then Retry re-fetches; loaded with totalUsers=120, click Refresh, next fetch returns totalUsers=200</t>
  </si>
  <si>
    <t>MarketplaceListingSearchAndErrors</t>
  </si>
  <si>
    <t>FE_AMKT_001</t>
  </si>
  <si>
    <t>MarketplaceListingSearchAndErro</t>
  </si>
  <si>
    <t>AdminMarketplacePage lists published sets with title/company/HR owner, debounce-searches by keyword, shows an empty state with no results, and a load failure shows an error toast</t>
  </si>
  <si>
    <t>listMarketplaceQuestionSets resolves with 1 item; type 'Backend' into the search box; listMarketplaceQuestionSets resolves with an empty list; listMarketplaceQuestionSets rejects</t>
  </si>
  <si>
    <t>MarketplacePinAndDetail</t>
  </si>
  <si>
    <t>FE_AMKT_002</t>
  </si>
  <si>
    <t>Pinning a set calls pinMarketplaceQuestionSet and shows a success toast; clicking View opens the detail panel with data (including practitioners) from getMarketplaceQuestionSetById</t>
  </si>
  <si>
    <t>click Pin on an unpinned set, pinMarketplaceQuestionSet resolves; click View, getMarketplaceQuestionSetById resolves with a practitioner 'Tran Thi B'</t>
  </si>
  <si>
    <t>PlansListingAndRefresh</t>
  </si>
  <si>
    <t>FE_APLAN_001</t>
  </si>
  <si>
    <t>AdminPlansRoutePage lists plans fetched via adminListPlans (name and per-limit values), and clicking Refresh re-fetches and repopulates the form</t>
  </si>
  <si>
    <t>adminListPlans resolves with HR Premium, askAiPerMonth=999; loaded, click Refresh, next fetch renames the plan to 'HR Premium Renamed'</t>
  </si>
  <si>
    <t>PlansEditSaveAndFailure</t>
  </si>
  <si>
    <t>FE_APLAN_002</t>
  </si>
  <si>
    <t>Editing the Ask-AI limit and saving calls adminUpdatePlan with the new value and shows a success message; a save failure shows the generic save-error toast</t>
  </si>
  <si>
    <t>edit Ask-AI limit 999→500, click Save plan, adminUpdatePlan resolves; click Save plan, adminUpdatePlan rejects (network down)</t>
  </si>
  <si>
    <t>PlansFreeVisiblePercentClamp</t>
  </si>
  <si>
    <t>FE_APLAN_003</t>
  </si>
  <si>
    <t>The Free visible % field clamps its value to a maximum of 100 on blur, even if the user types a larger number</t>
  </si>
  <si>
    <t>field starts at 50, user types 150, then blurs (tab away)</t>
  </si>
  <si>
    <t>HR Operations (Dashboard / History / Knowledge / Billing / Settings)</t>
  </si>
  <si>
    <t>HROperationsModule</t>
  </si>
  <si>
    <t>HrDashboardKpisAndSections</t>
  </si>
  <si>
    <t>FE_HDASH_001</t>
  </si>
  <si>
    <t>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</si>
  <si>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 recentSessions=[{role:'Backend Developer', questionCount:15}]; topRecommendations=[{candidateName:'Nguyen Van A', score:88}]; topRecommendations=[]</t>
  </si>
  <si>
    <t>HrDashboardRetryAndNullFallback</t>
  </si>
  <si>
    <t>FE_HDASH_002</t>
  </si>
  <si>
    <t>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</si>
  <si>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 getHrDashboard resolves null; listRecommendations resolves with 1 fallback item</t>
  </si>
  <si>
    <t>HistoryListingSearchAndFilter</t>
  </si>
  <si>
    <t>FE_HIST_001</t>
  </si>
  <si>
    <t>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</si>
  <si>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 type 'react' into the search box; filter='PUBLISHED', then filter='bookmarked'; listHistoryQuestionSets rejects with 'Network error loading sets'</t>
  </si>
  <si>
    <t>HistoryPublishUnpublishBookmark</t>
  </si>
  <si>
    <t>FE_HIST_002</t>
  </si>
  <si>
    <t>Publishing a Draft set calls publishQuestionSet and flips its badge to Published, unpublishing flips it back to Saved/Draft, and toggling the bookmark icon calls toggleHrBookmark</t>
  </si>
  <si>
    <t>click 'Publish to marketplace' on the Draft row (qs-1); click 'Unpublish' on the Published row (qs-2); click 'Save to bookmarks' on the Draft row (qs-1)</t>
  </si>
  <si>
    <t>HistoryDeleteConfirmAndPublishedGuard</t>
  </si>
  <si>
    <t>FE_HIST_003</t>
  </si>
  <si>
    <t>HistoryDeleteConfirmAndPublishe</t>
  </si>
  <si>
    <t>Deleting a set asks for confirmation before calling deleteHistoryQuestionSet and removes the row on confirm; a PUBLISHED set's Delete button is disabled and never opens the confirm dialog (must unpublish first)</t>
  </si>
  <si>
    <t>click Delete on the Draft row (qs-1), then confirm in the dialog; click the disabled Delete ('Unpublish before deleting') on the Published row (qs-2)</t>
  </si>
  <si>
    <t>HistoryExportGatedByPlan</t>
  </si>
  <si>
    <t>FE_HIST_004</t>
  </si>
  <si>
    <t>The per-row Download Excel export button only renders for a Premium subscription; it is absent entirely for a Free plan</t>
  </si>
  <si>
    <t>subscription = Premium; subscription = Free (ready)</t>
  </si>
  <si>
    <t>Candidate Operations (Billing / Dashboard / Profile / Settings / Subscription / Invitations / Marketplace / Practice)</t>
  </si>
  <si>
    <t>CandidateOperationsModule</t>
  </si>
  <si>
    <t>BillingCurrentPlanDisplay</t>
  </si>
  <si>
    <t>FE_CBILL_001</t>
  </si>
  <si>
    <t>CandidateBillingPage shows a Free subscriber's plan and practice-attempt usage (used/limit), and a Premium subscriber's plan and formatted renewal date</t>
  </si>
  <si>
    <t>planType=FREE, practiceUsed=3, practiceLimit=5; planType=PREMIUM, renewalDate='2026-09-15T00:00:00Z'</t>
  </si>
  <si>
    <t>BillingPaymentHistoryAndReceipt</t>
  </si>
  <si>
    <t>FE_CBILL_002</t>
  </si>
  <si>
    <t>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</si>
  <si>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 1 invoice 'CAND-2026-01-01'; invoice WITH receiptUrl; invoice WITHOUT receiptUrl</t>
  </si>
  <si>
    <t>BillingComingSoonButtons</t>
  </si>
  <si>
    <t>FE_CBILL_003</t>
  </si>
  <si>
    <t>A Premium subscriber's Manage Subscription button, and a Free subscriber's Update Billing Info / Change Payment Method buttons, are all disabled with a Coming soon tooltip rather than silently non-functional</t>
  </si>
  <si>
    <t>Premium subscriber; Free subscriber</t>
  </si>
  <si>
    <t>BillingUpgradeAndCancel</t>
  </si>
  <si>
    <t>FE_CBILL_004</t>
  </si>
  <si>
    <t>A Free subscriber clicking Upgrade to Premium opens the upgrade modal; a Premium subscriber's Cancel Plan opens a confirm dialog and only calls cancelSubscription (reverting the card to Free) once confirmed</t>
  </si>
  <si>
    <t>Free subscriber, click Upgrade to Premium; Premium subscriber, click Cancel Plan, then confirm Cancel Subscription</t>
  </si>
  <si>
    <t>CandidateDashboardKpisAndSessions</t>
  </si>
  <si>
    <t>FE_CDASH_001</t>
  </si>
  <si>
    <t>CandidateDashboardKpisAndSessio</t>
  </si>
  <si>
    <t>CandidateDashboard renders the total-sessions/average-score KPIs from real practice stats, lists a recent session by question-set title, shows an empty state with no sessions, and a load failure shows Retry which re-fetches</t>
  </si>
  <si>
    <t>getPracticeStats: totalSessions=6, averageScore=78; listCompletedSessions: 1 item, setTitle='Frontend React Deep Dive'; listCompletedSessions: [], totalSessions=0; both calls reject once, then Retry re-fetches</t>
  </si>
  <si>
    <t>CandidateDashboardRecommendedSets</t>
  </si>
  <si>
    <t>FE_CDASH_002</t>
  </si>
  <si>
    <t>CandidateDashboardRecommendedSe</t>
  </si>
  <si>
    <t>The dashboard renders recommended question sets fetched via listQuestionSets (pageSize=3), and a recommended-sets load failure shows its own independent Retry without affecting the main dashboard data already loaded</t>
  </si>
  <si>
    <t>listQuestionSets resolves with 'SRE Site Reliability Track'; main dashboard data loads fine, listQuestionSets rejects once then Retry re-fetches</t>
  </si>
  <si>
    <t>CandidateProfileViewAndEditToggle</t>
  </si>
  <si>
    <t>FE_PROF_001</t>
  </si>
  <si>
    <t>CandidateProfileViewAndEditTogg</t>
  </si>
  <si>
    <t>CandidateProfile shows the loaded profile info and practice stats in view mode, and clicking Edit Profile switches to edit mode with the current values pre-filled in inputs</t>
  </si>
  <si>
    <t>getCurrentUser: targetRole='Backend Developer'; getPracticeStats: totalSessions=4, averageScore=81; click Edit Profile</t>
  </si>
  <si>
    <t>CandidateProfileSaveValidationSkills</t>
  </si>
  <si>
    <t>FE_PROF_002</t>
  </si>
  <si>
    <t>CandidateProfileSaveValidationS</t>
  </si>
  <si>
    <t>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</si>
  <si>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 type 'not-a-url' into the LinkedIn field, Save Changes; type 'Kubernetes{Enter}' into the skills input, then Save Changes</t>
  </si>
  <si>
    <t>CandidateProfileCvManagement</t>
  </si>
  <si>
    <t>FE_PROF_003</t>
  </si>
  <si>
    <t>Uploading a CV from the empty state calls uploadCv and the new file name appears; deleting an existing CV asks for confirmation before calling deleteCv</t>
  </si>
  <si>
    <t>no CV yet, upload 'new-resume.pdf'; existing CV 'handbook-cv.pdf', click Delete, then confirm</t>
  </si>
  <si>
    <t>CandidateSettingsTabRouting</t>
  </si>
  <si>
    <t>FE_CSET_001</t>
  </si>
  <si>
    <t>SettingsPage defaults to the Profile tab, opens whichever tab the ?tab= query param names on load, and clicking a nav item switches tabs</t>
  </si>
  <si>
    <t>no ?tab= param; ?tab=billing; loaded on Profile, click the General nav item</t>
  </si>
  <si>
    <t>CandidateSettingsGeneral</t>
  </si>
  <si>
    <t>FE_CSET_002</t>
  </si>
  <si>
    <t>On the General tab, toggling CV sync off calls updateCvSyncSettings(false), and switching the language to Tiếng Việt re-labels the tab's own content</t>
  </si>
  <si>
    <t>CV sync currently on, click its toggle; click 'Tiếng Việt'</t>
  </si>
  <si>
    <t>CandidateSettingsPrivacyPlanGate</t>
  </si>
  <si>
    <t>FE_CSET_003</t>
  </si>
  <si>
    <t>CandidateSettingsPrivacyPlanGat</t>
  </si>
  <si>
    <t>On the Privacy tab, a Premium candidate can toggle recruiter-recommendation visibility (calling updatePrivacySettings), while a Free candidate sees a 'Premium only' lock instead of the toggle, and clicking it opens the upgrade prompt</t>
  </si>
  <si>
    <t>planType=PREMIUM, toggle currently on, click it; planType=FREE (default)</t>
  </si>
  <si>
    <t>SubscriptionContextUserScopedPlanCache</t>
  </si>
  <si>
    <t>FE_CSUB_001</t>
  </si>
  <si>
    <t>SubscriptionContextUserScopedPl</t>
  </si>
  <si>
    <t>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</si>
  <si>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 cache={plan:PREMIUM, user:'user-A'}, current user='user-A', subscription fetch hangs; no relevant cache, current user='user-C', getCandidateSubscription resolves PREMIUM; no cache at all, current user='user-D', getCandidateSubscription resolves FREE</t>
  </si>
  <si>
    <t>UpgradeModalFinishPaidRetry</t>
  </si>
  <si>
    <t>FE_UPM_001</t>
  </si>
  <si>
    <t>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</si>
  <si>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 order becomes Paid; getCandidateSubscription rejects on all 3 attempts</t>
  </si>
  <si>
    <t>FeedbackScorePollingUntilArrival</t>
  </si>
  <si>
    <t>FE_FRC_001</t>
  </si>
  <si>
    <t>FeedbackScorePollingUntilArriva</t>
  </si>
  <si>
    <t>FeedbackResultClient shows 'scoring' while overallScore is null and polls every SCORE_POLL_INTERVAL_MS until a score arrives, flipping to 'done'; a score already present on the initial load skips polling entirely</t>
  </si>
  <si>
    <t>getPracticeSession: null, null, then 85 across 3 calls; getPracticeSession returns overallScore=72 on the very first call</t>
  </si>
  <si>
    <t>FeedbackScoreTimeoutAndRetry</t>
  </si>
  <si>
    <t>FE_FRC_002</t>
  </si>
  <si>
    <t>After SCORE_POLL_MAX_ATTEMPTS straight nulls, scoring times out ('timed-out') instead of polling forever; clicking Retry after a timeout restarts polling from scratch and can still succeed</t>
  </si>
  <si>
    <t>getPracticeSession returns null on every one of SCORE_POLL_MAX_ATTEMPTS polls; timed out, then click 'Retry scoring', next poll returns overallScore=90</t>
  </si>
  <si>
    <t>HrBillingCurrentPlan</t>
  </si>
  <si>
    <t>FE_BILL_001</t>
  </si>
  <si>
    <t>HrBillingSubscription shows 'Free' for a Free subscriber and 'Premium' for a Premium subscriber</t>
  </si>
  <si>
    <t>subscription = Free (ready); subscription = Premium</t>
  </si>
  <si>
    <t>HrBillingPaymentHistoryAndReceipt</t>
  </si>
  <si>
    <t>FE_BILL_002</t>
  </si>
  <si>
    <t>HrBillingPaymentHistoryAndRecei</t>
  </si>
  <si>
    <t>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</si>
  <si>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 Premium subscriber, 1 invoice 'HR-2026-01-01'; invoice WITH receiptUrl; invoice WITHOUT receiptUrl</t>
  </si>
  <si>
    <t>HrBillingCancelToFreeFlow</t>
  </si>
  <si>
    <t>FE_BILL_003</t>
  </si>
  <si>
    <t>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</si>
  <si>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 confirm dialog open, click 'Keep Premium'; confirm dialog open, click confirm; cancelSubscriptionSandbox resolves with planCode still PREMIUM, status='Cancelled'</t>
  </si>
  <si>
    <t>KnowledgePageListingAndErrors</t>
  </si>
  <si>
    <t>FE_HKB_001</t>
  </si>
  <si>
    <t>KnowledgePageContent lists documents fetched via onFetchDocs with file name and status, shows an empty state with none, and a FAILED document shows its own error message</t>
  </si>
  <si>
    <t>onFetchDocs resolves with 1 READY doc 'handbook.pdf'; onFetchDocs resolves []; onFetchDocs resolves with a FAILED doc, errorMessage='Unreadable PDF content'</t>
  </si>
  <si>
    <t>KnowledgeUploadAndSizeLimit</t>
  </si>
  <si>
    <t>FE_HKB_002</t>
  </si>
  <si>
    <t>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</si>
  <si>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 upload 'huge.pdf', 21MB (over the 20MB limit)</t>
  </si>
  <si>
    <t>KnowledgeDeleteConfirm</t>
  </si>
  <si>
    <t>FE_HKB_003</t>
  </si>
  <si>
    <t>Deleting a document asks for confirmation ('Delete document?') before calling onDelete and removes the row on confirm</t>
  </si>
  <si>
    <t>open the row's '···' menu, click 'Xoá nguồn', then confirm Delete</t>
  </si>
  <si>
    <t>RecommendationsListingFilterSearch</t>
  </si>
  <si>
    <t>FE_HREC_001</t>
  </si>
  <si>
    <t>RecommendationsListingFilterSea</t>
  </si>
  <si>
    <t>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</si>
  <si>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 click the 'Shortlisted' status tab; type 'react' into the search box; listRecommendations resolves []; listRecommendations rejects once, then Retry re-fetches</t>
  </si>
  <si>
    <t>RecommendationsShortlistDismissStateGating</t>
  </si>
  <si>
    <t>FE_HREC_002</t>
  </si>
  <si>
    <t>RecommendationsShortlistDismiss</t>
  </si>
  <si>
    <t>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</si>
  <si>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 status=NEW, dismissRecommendation rejects with 409; status=DISMISSED, click Shortlist; status=INVITED</t>
  </si>
  <si>
    <t>HrSettingsPreferencesNotificationsComingSoon</t>
  </si>
  <si>
    <t>FE_HRSET_001</t>
  </si>
  <si>
    <t>HrSettingsPreferencesNotificati</t>
  </si>
  <si>
    <t>The Preferences and Notifications tabs' Save Changes buttons are both disabled with a Coming soon tooltip (no backend to persist to yet), while individual notification toggles still update their own checked state live</t>
  </si>
  <si>
    <t>Preferences tab; Notifications tab; Notifications tab, click the first toggle</t>
  </si>
  <si>
    <t>InvitationsListingAndFilter</t>
  </si>
  <si>
    <t>FE_INV_001</t>
  </si>
  <si>
    <t>InvitationsList lists invitations with company name and a live Pending count badge on the tab, the Accepted tab filters the list to accepted-only, no invitations shows the empty state, and a load failure shows Retry which re-fetches</t>
  </si>
  <si>
    <t>listInvitations: 1 PENDING + 1 ACCEPTED; click the Accepted tab; listInvitations resolves []; listInvitations rejects once, then Retry re-fetches</t>
  </si>
  <si>
    <t>InvitationsAcceptFlow</t>
  </si>
  <si>
    <t>FE_INV_002</t>
  </si>
  <si>
    <t>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</si>
  <si>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 type '0912345678' (valid), click Accept invitation, acceptInvitation resolves; click Accept invitation, acceptInvitation rejects with 409</t>
  </si>
  <si>
    <t>InvitationsDeclineFlow</t>
  </si>
  <si>
    <t>FE_INV_003</t>
  </si>
  <si>
    <t>Decline asks for confirmation ('Decline this invitation?') before calling rejectInvitation and flips the status to Rejected</t>
  </si>
  <si>
    <t>click Decline, then confirm in the alert dialog</t>
  </si>
  <si>
    <t>MarketplaceBrowsingFilterSearch</t>
  </si>
  <si>
    <t>FE_MKT_001</t>
  </si>
  <si>
    <t>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</si>
  <si>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 type 'react' into search; select Difficulty=Hard; search for text matching no set; the 2nd (main) listQuestionSets call rejects, then Retry re-fetches</t>
  </si>
  <si>
    <t>MarketplaceBookmarkAndNavigation</t>
  </si>
  <si>
    <t>FE_MKT_002</t>
  </si>
  <si>
    <t>MarketplaceBookmarkAndNavigatio</t>
  </si>
  <si>
    <t>Clicking the bookmark icon on a card calls toggleBookmark and flips its label from 'Save for later' to 'Remove from saved'; each card's Start Practice link points at its own set-detail route</t>
  </si>
  <si>
    <t>click 'Save for later' on the first card; 3 cards, default featured sort</t>
  </si>
  <si>
    <t>PracticeSessionStarting</t>
  </si>
  <si>
    <t>FE_PRACSESS_001</t>
  </si>
  <si>
    <t>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</si>
  <si>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 startPracticeSession resolves with a 2-question session; startPracticeSession rejects with a generic Error, then Retry re-invokes and succeeds; startPracticeSession rejects with a ForbiddenError (403)</t>
  </si>
  <si>
    <t>PracticeSessionResume</t>
  </si>
  <si>
    <t>FE_PRACSESS_002</t>
  </si>
  <si>
    <t>Resuming a session with previously-submitted answers lands on the first UNANSWERED question (not the first question overall), shows a Resumed badge, and shows a welcome-back toast</t>
  </si>
  <si>
    <t>q-1 has an answerText already, q-2 does not</t>
  </si>
  <si>
    <t>PracticeSessionFinishAndSubmit</t>
  </si>
  <si>
    <t>FE_PRACSESS_003</t>
  </si>
  <si>
    <t>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</si>
  <si>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 single-question session, all answered, click Finish &amp; Get Feedback; review dialog open, click Submit &amp; grade</t>
  </si>
  <si>
    <t>PracticeSessionAutoCompletedFallback</t>
  </si>
  <si>
    <t>FE_PRACSESS_004</t>
  </si>
  <si>
    <t>PracticeSessionAutoCompletedFal</t>
  </si>
  <si>
    <t>A real code finding: if completePracticeSession() fails but a follow-up getPracticeSession() shows the session already COMPLETED server-side (BE auto-completed it via its own time limit), the candidate is still routed to the result page instead of shown an error</t>
  </si>
  <si>
    <t>completePracticeSession rejects (400, 'Session already completed'); getPracticeSession reports status=COMPLETED</t>
  </si>
  <si>
    <t>PracticeSessionLockedQuestion</t>
  </si>
  <si>
    <t>FE_PRACSESS_005</t>
  </si>
  <si>
    <t>A locked (Free-plan) question hides its text and answer box entirely and shows an upgrade prompt instead of the real question content</t>
  </si>
  <si>
    <t>single-question session, question.isLocked=true</t>
  </si>
  <si>
    <t>Shared Platform Infrastructure (Realtime / Premium-Revoked UX)</t>
  </si>
  <si>
    <t>SharedPlatformModule</t>
  </si>
  <si>
    <t>PremiumRevokedDialogVisibilityAndAudience</t>
  </si>
  <si>
    <t>FE_PRD_001</t>
  </si>
  <si>
    <t>PremiumRevokedDialogVisibilityA</t>
  </si>
  <si>
    <t>PremiumRevokedDialog renders nothing when open=false; when open, it shows the revoked title and the HR lost-features list by default; audience='candidate' swaps in the candidate-specific lost-features list instead</t>
  </si>
  <si>
    <t>open=false; open=true, no audience prop (default HR); open=true, audience='candidate'</t>
  </si>
  <si>
    <t>PremiumRevokedDialogUpgradeCta</t>
  </si>
  <si>
    <t>FE_PRD_002</t>
  </si>
  <si>
    <t>No Upgrade CTA is rendered when onUpgrade isn't provided; when it is, clicking 'Upgrade Again' calls onUpgrade then onClose</t>
  </si>
  <si>
    <t>no onUpgrade prop; onUpgrade provided, click 'Upgrade Again →'</t>
  </si>
  <si>
    <t>PremiumRevokedDialogCloseVariants</t>
  </si>
  <si>
    <t>FE_PRD_003</t>
  </si>
  <si>
    <t>PremiumRevokedDialogCloseVarian</t>
  </si>
  <si>
    <t>The dialog can be dismissed 4 equivalent ways, the bottom 'Close' button, clicking the backdrop, pressing Escape, or the header X button, each calling onClose exactly once without calling onUpgrade</t>
  </si>
  <si>
    <t>click the bottom 'Close' button (2nd of 2 same-named buttons); click the backdrop; press Escape; click the header X 'Close' button (1st of 2)</t>
  </si>
  <si>
    <t>SubscriptionHubConnectionNeverThrows</t>
  </si>
  <si>
    <t>FE_SUBRT_001</t>
  </si>
  <si>
    <t>SubscriptionHubConnectionNeverT</t>
  </si>
  <si>
    <t>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</si>
  <si>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 render a component using useSubscriptionRealtime in jsdom</t>
  </si>
  <si>
    <t>SubscriptionRealtimeFallbackPoll</t>
  </si>
  <si>
    <t>FE_SUBRT_002</t>
  </si>
  <si>
    <t>SubscriptionRealtimeFallbackPol</t>
  </si>
  <si>
    <t>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</si>
  <si>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 enabled=false, advance 120s; advance 30s once, then unmount, then advance 60s more; rerender with a new onChange callback before the first 30s tick</t>
  </si>
  <si>
    <t>Backend API (RAG_IQGS)</t>
  </si>
  <si>
    <t>HRRAGBackendAPITest</t>
  </si>
  <si>
    <t>HealthCheckEndpoints</t>
  </si>
  <si>
    <t>BE_API_001</t>
  </si>
  <si>
    <t>Verify GET /health and GET /api/v1/health report status based on Ollama connectivity, and require no auth</t>
  </si>
  <si>
    <t>Ollama service reachable; Ollama service unreachable; No X-Internal-Api-Key header sent</t>
  </si>
  <si>
    <t>InternalApiKeyAuthGate</t>
  </si>
  <si>
    <t>BE_API_002</t>
  </si>
  <si>
    <t>Verify X-Internal-Api-Key enforcement across protected endpoints, including the fail-open config gap</t>
  </si>
  <si>
    <t>X-Internal-Api-Key header matches CONFIG["internal_api_key"]; X-Internal-Api-Key header is missing entirely; X-Internal-Api-Key header present but the value is wrong; INTERNAL_API_KEY env var is empty/unset on the server</t>
  </si>
  <si>
    <t>ChatEndpointValidation</t>
  </si>
  <si>
    <t>BE_API_003</t>
  </si>
  <si>
    <t>Verify POST /api/v1/chat request validation, including the empty-question gap</t>
  </si>
  <si>
    <t>question is a valid non-empty string; question is an empty string ""; Body is malformed JSON / wrong field type; X-Internal-Api-Key missing</t>
  </si>
  <si>
    <t>IngestSystemFilesValidation</t>
  </si>
  <si>
    <t>BE_API_004</t>
  </si>
  <si>
    <t>Verify POST /api/v1/knowledge/system/files upload validation (extension/size/count/filename)</t>
  </si>
  <si>
    <t>.pdf file, 5MB; .exe file (unsupported extension); .pdf file, 30MB (over the 25MB limit); 21 files attached in one request (over max_upload_files=20); files field sent but empty; filename contains path traversal (e.g. "../../secrets.txt")</t>
  </si>
  <si>
    <t>IngestHrFilesValidation</t>
  </si>
  <si>
    <t>BE_API_005</t>
  </si>
  <si>
    <t>Verify POST /api/v1/knowledge/hr/{owner_id}/files validation, including blank owner_id</t>
  </si>
  <si>
    <t>owner_id is a valid non-empty string, valid file attached; owner_id is blank/empty in the path; owner_id contains special/unexpected characters</t>
  </si>
  <si>
    <t>JdValidationRules</t>
  </si>
  <si>
    <t>BE_API_006</t>
  </si>
  <si>
    <t>Verify JD ingest validation rules (min/max chars/words, line count, printable ratio, keyword signal groups)</t>
  </si>
  <si>
    <t>500 characters, 90 words, well-structured; 350 characters (below jd_min_chars=400); 35,000 characters (above jd_max_chars=30000); 60 words (below jd_min_words=80); 5,500 words (above jd_max_words=5000); Only 3 non-empty lines; Text matches fewer than 2 of the 4 keyword signal groups; 70%+ of lines are trivial bullet points</t>
  </si>
  <si>
    <t>InterviewPlanStartValidation</t>
  </si>
  <si>
    <t>BE_API_007</t>
  </si>
  <si>
    <t>Verify POST /api/v1/interview-plans/start validation and the vector-store-readiness gate</t>
  </si>
  <si>
    <t>Valid owner_id, vector store is_ready=true; owner_id is blank; Vector store is_ready=false (ingest-system/ingest-hr not run yet); Vector store ready, but no chunks match the query in system_kb/hr_kb</t>
  </si>
  <si>
    <t>InterviewPlanMessagesClarifyLoop</t>
  </si>
  <si>
    <t>BE_API_008</t>
  </si>
  <si>
    <t>InterviewPlanMessagesClarifyLoo</t>
  </si>
  <si>
    <t>Verify POST /api/v1/interview-plans/messages clarify-turn cap (max_plan_turns=5)</t>
  </si>
  <si>
    <t>1st-4th clarify turn on the same plan session; 5th clarify turn (at the max_plan_turns=5 cap); 6th clarify turn attempted (exceeds the cap); message field is empty</t>
  </si>
  <si>
    <t>InterviewPlanConfirmValidation</t>
  </si>
  <si>
    <t>BE_API_009</t>
  </si>
  <si>
    <t>Verify POST /api/v1/interview-plans/confirm validation, including the question_count 1-30 bound</t>
  </si>
  <si>
    <t>plan_draft provided, question_count=10; plan_draft missing entirely; question_count=0; question_count=31; question_types contains a value outside {technical, behavioral, situational}</t>
  </si>
  <si>
    <t>InterviewQuestionsGenerateValidation</t>
  </si>
  <si>
    <t>BE_API_010</t>
  </si>
  <si>
    <t>InterviewQuestionsGenerateValid</t>
  </si>
  <si>
    <t>Verify POST /api/v1/interview-questions validation, including the missing question_count bound check on this direct path</t>
  </si>
  <si>
    <t>confirmed_plan object provided; owner_id, role, and level all provided (no confirmed_plan); Neither confirmed_plan nor owner_id/role/level given; question_count=500 sent on this direct (non-plan) generation path</t>
  </si>
  <si>
    <t>ErrorResponseEnvelopeConsistency</t>
  </si>
  <si>
    <t>BE_API_011</t>
  </si>
  <si>
    <t>ErrorResponseEnvelopeConsistenc</t>
  </si>
  <si>
    <t>API-contract finding: two incompatible error response shapes coexist across the API</t>
  </si>
  <si>
    <t>Business-logic error on a /api/v1/* route (e.g. JD_INVALID, NOT_READY); Raw HTTPException (401 auth failure, blank owner_id 400); FastAPI automatic request validation error (malformed JSON/wrong types)</t>
  </si>
  <si>
    <t>LlmErrorMapping</t>
  </si>
  <si>
    <t>BE_API_012</t>
  </si>
  <si>
    <t>Verify Ollama-down behavior differs by endpoint - proper 502 LLM_ERROR mapping on plan endpoints vs an unhandled raw 500 on chat/question-generation</t>
  </si>
  <si>
    <t>Ollama unreachable during a plan-start call (wrapped in try/except); Ollama unreachable during a chat call (NOT wrapped in try/except); Ollama unreachable during interview-questions generation (no try/except around the LLM call)</t>
  </si>
  <si>
    <t>LegacyEndpointsDeprecation</t>
  </si>
  <si>
    <t>BE_API_013</t>
  </si>
  <si>
    <t>Verify legacy (unprefixed) endpoints are still live but hidden from OpenAPI docs, with deprecation headers</t>
  </si>
  <si>
    <t>GET /status (legacy path, no /api/v1 prefix); POST /chat (legacy); POST /generate-questions (legacy); Open /api/v1/docs and look for these legacy routes</t>
  </si>
  <si>
    <t>SynchronousBlockingNoTimeout</t>
  </si>
  <si>
    <t>BE_API_014</t>
  </si>
  <si>
    <t>Verify there is no async job/polling pattern - generation calls block synchronously with no configured timeout</t>
  </si>
  <si>
    <t>Ollama responds normally within a few seconds; Ollama hangs/responds very slowly during a generation call</t>
  </si>
  <si>
    <t>NoCorsMiddlewareConfigured</t>
  </si>
  <si>
    <t>BE_API_015</t>
  </si>
  <si>
    <t>Static finding: no CORSMiddleware configured; browser-based cross-origin calls have undefined preflight behavior</t>
  </si>
  <si>
    <t>Server-to-server call (current architecture - Next.js API routes forward with the internal key); Direct browser fetch from a different origin (not how the app is wired today)</t>
  </si>
  <si>
    <t>NoRateLimitingConfigured</t>
  </si>
  <si>
    <t>BE_API_016</t>
  </si>
  <si>
    <t>Static finding: no rate limiting exists on any endpoint, including expensive LLM-backed ones</t>
  </si>
  <si>
    <t>Many rapid repeated requests to /api/v1/chat from the same caller; Many rapid repeated requests to /api/v1/interview-questions from the same caller</t>
  </si>
  <si>
    <t>StartupNoFailFastValidation</t>
  </si>
  <si>
    <t>BE_API_017</t>
  </si>
  <si>
    <t>Static finding: missing/misconfigured env vars do not crash startup, only fail at request time</t>
  </si>
  <si>
    <t>OLLAMA_BASE_URL is missing or invalid; INTERNAL_API_KEY is missing/empty; Chroma persist directory path is misconfigured</t>
  </si>
  <si>
    <t>FileExtensionAllowList</t>
  </si>
  <si>
    <t>BE_API_018</t>
  </si>
  <si>
    <t>Verify the ingestion file-extension allow-list (.pdf .docx .txt .md .json .xlsx .xls) is enforced consistently</t>
  </si>
  <si>
    <t>.pdf; .docx; .txt; .md; .json; .xlsx; .xls; .exe; .zip</t>
  </si>
  <si>
    <t>UNIT TEST REPORT</t>
  </si>
  <si>
    <t>Reviewer/Approver</t>
  </si>
  <si>
    <t>&lt;Date when this test report is created&gt;</t>
  </si>
  <si>
    <t>Notes</t>
  </si>
  <si>
    <t>&lt;List modules included in this release&gt; ex: Release 1 includes 2 modules: Module1 and Module2</t>
  </si>
  <si>
    <t>Function code</t>
  </si>
  <si>
    <t>Passed</t>
  </si>
  <si>
    <t>Failed</t>
  </si>
  <si>
    <t>Untested</t>
  </si>
  <si>
    <t>N</t>
  </si>
  <si>
    <t>B</t>
  </si>
  <si>
    <t>Total Test Cases</t>
  </si>
  <si>
    <t>Sub total</t>
  </si>
  <si>
    <t>Test coverage</t>
  </si>
  <si>
    <t>%</t>
  </si>
  <si>
    <t>Test successful coverage</t>
  </si>
  <si>
    <t>Normal case</t>
  </si>
  <si>
    <t>Abnormal case</t>
  </si>
  <si>
    <t>Boundary case</t>
  </si>
  <si>
    <t>Code Module</t>
  </si>
  <si>
    <t>Method</t>
  </si>
  <si>
    <t>Created By</t>
  </si>
  <si>
    <t>SU26SE102-GSU26SE52</t>
  </si>
  <si>
    <t>Executed By</t>
  </si>
  <si>
    <t>Test requirement</t>
  </si>
  <si>
    <t>FE_MQ_001 - Display manual question creation form with default fields when HR opens /hr/generate/manual</t>
  </si>
  <si>
    <t>N/A/B</t>
  </si>
  <si>
    <t>UTCID01</t>
  </si>
  <si>
    <t>UTCID02</t>
  </si>
  <si>
    <t>UTCID03</t>
  </si>
  <si>
    <t>Condition</t>
  </si>
  <si>
    <t>Precondition</t>
  </si>
  <si>
    <t>HR user is logged in</t>
  </si>
  <si>
    <t>O</t>
  </si>
  <si>
    <t>Network is connected</t>
  </si>
  <si>
    <t>Browser</t>
  </si>
  <si>
    <t>Chrome</t>
  </si>
  <si>
    <t>-</t>
  </si>
  <si>
    <t>Firefox</t>
  </si>
  <si>
    <t>Safari</t>
  </si>
  <si>
    <t>Confirm</t>
  </si>
  <si>
    <t>Return</t>
  </si>
  <si>
    <t>Job title field is displayed empty</t>
  </si>
  <si>
    <t>Level dropdown defaults to "Mid-level"</t>
  </si>
  <si>
    <t>Interview duration input defaults to 60</t>
  </si>
  <si>
    <t>5 empty question rows are shown</t>
  </si>
  <si>
    <t>Save / Export .txt / Import from Excel buttons are visible</t>
  </si>
  <si>
    <t>Log message</t>
  </si>
  <si>
    <t>"Manual question page rendered successfully"</t>
  </si>
  <si>
    <t>Result</t>
  </si>
  <si>
    <t>Type (N: Normal, A: Abnormal, B: Boundary)</t>
  </si>
  <si>
    <t>Passed/Failed</t>
  </si>
  <si>
    <t>P</t>
  </si>
  <si>
    <t>Executed Date</t>
  </si>
  <si>
    <t>Defect ID</t>
  </si>
  <si>
    <t>FE_MQ_002 - Validate that saving a question set requires a non-blank job title</t>
  </si>
  <si>
    <t>HR is on the manual question page</t>
  </si>
  <si>
    <t>At least 1 question row is filled</t>
  </si>
  <si>
    <t>Job title</t>
  </si>
  <si>
    <t>Empty</t>
  </si>
  <si>
    <t>Whitespace only ("   ")</t>
  </si>
  <si>
    <t>Valid ("Backend Developer")</t>
  </si>
  <si>
    <t>Action</t>
  </si>
  <si>
    <t>Click "Save question set"</t>
  </si>
  <si>
    <t>Save succeeds, success toast is shown</t>
  </si>
  <si>
    <t>Exception</t>
  </si>
  <si>
    <t>"Please enter the job title." + red border on the field</t>
  </si>
  <si>
    <t>FE_MQ_003 - Validate question content requirement rules before a question set can be saved</t>
  </si>
  <si>
    <t>Question rows</t>
  </si>
  <si>
    <t>One row has blank content while others are filled</t>
  </si>
  <si>
    <t>All rows are blank (0 filled)</t>
  </si>
  <si>
    <t>All rows are filled with content</t>
  </si>
  <si>
    <t>Save succeeds, toast "Saved ... (N questions)."</t>
  </si>
  <si>
    <t>"Question content cannot be empty."</t>
  </si>
  <si>
    <t>"Please add at least 1 question."</t>
  </si>
  <si>
    <t>FE_MQ_004 - Verify interview duration input clamping at its min/max boundaries (input: min=15, max=240, step=5)</t>
  </si>
  <si>
    <t>Duration input value</t>
  </si>
  <si>
    <t>14 (below min 15)</t>
  </si>
  <si>
    <t>240 (at max)</t>
  </si>
  <si>
    <t>9999 (above max 240)</t>
  </si>
  <si>
    <t>Value is clamped up to 15</t>
  </si>
  <si>
    <t>Value is accepted as 240</t>
  </si>
  <si>
    <t>Value is accepted as 9999 (should clamp to 240)</t>
  </si>
  <si>
    <t>Known defect: onChange only clamps the lower bound, not the upper bound</t>
  </si>
  <si>
    <t>FE_MQ_005 - Verify the save flow's loading/success UX across browsers (client-side only, no real persistence)</t>
  </si>
  <si>
    <t>Save button disables, spinner + "Saving…" shown for ~800ms</t>
  </si>
  <si>
    <t>Success toast "Saved "{role}" ({count} questions)." is shown</t>
  </si>
  <si>
    <t>"Question set saved (client-side only, no backend call)"</t>
  </si>
  <si>
    <t>FE_MQ_006 - Verify the delete (trash) action is guarded so at least 1 question row always remains</t>
  </si>
  <si>
    <t>Question count</t>
  </si>
  <si>
    <t>Starts with 5 questions, delete down to 1</t>
  </si>
  <si>
    <t>Starts with 2 questions, delete 1</t>
  </si>
  <si>
    <t>Exactly 1 question remaining</t>
  </si>
  <si>
    <t>Click the trash icon</t>
  </si>
  <si>
    <t>Trash icon becomes disabled once only 1 question remains</t>
  </si>
  <si>
    <t>Delete succeeds, 1 question remains</t>
  </si>
  <si>
    <t>Click has no effect, question count stays at 1</t>
  </si>
  <si>
    <t>FE_MQ_007 - Verify importing questions from a valid .xlsx file (downloaded template)</t>
  </si>
  <si>
    <t>Import file</t>
  </si>
  <si>
    <t>Existing rows present, valid .xlsx from the template</t>
  </si>
  <si>
    <t>Contains a typo'd Type value (e.g. "Techncal")</t>
  </si>
  <si>
    <t>Import mode</t>
  </si>
  <si>
    <t>Append</t>
  </si>
  <si>
    <t>Replace all</t>
  </si>
  <si>
    <t>Imported questions appended to the end, existing rows kept</t>
  </si>
  <si>
    <t>Existing rows cleared, replaced with imported ones</t>
  </si>
  <si>
    <t>Toast "Imported {count} questions from Excel." is shown</t>
  </si>
  <si>
    <t>Unrecognized Type silently falls back to "Technical" (no error shown)</t>
  </si>
  <si>
    <t>FE_MQ_008 - Verify rejection handling for unsupported, empty, or unreadable import files</t>
  </si>
  <si>
    <t>Selected file</t>
  </si>
  <si>
    <t>a .pdf or .docx file</t>
  </si>
  <si>
    <t>a valid .xlsx with all rows blank</t>
  </si>
  <si>
    <t>a corrupted/renamed .xlsx (not a real Excel binary)</t>
  </si>
  <si>
    <t>"Only .xlsx or .xls files are supported."</t>
  </si>
  <si>
    <t>"No valid data found. Please check the file format."</t>
  </si>
  <si>
    <t>"Could not read the file. Please use the provided Excel template."</t>
  </si>
  <si>
    <t>FE_MQ_009 - Verify "Export .txt" requires a job title and at least 1 filled question before downloading</t>
  </si>
  <si>
    <t>Job title / question state</t>
  </si>
  <si>
    <t>Empty title, 0 questions</t>
  </si>
  <si>
    <t>Valid title, 0 filled questions</t>
  </si>
  <si>
    <t>Valid title, &gt;=1 filled question</t>
  </si>
  <si>
    <t>Click "Export .txt"</t>
  </si>
  <si>
    <t>.txt file downloads with role/level/duration/questions</t>
  </si>
  <si>
    <t>"Enter a role and at least 1 question before exporting."</t>
  </si>
  <si>
    <t>FE_MQ_010 - Verify HR can reach manual creation from the AI-quota-exceeded banner/dialog once the Free-plan cooldown is hit</t>
  </si>
  <si>
    <t>Subscription / quota state</t>
  </si>
  <si>
    <t>Free plan, quota exhausted, on /hr/generate</t>
  </si>
  <si>
    <t>Free plan, quota exhausted, on Studio JD flow</t>
  </si>
  <si>
    <t>Premium plan, generateUnlimited = true</t>
  </si>
  <si>
    <t>Amber banner + "Create manually" link is shown</t>
  </si>
  <si>
    <t>Full-screen alertdialog + "Create manually" button is shown</t>
  </si>
  <si>
    <t>No quota banner/modal is shown, AI generation proceeds normally</t>
  </si>
  <si>
    <t>Clicking "Create manually" navigates to /hr/generate/manual</t>
  </si>
  <si>
    <t>FE_MQ_011 - Verify behavior when a non-HR account directly navigates to /hr/generate/manual by URL (no client-side role guard found in code)</t>
  </si>
  <si>
    <t>Session</t>
  </si>
  <si>
    <t>Candidate role</t>
  </si>
  <si>
    <t>Admin role</t>
  </si>
  <si>
    <t>Guest (not logged in)</t>
  </si>
  <si>
    <t>Enter /hr/generate/manual directly in the address bar</t>
  </si>
  <si>
    <t>Expected: access is blocked/redirected (TBD - confirm with dev)</t>
  </si>
  <si>
    <t>Flagged as potential access-control gap for dev confirmation</t>
  </si>
  <si>
    <t>FE_RAG_001 - Studio: validate JD paste input behavior - no minimum length enforced, Save &amp; Analyze disabled only when empty</t>
  </si>
  <si>
    <t>UTCID04</t>
  </si>
  <si>
    <t>JD paste content</t>
  </si>
  <si>
    <t>Textarea is completely empty</t>
  </si>
  <si>
    <t>Contains only 10 characters</t>
  </si>
  <si>
    <t>Contains a full valid JD (500+ characters)</t>
  </si>
  <si>
    <t>Contains only whitespace</t>
  </si>
  <si>
    <t>"Save &amp; Analyze" button is disabled</t>
  </si>
  <si>
    <t>"Save &amp; Analyze" button is enabled</t>
  </si>
  <si>
    <t>Live word/char counter updates as typed</t>
  </si>
  <si>
    <t>No minimum-length warning shown even for a 10-char JD (gap vs. GenerateForm's 400-char rule)</t>
  </si>
  <si>
    <t>FE_RAG_002 - Studio: validate accepted JD upload file types (.pdf/.docx/.txt/.jpg/.jpeg/.png) and the missing client-side size check</t>
  </si>
  <si>
    <t>UTCID05</t>
  </si>
  <si>
    <t>UTCID06</t>
  </si>
  <si>
    <t>File selected</t>
  </si>
  <si>
    <t>.pdf file</t>
  </si>
  <si>
    <t>.docx file</t>
  </si>
  <si>
    <t>.txt file</t>
  </si>
  <si>
    <t>.jpg / .png image file</t>
  </si>
  <si>
    <t>unsupported type (.xlsx)</t>
  </si>
  <si>
    <t>accepted type but file is well over the "max 20MB" label</t>
  </si>
  <si>
    <t>File is accepted and uploaded</t>
  </si>
  <si>
    <t>File is rejected (unsupported type)</t>
  </si>
  <si>
    <t>Oversized file is still accepted - no client-side size check despite the "max 20MB" label (DEFECT)</t>
  </si>
  <si>
    <t>FE_RAG_003 - Studio: verify RAG ingestion status chips for attached Knowledge Base documents and checkbox gating</t>
  </si>
  <si>
    <t>RAG ingestion status</t>
  </si>
  <si>
    <t>Queued</t>
  </si>
  <si>
    <t>Processing</t>
  </si>
  <si>
    <t>Completed</t>
  </si>
  <si>
    <t>Status chip displays the matching label</t>
  </si>
  <si>
    <t>Checkbox is disabled with tooltip "requires RAG Completed"</t>
  </si>
  <si>
    <t>Checkbox is enabled, document can be used as a source</t>
  </si>
  <si>
    <t>FE_RAG_004 - Studio: verify Sources/Inspector panels lock once generation starts or questions already exist</t>
  </si>
  <si>
    <t>State</t>
  </si>
  <si>
    <t>Not generating, no questions yet</t>
  </si>
  <si>
    <t>Generation in progress (isGeneratingQuestions)</t>
  </si>
  <si>
    <t>Questions already exist from a prior generation</t>
  </si>
  <si>
    <t>Panels are fully editable</t>
  </si>
  <si>
    <t>Panels show 60% opacity + click-blocked overlay</t>
  </si>
  <si>
    <t>Tooltip "Locked — click New Set to edit Studio" shown on hover</t>
  </si>
  <si>
    <t>FE_RAG_005 - Studio: verify the happy-path Generate Questions flow (toast, 2.5s polling, success)</t>
  </si>
  <si>
    <t>Job progression</t>
  </si>
  <si>
    <t>Completes on the first poll</t>
  </si>
  <si>
    <t>Pending -&gt; Completed after the 2nd poll</t>
  </si>
  <si>
    <t>Generating for several polls before Completed</t>
  </si>
  <si>
    <t>Toast "Sent to RAG — generating questions…" shown immediately on submit</t>
  </si>
  <si>
    <t>Toast "{{count}} questions generated." shown on completion</t>
  </si>
  <si>
    <t>Question list refetches and displays the new questions</t>
  </si>
  <si>
    <t>"generationStarted" then "generationDone" toasts fire in order</t>
  </si>
  <si>
    <t>FE_RAG_006 - Studio: verify auto-retry with replaceExisting:true when backend returns QUESTIONS_ALREADY_EXIST</t>
  </si>
  <si>
    <t>Plan has no existing questions yet</t>
  </si>
  <si>
    <t>Plan already has questions from a prior generation</t>
  </si>
  <si>
    <t>Generates normally, no retry needed</t>
  </si>
  <si>
    <t>1st call fails with QUESTIONS_ALREADY_EXIST, auto-retries with replaceExisting:true, succeeds silently</t>
  </si>
  <si>
    <t>Retry also fails, error toast shown</t>
  </si>
  <si>
    <t>No confirmation dialog warns HR that existing questions will be replaced (GAP)</t>
  </si>
  <si>
    <t>FE_RAG_007 - Studio: verify a Failed generation run surfaces the backend errorCode/errorMessage via toast</t>
  </si>
  <si>
    <t>Job status</t>
  </si>
  <si>
    <t>Failed, errorCode and errorMessage both present</t>
  </si>
  <si>
    <t>Failed, only errorCode present</t>
  </si>
  <si>
    <t>Failed, neither errorCode nor errorMessage present</t>
  </si>
  <si>
    <t>Toast shows "[errorCode] errorMessage"</t>
  </si>
  <si>
    <t>Toast shows "[errorCode] RAG sinh câu hỏi thất bại." (fallback text, Vietnamese even in EN UI)</t>
  </si>
  <si>
    <t>Toast shows "[FAILED] RAG sinh câu hỏi thất bại." (both fallbacks)</t>
  </si>
  <si>
    <t>FE_RAG_008 - Studio: verify behavior when a generation run exceeds the 5-minute polling deadline</t>
  </si>
  <si>
    <t>Job duration</t>
  </si>
  <si>
    <t>Completes just under 5 minutes</t>
  </si>
  <si>
    <t>Still Pending/Generating past the 5-minute mark</t>
  </si>
  <si>
    <t>Completes normally, questions shown</t>
  </si>
  <si>
    <t>Timeout message "Job vẫn {status} sau 5 phút… bấm Làm mới trạng thái." (Vietnamese-only, not localized)</t>
  </si>
  <si>
    <t>FE_RAG_009 - Studio: verify a Pending/Generating run resumes polling automatically after page reload/tab-switch</t>
  </si>
  <si>
    <t>State at reload</t>
  </si>
  <si>
    <t>Run status is Pending</t>
  </si>
  <si>
    <t>Run status is Generating</t>
  </si>
  <si>
    <t>Run already Completed before reload</t>
  </si>
  <si>
    <t>Background poll (3s interval, no deadline) resumes automatically</t>
  </si>
  <si>
    <t>No polling needed, questions already shown</t>
  </si>
  <si>
    <t>FE_RAG_010 - Studio: verify the full-page blocking quota modal (Free plan cooldown), including the new suppression while a run is already in flight</t>
  </si>
  <si>
    <t>Subscription / run state</t>
  </si>
  <si>
    <t>Free plan, within 24h cooldown, no generation currently in flight</t>
  </si>
  <si>
    <t>Free plan, cooldown period has passed</t>
  </si>
  <si>
    <t>Premium plan (generateUnlimited = true)</t>
  </si>
  <si>
    <t>Free plan quota exceeded, but a generation run is currently in flight (isGeneratingQuestions, or generationRun.status is Generating/Pending, or isStreaming)</t>
  </si>
  <si>
    <t>Free plan quota exceeded; the previously in-flight run just completed or failed</t>
  </si>
  <si>
    <t>Full-screen alertdialog blocks the entire page (JD/plan editing also blocked)</t>
  </si>
  <si>
    <t>Title "Daily generation limit reached" with cooldown end time shown</t>
  </si>
  <si>
    <t>"View plans &amp; billing" / "Create manually" are the only escape hatches</t>
  </si>
  <si>
    <t>No modal shown, Studio fully usable</t>
  </si>
  <si>
    <t>Dialog is suppressed while quotaBlocked is true if a run is already in flight - avoids blocking work that already consumed the quota; it surfaces automatically the moment the run completes/fails</t>
  </si>
  <si>
    <t>FE_RAG_011 - Studio: verify refine/apply-settings are blocked once a plan is approved, without hitting the API</t>
  </si>
  <si>
    <t>Plan state</t>
  </si>
  <si>
    <t>Plan is in draft / not approved</t>
  </si>
  <si>
    <t>Plan is approved, HR sends a refine chat message</t>
  </si>
  <si>
    <t>Plan is approved, HR tries to apply settings</t>
  </si>
  <si>
    <t>Refine/chat message sends normally</t>
  </si>
  <si>
    <t>Toast "Plan is approved — cannot refine. Re-create plan to edit.", no API call made</t>
  </si>
  <si>
    <t>Toast "Plan is approved — cannot apply settings. Re-create plan.", no API call made</t>
  </si>
  <si>
    <t>FE_RAG_012 - Studio: verify per-question edit/delete/AI-regenerate actions after generation, including the hard-coded estimatedMinutes bug</t>
  </si>
  <si>
    <t>HR edits a question's content/difficulty/type and saves</t>
  </si>
  <si>
    <t>HR deletes a question</t>
  </si>
  <si>
    <t>HR clicks AI-regenerate on a single question</t>
  </si>
  <si>
    <t>HR double-clicks AI-regenerate rapidly on the same question</t>
  </si>
  <si>
    <t>PUT sent with new content/difficulty/type; estimatedMinutes always sent as 5 regardless of actual value (DEFECT)</t>
  </si>
  <si>
    <t>DELETE removes the question from the list</t>
  </si>
  <si>
    <t>POST regenerate replaces question content via RAG, list refetches</t>
  </si>
  <si>
    <t>No loading-state guard found - rapid double-click may fire duplicate regenerate requests (GAP)</t>
  </si>
  <si>
    <t>FE_RAG_013 - Studio: verify Save Draft / Publish / Unpublish / Create Share link / New Session actions</t>
  </si>
  <si>
    <t>Click Save Draft</t>
  </si>
  <si>
    <t>Click Publish</t>
  </si>
  <si>
    <t>Click Unpublish on a published set</t>
  </si>
  <si>
    <t>Click Create Share link</t>
  </si>
  <si>
    <t>Start a new session from a shared link</t>
  </si>
  <si>
    <t>Toast "draftSaved" shown</t>
  </si>
  <si>
    <t>Toast "published" shown</t>
  </si>
  <si>
    <t>Toast "unpublished" shown</t>
  </si>
  <si>
    <t>Toast "shareCreated" shown with a shareable link</t>
  </si>
  <si>
    <t>Toast "newSessionCreated" shown</t>
  </si>
  <si>
    <t>FE_RAG_014 - 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</si>
  <si>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Client-side redirect fires on mount, landing on /hr/generate-question (Studio)</t>
  </si>
  <si>
    <t>All GenerateForm-specific UI/copy/mechanics are dead code as of this redirect - do not write new test cases against /hr/generate itself</t>
  </si>
  <si>
    <t>FE_RAGAUTH_001 - Verify a 401 on any HR/RAG-adjacent call triggers a silent token refresh + transparent retry when refresh succeeds</t>
  </si>
  <si>
    <t>Request that receives 401</t>
  </si>
  <si>
    <t>Studio getGenerationRun poll request</t>
  </si>
  <si>
    <t>GenerateForm getGenerationJob poll request</t>
  </si>
  <si>
    <t>A normal HR action call (e.g. Save Draft)</t>
  </si>
  <si>
    <t>refreshAccessToken() called, POST /api/auth/refresh-token succeeds</t>
  </si>
  <si>
    <t>Original request retried transparently with the new token, no visible interruption</t>
  </si>
  <si>
    <t>In-progress polling continues seamlessly</t>
  </si>
  <si>
    <t>FE_RAGAUTH_002 - Verify a 401 with a failed refresh results in silent clearAuth + hard redirect to /login, with zero toast/message</t>
  </si>
  <si>
    <t>Refresh attempt outcome</t>
  </si>
  <si>
    <t>Refresh endpoint returns a non-2xx response</t>
  </si>
  <si>
    <t>Refresh call fails due to a network error</t>
  </si>
  <si>
    <t>Refresh response has no parseable accessToken/access_token/token field</t>
  </si>
  <si>
    <t>clearAuth() removes interviewai_auth, interviewai_user_role, tokens, cached profile</t>
  </si>
  <si>
    <t>window.location.assign("/login") triggers a hard full-page navigation</t>
  </si>
  <si>
    <t>No toast or "session expired" message is shown anywhere before the redirect</t>
  </si>
  <si>
    <t>Any in-progress RAG generation polling is silently abandoned since the page unloads (GAP)</t>
  </si>
  <si>
    <t>FE_RAGAUTH_003 - Verify immediate redirect when no refresh token exists in storage at all</t>
  </si>
  <si>
    <t>performRefresh() short-circuits to false without any network call</t>
  </si>
  <si>
    <t>clearAuth() + redirectToLogin() fire immediately</t>
  </si>
  <si>
    <t>FE_RAGAUTH_004 - Verify a 401 on the refresh-token call itself is treated as unrecoverable (no further retry)</t>
  </si>
  <si>
    <t>clearAuth() + redirectToLogin() fire immediately, no further refresh attempt</t>
  </si>
  <si>
    <t>FE_RAGAUTH_005 - Verify a second 401 on an already-retried request is treated as unrecoverable</t>
  </si>
  <si>
    <t>clearAuth() + redirectToLogin() fire immediately, no second refresh attempted</t>
  </si>
  <si>
    <t>FE_RAGAUTH_006 - Verify 401s on public auth endpoints (login/register/verify-email/etc.) bypass the refresh/redirect interceptor entirely</t>
  </si>
  <si>
    <t>Failing endpoint</t>
  </si>
  <si>
    <t>/api/auth/login returns 401 (wrong credentials)</t>
  </si>
  <si>
    <t>/api/auth/register returns 401</t>
  </si>
  <si>
    <t>/api/auth/verify-email returns 401 (expired link)</t>
  </si>
  <si>
    <t>Interceptor rejects without attempting refresh or redirect</t>
  </si>
  <si>
    <t>The calling page's own error handling shows the appropriate inline message</t>
  </si>
  <si>
    <t>FE_RAGAUTH_007 - Verify 403 responses on HR/Studio/RAG-adjacent endpoints have no dedicated handling and fall through to generic messaging</t>
  </si>
  <si>
    <t>403 response shape</t>
  </si>
  <si>
    <t>Backend returns response.data.detail with a specific message</t>
  </si>
  <si>
    <t>Backend returns 403 with no parseable body</t>
  </si>
  <si>
    <t>403 occurs inside a function that swallows errors and returns false (e.g. approvePlan)</t>
  </si>
  <si>
    <t>extractErrorMessage surfaces the backend's detail text via toast</t>
  </si>
  <si>
    <t>Generic fallback "Something went wrong. Please try again." shown</t>
  </si>
  <si>
    <t>Hard-coded generic message shown, indistinguishable from any other failure type</t>
  </si>
  <si>
    <t>FE_RAGAUTH_008 - Verify there is no client-side role gate on /hr/* routes - wrong-role users can load the pages</t>
  </si>
  <si>
    <t>Session role / target URL</t>
  </si>
  <si>
    <t>Candidate role navigates directly to /hr/generate</t>
  </si>
  <si>
    <t>Candidate role navigates directly to /hr/generate-v2 (Studio)</t>
  </si>
  <si>
    <t>Admin role navigates directly to /hr/generate</t>
  </si>
  <si>
    <t>Page renders the full HR UI client-side with no immediate redirect or "access denied" screen</t>
  </si>
  <si>
    <t>Blocking only occurs later, generically, when an actual API call 403s</t>
  </si>
  <si>
    <t>FE_RAGAUTH_009 - Verify subscription-specific backend error codes map to canned bilingual messages via extractErrorMessage</t>
  </si>
  <si>
    <t>Backend errorCode</t>
  </si>
  <si>
    <t>QUOTA_EXCEEDED</t>
  </si>
  <si>
    <t>COOLDOWN_ACTIVE</t>
  </si>
  <si>
    <t>FEATURE_REQUIRES_PREMIUM</t>
  </si>
  <si>
    <t>PLAN_REGENERATE_LIMIT</t>
  </si>
  <si>
    <t>"You've used up your quota for this period. Upgrade to Premium or buy an extra Ask-AI pack."</t>
  </si>
  <si>
    <t>"Free plan allows one question set per 24 hours. Please wait or upgrade to Premium."</t>
  </si>
  <si>
    <t>"This feature requires the Premium plan."</t>
  </si>
  <si>
    <t>"You've used all plan regenerations for this draft (max 5)."</t>
  </si>
  <si>
    <t>FE_RAGAUTH_010 - Verify the extractErrorMessage fallback chain for unrecognized error codes / missing response bodies</t>
  </si>
  <si>
    <t>Error response shape</t>
  </si>
  <si>
    <t>errorCode present but not one of the 4 known codes</t>
  </si>
  <si>
    <t>No errorCode, but data.detail is present</t>
  </si>
  <si>
    <t>No errorCode/detail, only data.title present</t>
  </si>
  <si>
    <t>No parseable body at all, only axios error.message (e.g. timeout text)</t>
  </si>
  <si>
    <t>Nothing usable anywhere in the error object</t>
  </si>
  <si>
    <t>Unknown errorCode is ignored, falls through to the detail/title/message/error chain</t>
  </si>
  <si>
    <t>Falls through to data.detail/title as available</t>
  </si>
  <si>
    <t>Shows the raw axios message text (e.g. "timeout of 60000ms exceeded")</t>
  </si>
  <si>
    <t>Shows the final generic fallback "Something went wrong. Please try again."</t>
  </si>
  <si>
    <t>FE_RAGAUTH_011 - Verify timeouts and 5xx errors on RAG-adjacent calls show raw/generic text, and that no 429 handling exists</t>
  </si>
  <si>
    <t>Failure type</t>
  </si>
  <si>
    <t>generatePlan or refinePlan exceeds its 180s timeout</t>
  </si>
  <si>
    <t>generateQuestions start-call exceeds its 60s timeout</t>
  </si>
  <si>
    <t>Backend responds with 500 Internal Server Error</t>
  </si>
  <si>
    <t>Backend responds with 429 Too Many Requests</t>
  </si>
  <si>
    <t>Raw axios message shown, e.g. "timeout of 180000ms exceeded" (not a friendly message)</t>
  </si>
  <si>
    <t>Raw axios message shown, e.g. "timeout of 60000ms exceeded"</t>
  </si>
  <si>
    <t>Generic extractErrorMessage fallback chain applies, no 5xx-specific copy</t>
  </si>
  <si>
    <t>No 429-specific handling exists anywhere in the codebase; falls through to the same generic chain</t>
  </si>
  <si>
    <t>FE_RAGAUTH_012 - Verify what happens when the access token expires mid-poll during a long-running RAG generation</t>
  </si>
  <si>
    <t>Refresh outcome mid-poll</t>
  </si>
  <si>
    <t>Access token expires during polling, refresh token still valid</t>
  </si>
  <si>
    <t>Access token expires during polling, refresh token also expired/invalid</t>
  </si>
  <si>
    <t>Next poll 401s, silent refresh+retry succeeds, polling continues with zero visible interruption</t>
  </si>
  <si>
    <t>Refresh fails, hard redirect to /login fires mid-poll, in-progress generation silently abandoned</t>
  </si>
  <si>
    <t>HR must return to Studio/History after next login to discover whether the job actually completed server-side</t>
  </si>
  <si>
    <t>FE_RAGAUTH_013 - Verify multiple simultaneous 401s trigger only one refresh-token call, de-duplicated via refreshInFlight</t>
  </si>
  <si>
    <t>Concurrent 401 count</t>
  </si>
  <si>
    <t>Exactly 2 requests fail with 401 at the same time</t>
  </si>
  <si>
    <t>3 or more requests fail with 401 at the same time</t>
  </si>
  <si>
    <t>Only ONE POST /api/auth/refresh-token call is made, all failed requests await the same promise</t>
  </si>
  <si>
    <t>All original requests are retried with the same new token once refresh resolves</t>
  </si>
  <si>
    <t>FE_RAGAUTH_014 - Static finding: rag.service.ts / /api/rag/* proxy routes have zero interceptor coverage (latent risk, not exercisable via current UI)</t>
  </si>
  <si>
    <t>Code path audited</t>
  </si>
  <si>
    <t>src/features/interview/services/rag.service.ts (bare axios.create(), no interceptors)</t>
  </si>
  <si>
    <t>src/app/api/rag/*/route.ts proxy routes (no caller-session/JWT check, only a static internal API key)</t>
  </si>
  <si>
    <t>Confirmed dead code - not imported/called by any active component currently</t>
  </si>
  <si>
    <t>If ever reactivated, requests would carry no Authorization header and get no 401-refresh handling (LATENT RISK)</t>
  </si>
  <si>
    <t>Not exercisable as a manual UI test case today; tracked here as a static-analysis finding</t>
  </si>
  <si>
    <t>FE_RAG_027 - Studio: verify the Sample JD modal's Copy and Use buttons</t>
  </si>
  <si>
    <t>Open Sample JD modal, click Copy</t>
  </si>
  <si>
    <t>Open Sample JD modal, click Use</t>
  </si>
  <si>
    <t>Sample JD text copied to clipboard, modal stays open</t>
  </si>
  <si>
    <t>Sample JD text inserted directly into the JD textarea, modal closes</t>
  </si>
  <si>
    <t>FE_RAG_029 - Verify the backend rejects add/edit/delete/reorder while a question set is PUBLISHED</t>
  </si>
  <si>
    <t>Question set state</t>
  </si>
  <si>
    <t>Set is a DRAFT</t>
  </si>
  <si>
    <t>Set is PUBLISHED</t>
  </si>
  <si>
    <t>Add/edit/delete/reorder actions succeed</t>
  </si>
  <si>
    <t>Add/edit/delete/reorder actions are rejected by the backend</t>
  </si>
  <si>
    <t>FE_RAG_030 - Studio: verify applyPlanSettings behavior around its 30s timeout</t>
  </si>
  <si>
    <t>Request duration</t>
  </si>
  <si>
    <t>Completes within 30s</t>
  </si>
  <si>
    <t>Exceeds the 30s timeout</t>
  </si>
  <si>
    <t>Toast "settingsApplied" shown</t>
  </si>
  <si>
    <t>Raw axios timeout message surfaces via extractErrorMessage fallback (no friendly copy)</t>
  </si>
  <si>
    <t>FE_RAG_031 - Studio: verify the refine-plan chat flow (180s timeout, distinct from generatePlan)</t>
  </si>
  <si>
    <t>Scenario</t>
  </si>
  <si>
    <t>Refine message sent, plan updates in response</t>
  </si>
  <si>
    <t>Refine request exceeds its 180s timeout</t>
  </si>
  <si>
    <t>Toast "planRefining" then "planRefined" shown, updated plan rendered</t>
  </si>
  <si>
    <t>Raw axios timeout message surfaces (e.g. "timeout of 180000ms exceeded")</t>
  </si>
  <si>
    <t>FE_RAG_032 - Studio: verify includeSampleAnswers / includeScoringRubric toggles are respected on Generate</t>
  </si>
  <si>
    <t>Toggle state</t>
  </si>
  <si>
    <t>Both toggles off</t>
  </si>
  <si>
    <t>includeSampleAnswers on only</t>
  </si>
  <si>
    <t>includeScoringRubric on only</t>
  </si>
  <si>
    <t>Both toggles on</t>
  </si>
  <si>
    <t>Generated questions omit sample answers and scoring rubric</t>
  </si>
  <si>
    <t>Generated questions include sample answers only</t>
  </si>
  <si>
    <t>Generated questions include scoring rubric only</t>
  </si>
  <si>
    <t>Generated questions include both sample answers and scoring rubric</t>
  </si>
  <si>
    <t>FE_RAG_033 - Studio: verify the "New Set" action unlocks and resets the Sources/Inspector panels</t>
  </si>
  <si>
    <t>Panels are locked (questions exist) and HR clicks New Set</t>
  </si>
  <si>
    <t>HR has unsaved plan-refine edits when clicking New Set</t>
  </si>
  <si>
    <t>Panels unlock, JD/sources/questions reset to a blank state</t>
  </si>
  <si>
    <t>No confirmation prompt found before discarding unsaved edits (GAP, needs confirmation)</t>
  </si>
  <si>
    <t>FE_RAG_034 - Studio: verify attaching an existing library document vs. uploading a brand-new one</t>
  </si>
  <si>
    <t>Attach an existing document from the library</t>
  </si>
  <si>
    <t>Upload a brand-new document</t>
  </si>
  <si>
    <t>Existing doc attached immediately, status reflects its current ingestion state</t>
  </si>
  <si>
    <t>New doc uploaded, toast "Uploaded — RAG ingestion queued.", starts at Queued/Processing</t>
  </si>
  <si>
    <t>FE_RAG_035 - Studio: verify multiple sequential refine-chat messages before approving the plan</t>
  </si>
  <si>
    <t>Refine turn</t>
  </si>
  <si>
    <t>1st refine message sent</t>
  </si>
  <si>
    <t>2nd refine message, builds on the 1st refined plan</t>
  </si>
  <si>
    <t>3rd refine message, builds on the 2nd refined plan</t>
  </si>
  <si>
    <t>Each turn updates the plan and chat history incrementally, prior refinements preserved</t>
  </si>
  <si>
    <t>FE_RAG_037 - Studio: verify the Approve Plan button's loading/disabled/error states</t>
  </si>
  <si>
    <t>Approve request is in flight</t>
  </si>
  <si>
    <t>Approve succeeds</t>
  </si>
  <si>
    <t>Approve fails (network error)</t>
  </si>
  <si>
    <t>Button disabled with a loading spinner</t>
  </si>
  <si>
    <t>Toast "planApprovedMsg" shown, chat locks</t>
  </si>
  <si>
    <t>Generic error toast shown via extractErrorMessage, plan remains unapproved</t>
  </si>
  <si>
    <t>FE_RAG_039 - Studio: verify the question list's empty-state variants before/around generation</t>
  </si>
  <si>
    <t>No plan created yet</t>
  </si>
  <si>
    <t>Plan approved but generation not yet run</t>
  </si>
  <si>
    <t>Generation failed, list still empty</t>
  </si>
  <si>
    <t>Empty state prompts HR to create/approve a plan first</t>
  </si>
  <si>
    <t>Empty state reflects the failed generation with a retry affordance</t>
  </si>
  <si>
    <t>FE_RAGAUTH_015 - Verify login-page-owned 401/403 handling is separate from the mid-session interceptor path</t>
  </si>
  <si>
    <t>Login attempt</t>
  </si>
  <si>
    <t>401 - invalid credentials</t>
  </si>
  <si>
    <t>403 - account disabled</t>
  </si>
  <si>
    <t>Inline "invalidCredentials" message shown on the login form, no redirect</t>
  </si>
  <si>
    <t>Inline "accountDisabled" message shown on the login form, no redirect</t>
  </si>
  <si>
    <t>FE_RAGAUTH_016 - Verify the candidate-scoped ForbiddenError messages on practice-session/feedback 403s (distinct from HR/RAG generic handling)</t>
  </si>
  <si>
    <t>403 scenario</t>
  </si>
  <si>
    <t>Candidate accesses another account's practice session</t>
  </si>
  <si>
    <t>Candidate views another account's feedback</t>
  </si>
  <si>
    <t>"You don't have access to practice this question set."</t>
  </si>
  <si>
    <t>"This session belongs to another account, so we can't show its feedback here."</t>
  </si>
  <si>
    <t>FE_RAGAUTH_017 - Static finding: access/refresh tokens are stored in plain localStorage, not httpOnly cookies (XSS exposure risk)</t>
  </si>
  <si>
    <t>Token audited</t>
  </si>
  <si>
    <t>interviewai_access_token key in localStorage</t>
  </si>
  <si>
    <t>interviewai_refresh_token key in localStorage</t>
  </si>
  <si>
    <t>Token is readable by any JS running on the page (e.g. via DevTools console), not httpOnly-protected</t>
  </si>
  <si>
    <t>Flag as a security hardening candidate for the dev/security team (LATENT RISK)</t>
  </si>
  <si>
    <t>FE_RAGAUTH_018 - Verify the auth request interceptor no-ops during SSR (window === undefined) and attaches correctly after hydration</t>
  </si>
  <si>
    <t>Render context</t>
  </si>
  <si>
    <t>Server-side render pass (window undefined)</t>
  </si>
  <si>
    <t>Client-side after hydration</t>
  </si>
  <si>
    <t>No Authorization header attached, no crash during SSR</t>
  </si>
  <si>
    <t>Authorization header attached correctly on subsequent client-side requests</t>
  </si>
  <si>
    <t>FE_RAGAUTH_019 - Verify clearAuth() also clears the cached user profile, not just tokens/role</t>
  </si>
  <si>
    <t>Cached user profile present before a 401-triggered clearAuth()</t>
  </si>
  <si>
    <t>Cached user profile already absent (already cleared)</t>
  </si>
  <si>
    <t>clearCachedUserProfile() removes the cached profile alongside tokens/role</t>
  </si>
  <si>
    <t>No-op, nothing to clear, no error thrown</t>
  </si>
  <si>
    <t>FE_RAGAUTH_020 - Verify token persistence behavior after a successful refresh call (rotation vs. access-token-only response)</t>
  </si>
  <si>
    <t>Refresh response shape</t>
  </si>
  <si>
    <t>Response includes both a new access token and a new refresh token</t>
  </si>
  <si>
    <t>Response includes only a new access token (refresh token unchanged)</t>
  </si>
  <si>
    <t>Both tokens persisted via setAuthTokens, old refresh token replaced</t>
  </si>
  <si>
    <t>Only the access token is updated, prior refresh token remains valid for the next cycle</t>
  </si>
  <si>
    <t>FE_UI_001 - Verify the manual question page layout adapts correctly across viewport sizes</t>
  </si>
  <si>
    <t>Viewport</t>
  </si>
  <si>
    <t>Desktop 1920x1080</t>
  </si>
  <si>
    <t>Laptop 1366x768</t>
  </si>
  <si>
    <t>Tablet 768x1024 portrait</t>
  </si>
  <si>
    <t>Mobile 375x667</t>
  </si>
  <si>
    <t>Question cards display full width, all fields visible without horizontal scroll</t>
  </si>
  <si>
    <t>Layout stacks to a single column, sticky footer Save button stays accessible</t>
  </si>
  <si>
    <t>No content is clipped or overlapping at any breakpoint</t>
  </si>
  <si>
    <t>FE_UI_002 - Verify the manual question page renders correctly in both light and dark theme</t>
  </si>
  <si>
    <t>Theme</t>
  </si>
  <si>
    <t>Light theme</t>
  </si>
  <si>
    <t>Dark theme</t>
  </si>
  <si>
    <t>Text contrast remains readable in both themes</t>
  </si>
  <si>
    <t>Card backgrounds, borders, and buttons switch correctly to the active theme's palette</t>
  </si>
  <si>
    <t>No hardcoded light-only colors leak through in dark mode (e.g. a white card on a dark page)</t>
  </si>
  <si>
    <t>FE_UI_003 - Verify Studio's 3-panel layout (Sources | Chat/Plan | Inspector) adapts across viewport sizes</t>
  </si>
  <si>
    <t>Desktop wide (&gt;=1440px)</t>
  </si>
  <si>
    <t>Laptop (1024-1439px)</t>
  </si>
  <si>
    <t>Tablet (768-1023px)</t>
  </si>
  <si>
    <t>Mobile (&lt;768px)</t>
  </si>
  <si>
    <t>All 3 panels visible side by side</t>
  </si>
  <si>
    <t>Panels remain usable but narrower, no overlap</t>
  </si>
  <si>
    <t>Panels stack or become tabbed/collapsible sections</t>
  </si>
  <si>
    <t>Locked-panel overlay/tooltip still renders correctly at this size</t>
  </si>
  <si>
    <t>FE_UI_004 - Verify the Studio page renders correctly in both light and dark theme</t>
  </si>
  <si>
    <t>RAG status chips, locked-panel overlay, and chat bubbles remain legible in both themes</t>
  </si>
  <si>
    <t>No hardcoded light-only colors leak through in dark mode</t>
  </si>
  <si>
    <t>FE_UI_007 - Verify the Studio full-page blocking quota modal renders correctly across viewport sizes (GenerateForm's separate inline banner variant no longer applies - /hr/generate now just redirects to Studio, see FE_RAG_014 GenerateFormRetired)</t>
  </si>
  <si>
    <t>Desktop (1920x1080)</t>
  </si>
  <si>
    <t>Laptop (1366x768)</t>
  </si>
  <si>
    <t>Tablet (768x1024)</t>
  </si>
  <si>
    <t>Mobile (375x667)</t>
  </si>
  <si>
    <t>Modal is centered, fully covers the page, text readable without zooming</t>
  </si>
  <si>
    <t>Modal buttons ("View plans &amp; billing" / "Create manually") stay tappable, not cut off at the bottom</t>
  </si>
  <si>
    <t>FE_UI_008 - Verify toast notification display, stacking, wrapping, and mobile behavior</t>
  </si>
  <si>
    <t>Single toast shown</t>
  </si>
  <si>
    <t>Multiple toasts fired in quick succession</t>
  </si>
  <si>
    <t>Toast with a long message</t>
  </si>
  <si>
    <t>Toast shown on a mobile viewport</t>
  </si>
  <si>
    <t>Toast appears in a consistent corner/position, auto-dismisses after its duration</t>
  </si>
  <si>
    <t>Multiple toasts stack without overlapping each other</t>
  </si>
  <si>
    <t>Long text wraps within the toast width instead of overflowing</t>
  </si>
  <si>
    <t>Toast remains fully visible and readable on a mobile viewport</t>
  </si>
  <si>
    <t>FE_UI_009 - Verify the Studio JD/document upload dropzone's visual states</t>
  </si>
  <si>
    <t>Idle / default</t>
  </si>
  <si>
    <t>Drag-over highlight</t>
  </si>
  <si>
    <t>Uploading in progress</t>
  </si>
  <si>
    <t>Error (invalid type / too large)</t>
  </si>
  <si>
    <t>Dashed border, upload icon, and hint text shown in idle state</t>
  </si>
  <si>
    <t>Border/background highlights while a file is dragged over the dropzone</t>
  </si>
  <si>
    <t>Progress indicator or disabled state shown while uploading</t>
  </si>
  <si>
    <t>Border turns red/error color with inline error text on an invalid file</t>
  </si>
  <si>
    <t>FE_UI_010 - Verify primary action buttons (Save/Generate/Submit) show correct visual states across pages</t>
  </si>
  <si>
    <t>Button state</t>
  </si>
  <si>
    <t>Default enabled</t>
  </si>
  <si>
    <t>Hover</t>
  </si>
  <si>
    <t>Disabled (invalid form)</t>
  </si>
  <si>
    <t>Loading (submit in flight)</t>
  </si>
  <si>
    <t>Button shows its default color/label</t>
  </si>
  <si>
    <t>Button shows a hover state (color/elevation change)</t>
  </si>
  <si>
    <t>Button is visibly greyed out and unclickable when the form is invalid</t>
  </si>
  <si>
    <t>Button shows a spinner, label changes (e.g. "Saving…"), unclickable while in flight</t>
  </si>
  <si>
    <t>FE_UI_011 - Verify text input/textarea visual states across HR forms (default/focus/error/disabled)</t>
  </si>
  <si>
    <t>Field state</t>
  </si>
  <si>
    <t>Default</t>
  </si>
  <si>
    <t>Focused</t>
  </si>
  <si>
    <t>Error (invalid value, after submit attempt)</t>
  </si>
  <si>
    <t>Disabled</t>
  </si>
  <si>
    <t>Neutral border/background shown</t>
  </si>
  <si>
    <t>Focus ring/outline shown</t>
  </si>
  <si>
    <t>Red border + inline error message shown</t>
  </si>
  <si>
    <t>Muted background, not editable, cursor shows not-allowed</t>
  </si>
  <si>
    <t>FE_UI_012 - Verify the HR shell sidebar/navigation adapts across viewport sizes</t>
  </si>
  <si>
    <t>Viewport / state</t>
  </si>
  <si>
    <t>Desktop, sidebar expanded</t>
  </si>
  <si>
    <t>Desktop, sidebar collapsed to icon-only</t>
  </si>
  <si>
    <t>Tablet</t>
  </si>
  <si>
    <t>Mobile</t>
  </si>
  <si>
    <t>Full sidebar with labels shown</t>
  </si>
  <si>
    <t>Icon-only sidebar, tooltips on hover reveal labels</t>
  </si>
  <si>
    <t>Sidebar adapts to tablet width without overlapping content</t>
  </si>
  <si>
    <t>Sidebar becomes a hamburger-triggered drawer on mobile</t>
  </si>
  <si>
    <t>FE_UI_013 - Verify modal dialogs (Confirm Import, Payment QR, Quota, Downgrade confirm) are positioned and layered correctly</t>
  </si>
  <si>
    <t>Modal</t>
  </si>
  <si>
    <t>Confirm Import modal (Excel import)</t>
  </si>
  <si>
    <t>Payment QR modal (SePay)</t>
  </si>
  <si>
    <t>Quota-exceeded modal</t>
  </si>
  <si>
    <t>Downgrade-to-Free confirm modal</t>
  </si>
  <si>
    <t>Modal is centered with a dimmed backdrop, sits above all page content</t>
  </si>
  <si>
    <t>Backdrop click / Escape closes the modal where applicable</t>
  </si>
  <si>
    <t>Modal content does not overflow its container on smaller screens</t>
  </si>
  <si>
    <t>FE_UI_014 - Verify data tables/grids (payment history, question list) handle overflow responsively</t>
  </si>
  <si>
    <t>Desktop (no scroll needed)</t>
  </si>
  <si>
    <t>All columns visible without scrolling</t>
  </si>
  <si>
    <t>Table scrolls horizontally within its own container, page layout stays intact</t>
  </si>
  <si>
    <t>Column headers remain readable while scrolling</t>
  </si>
  <si>
    <t>FE_UI_015 - Verify tooltip display on hover and keyboard focus (locked panel, RAG status chip, disabled trash icon)</t>
  </si>
  <si>
    <t>Trigger</t>
  </si>
  <si>
    <t>Mouse hover on locked panel overlay</t>
  </si>
  <si>
    <t>Mouse hover on RAG status chip</t>
  </si>
  <si>
    <t>Mouse hover on disabled trash icon</t>
  </si>
  <si>
    <t>Keyboard focus (Tab) instead of mouse hover</t>
  </si>
  <si>
    <t>Tooltip text appears near the cursor after a short hover delay</t>
  </si>
  <si>
    <t>Tooltip dismisses when the pointer moves away</t>
  </si>
  <si>
    <t>Tooltip also appears on keyboard focus, not just mouse hover</t>
  </si>
  <si>
    <t>Keyboard-focus tooltip support is unverified (possible accessibility gap)</t>
  </si>
  <si>
    <t>FE_UI_016 - Verify loading skeletons and AI generation spinners across pages</t>
  </si>
  <si>
    <t>Initial page load (skeleton placeholders)</t>
  </si>
  <si>
    <t>AI generation in progress (spinner + status text)</t>
  </si>
  <si>
    <t>Slow network - spinner shown for an unusually long time</t>
  </si>
  <si>
    <t>Skeleton placeholders match the eventual content's layout, no layout shift on load</t>
  </si>
  <si>
    <t>Spinner + status text (e.g. "Generating plan...") shown during AI calls</t>
  </si>
  <si>
    <t>No indefinite spinner without feedback (matches the 5-min Studio deadline UX)</t>
  </si>
  <si>
    <t>FE_UI_017 - Verify keyboard-only navigation across key interactive flows</t>
  </si>
  <si>
    <t>Interaction</t>
  </si>
  <si>
    <t>Tab through Manual Question form fields</t>
  </si>
  <si>
    <t>Tab through Studio's 3-panel layout</t>
  </si>
  <si>
    <t>Escape key while a modal is open</t>
  </si>
  <si>
    <t>Enter/Space activates a focused button</t>
  </si>
  <si>
    <t>Tab order follows the visual/logical reading order, no focus traps</t>
  </si>
  <si>
    <t>Focus ring/outline is visible on the currently focused element</t>
  </si>
  <si>
    <t>Escape closes the topmost open modal</t>
  </si>
  <si>
    <t>Enter/Space activates the focused button, matching a mouse click</t>
  </si>
  <si>
    <t>FE_UI_018 - Verify header/logo/branding render consistently across HR pages</t>
  </si>
  <si>
    <t>Page</t>
  </si>
  <si>
    <t>Manual Question page</t>
  </si>
  <si>
    <t>Studio page</t>
  </si>
  <si>
    <t>Admin Manage Users page</t>
  </si>
  <si>
    <t>Settings/Billing page</t>
  </si>
  <si>
    <t>Logo, page title, and user menu render consistently in the same position</t>
  </si>
  <si>
    <t>Active nav item is visually highlighted to match the current page</t>
  </si>
  <si>
    <t>FE_AUTH_001 - Check HR Manager registration form and validations</t>
  </si>
  <si>
    <t>UTCID07</t>
  </si>
  <si>
    <t>Company Name</t>
  </si>
  <si>
    <t>"Tech ABC" (Valid)</t>
  </si>
  <si>
    <t>Null / Empty</t>
  </si>
  <si>
    <t>Full Name</t>
  </si>
  <si>
    <t>"John Doe" (Valid)</t>
  </si>
  <si>
    <t>Work Email</t>
  </si>
  <si>
    <t>hr@techabc.com (Valid)</t>
  </si>
  <si>
    <t>Password</t>
  </si>
  <si>
    <t>"Pass$123" (Valid)</t>
  </si>
  <si>
    <t>Confirm Password</t>
  </si>
  <si>
    <t>"Pass$123" (Matched)</t>
  </si>
  <si>
    <t>"Pass$456" (Mismatched)</t>
  </si>
  <si>
    <t>Redirect "Verify your email"</t>
  </si>
  <si>
    <t>Stay on form</t>
  </si>
  <si>
    <t>"Company Name is required"</t>
  </si>
  <si>
    <t>"Full Name is required"</t>
  </si>
  <si>
    <t>"Work Email is required"</t>
  </si>
  <si>
    <t>"Password is required"</t>
  </si>
  <si>
    <t>"Confirm Password is required"</t>
  </si>
  <si>
    <t>"Passwords do not match"</t>
  </si>
  <si>
    <t>"Register HR Success"</t>
  </si>
  <si>
    <t>FE_AUTH_002 - Validate HR/Candidate login form fields, error handling, and role-based redirect</t>
  </si>
  <si>
    <t>Email field left empty</t>
  </si>
  <si>
    <t>Password field left empty (valid email entered)</t>
  </si>
  <si>
    <t>Valid HR credentials</t>
  </si>
  <si>
    <t>Valid email, wrong password</t>
  </si>
  <si>
    <t>Valid credentials, account disabled</t>
  </si>
  <si>
    <t>Valid credentials, email not verified</t>
  </si>
  <si>
    <t>Valid Jobseeker credentials</t>
  </si>
  <si>
    <t>Redirects to /hr/dashboard</t>
  </si>
  <si>
    <t>Redirects to /jobseeker</t>
  </si>
  <si>
    <t>Stays on the login form</t>
  </si>
  <si>
    <t>"Email is required"</t>
  </si>
  <si>
    <t>"Email or password is incorrect. Please try again."</t>
  </si>
  <si>
    <t>"Your account has been disabled. Please contact the administrator."</t>
  </si>
  <si>
    <t>Unverified-email confirm dialog opens with Resend/Close options</t>
  </si>
  <si>
    <t>FE_AUTH_003 - Check Job Seeker registration form (step 1) validations</t>
  </si>
  <si>
    <t>Valid</t>
  </si>
  <si>
    <t>Email</t>
  </si>
  <si>
    <t>Valid format</t>
  </si>
  <si>
    <t>Invalid format</t>
  </si>
  <si>
    <t>Valid (8+ chars, has upper/lower/digit/special)</t>
  </si>
  <si>
    <t>Too short (&lt; 8 characters)</t>
  </si>
  <si>
    <t>Missing a complexity class (e.g. no special character)</t>
  </si>
  <si>
    <t>Matches Password</t>
  </si>
  <si>
    <t>Mismatched</t>
  </si>
  <si>
    <t>Server response</t>
  </si>
  <si>
    <t>Email already registered (409)</t>
  </si>
  <si>
    <t>Advances to Step 2 (Target Role / Seniority / Tech Stack)</t>
  </si>
  <si>
    <t>Stays on Step 1 with a field error</t>
  </si>
  <si>
    <t>Jumps back to Step 1, email field shows a duplicate-email error</t>
  </si>
  <si>
    <t>"Họ tên là bắt buộc" (Full name required)</t>
  </si>
  <si>
    <t>"Vui lòng nhập email hợp lệ" (invalid email)</t>
  </si>
  <si>
    <t>"Password must be at least 8 characters"</t>
  </si>
  <si>
    <t>"Password must contain 1 uppercase, 1 lowercase, 1 number and 1 special character"</t>
  </si>
  <si>
    <t>"This email is already registered."</t>
  </si>
  <si>
    <t>FE_AUTH_004 - Check the 6-digit OTP email verification flow and resend behavior</t>
  </si>
  <si>
    <t>No email in the URL query param</t>
  </si>
  <si>
    <t>Correct 6-digit OTP entered</t>
  </si>
  <si>
    <t>Wrong or expired OTP entered</t>
  </si>
  <si>
    <t>Resend clicked while the 60s cooldown is still active</t>
  </si>
  <si>
    <t>Resend clicked after the cooldown expired</t>
  </si>
  <si>
    <t>6 digits pasted at once into the OTP boxes</t>
  </si>
  <si>
    <t>Shows "No email found. Please register again." + back-to-login link</t>
  </si>
  <si>
    <t>Success panel "Email verified!", auto-redirects to /login after 3s</t>
  </si>
  <si>
    <t>OTP boxes clear and refocus</t>
  </si>
  <si>
    <t>Resend button stays disabled, shows "Resend in {{seconds}}s"</t>
  </si>
  <si>
    <t>New code sent, toast "A new verification code has been sent to your email.", cooldown restarts</t>
  </si>
  <si>
    <t>All 6 boxes auto-fill from the pasted value</t>
  </si>
  <si>
    <t>"Invalid or expired verification code. Please try again."</t>
  </si>
  <si>
    <t>FE_AUTH_005 - Check the forgot-password request and reset-password form validations</t>
  </si>
  <si>
    <t>UTCID08</t>
  </si>
  <si>
    <t>Forgot-password form</t>
  </si>
  <si>
    <t>Email format invalid</t>
  </si>
  <si>
    <t>Valid email submitted</t>
  </si>
  <si>
    <t>Reset-password form</t>
  </si>
  <si>
    <t>No token in the URL</t>
  </si>
  <si>
    <t>Token is expired / invalid / already used</t>
  </si>
  <si>
    <t>New password is less than 8 characters</t>
  </si>
  <si>
    <t>Confirm password does not match the new password</t>
  </si>
  <si>
    <t>Valid token, valid matching new password</t>
  </si>
  <si>
    <t>"Email is required."</t>
  </si>
  <si>
    <t>"Please enter a valid email address."</t>
  </si>
  <si>
    <t>Generic success screen "Check your inbox" shown regardless of whether the email exists</t>
  </si>
  <si>
    <t>Token-error panel "This reset link is invalid or has expired." + "Request a new link"</t>
  </si>
  <si>
    <t>"Password must be at least 8 characters."</t>
  </si>
  <si>
    <t>"Passwords do not match."</t>
  </si>
  <si>
    <t>Redirects to /login?reset=success; login page then shows a "Password reset successfully." toast</t>
  </si>
  <si>
    <t>FE_AUTH_006 - Check AdminRouteGuard behavior across session states and its unguarded-route gap</t>
  </si>
  <si>
    <t>Session state</t>
  </si>
  <si>
    <t>Not authenticated, navigates to a guarded admin page (e.g. /admin/users)</t>
  </si>
  <si>
    <t>Authenticated with HR role, navigates to a guarded admin page</t>
  </si>
  <si>
    <t>Authenticated with Jobseeker role, navigates to a guarded admin page</t>
  </si>
  <si>
    <t>Authenticated with Admin role, navigates to a guarded admin page</t>
  </si>
  <si>
    <t>useUser() is still loading (role/auth not resolved yet)</t>
  </si>
  <si>
    <t>Non-admin navigates directly to an UNGUARDED admin page (e.g. /admin/dashboard)</t>
  </si>
  <si>
    <t>Silently redirected to /login, no toast</t>
  </si>
  <si>
    <t>Toast "You do not have permission to access this page.", redirected to /hr/dashboard</t>
  </si>
  <si>
    <t>Toast "You do not have permission to access this page.", redirected to /jobseeker</t>
  </si>
  <si>
    <t>Page renders normally, children shown</t>
  </si>
  <si>
    <t>Centered loading spinner shown instead of children or a redirect</t>
  </si>
  <si>
    <t>Page renders with no access check at all - AdminRouteGuard is only wired into 4 of the admin pages (GAP)</t>
  </si>
  <si>
    <t>FE_AUTH_007 - Check profile edit form validations and avatar upload rules</t>
  </si>
  <si>
    <t>Full Name field cleared to empty</t>
  </si>
  <si>
    <t>LinkedIn or GitHub URL is invalid, field blurred</t>
  </si>
  <si>
    <t>All fields valid</t>
  </si>
  <si>
    <t>Avatar file is not JPG/PNG/GIF/WebP</t>
  </si>
  <si>
    <t>Avatar file exceeds 2MB</t>
  </si>
  <si>
    <t>Avatar file is valid (e.g. JPG, 500KB)</t>
  </si>
  <si>
    <t>User clicks Cancel after making unsaved edits</t>
  </si>
  <si>
    <t>User attempts to edit the Email field</t>
  </si>
  <si>
    <t>Save is blocked, toast "Could not save profile. Please try again."</t>
  </si>
  <si>
    <t>Save button disabled, toast "Enter a valid URL (e.g. https://…)"</t>
  </si>
  <si>
    <t>Save succeeds, toast "Profile saved successfully."</t>
  </si>
  <si>
    <t>Toast "Please choose a JPG, PNG, GIF, or WebP image."</t>
  </si>
  <si>
    <t>Toast "Image must be 2MB or smaller."</t>
  </si>
  <si>
    <t>Avatar preview updates immediately, uploaded before Save is clicked</t>
  </si>
  <si>
    <t>Form reverts to the last-loaded snapshot, unsaved edits discarded</t>
  </si>
  <si>
    <t>Email field is greyed out/disabled with a read-only hint</t>
  </si>
  <si>
    <t>FE_AUTH_008 - Check the admin Manage Users page - search/filter/pagination (now numbered with ellipsis), activate/deactivate, and subscription actions</t>
  </si>
  <si>
    <t>UTCID09</t>
  </si>
  <si>
    <t>UTCID010</t>
  </si>
  <si>
    <t>UTCID011</t>
  </si>
  <si>
    <t>UTCID012</t>
  </si>
  <si>
    <t>Admin types a search term matching a user's name/email</t>
  </si>
  <si>
    <t>Admin selects a Role filter</t>
  </si>
  <si>
    <t>Admin selects a Status filter</t>
  </si>
  <si>
    <t>Admin applies multiple filters then clicks "Clear filters"</t>
  </si>
  <si>
    <t>Admin clicks Next/Previous at the first/last page</t>
  </si>
  <si>
    <t>Admin clicks a specific numbered page (e.g. page 3 of 10)</t>
  </si>
  <si>
    <t>Total pages exceeds 7 (ellipsis "…" separators appear per getPageRange)</t>
  </si>
  <si>
    <t>Admin deactivates a user account and confirms</t>
  </si>
  <si>
    <t>Admin reactivates a suspended account and confirms</t>
  </si>
  <si>
    <t>Admin grants a Premium subscription (e.g. 3 months)</t>
  </si>
  <si>
    <t>Admin revokes a user's Premium subscription and confirms</t>
  </si>
  <si>
    <t>User list fails to load (API error)</t>
  </si>
  <si>
    <t>List filters to matching rows (debounced 300ms)</t>
  </si>
  <si>
    <t>List filters to the selected role, page resets to 1</t>
  </si>
  <si>
    <t>List filters to the selected status, page resets to 1</t>
  </si>
  <si>
    <t>All filters reset, full list restored, page resets to 1</t>
  </si>
  <si>
    <t>Next/Prev buttons disabled at the first/last page boundary</t>
  </si>
  <si>
    <t>Clicked page number navigates directly to that page, highlighted with a violet filled style (aria-current="page")</t>
  </si>
  <si>
    <t>"…" separators render per getPageRange (near-start: 1,2,3,4,5,…,total; near-end: 1,…,total-4..total; middle: 1,…,cur-1,cur,cur+1,…,total)</t>
  </si>
  <si>
    <t>Toast "Account status updated.", user shows as Suspended</t>
  </si>
  <si>
    <t>Toast "Account status updated.", user shows as Active</t>
  </si>
  <si>
    <t>Toast success, user's plan updated to Premium with the chosen period</t>
  </si>
  <si>
    <t>Toast success, user downgraded to Free</t>
  </si>
  <si>
    <t>Toast "Failed to load users. Please try again." with a Retry action</t>
  </si>
  <si>
    <t>Total pages &lt;= 7: all page numbers show, no ellipsis (getPageRange short-circuit)</t>
  </si>
  <si>
    <t>Premium grant/revoke actions are hidden when the target user's role is ADMIN (by design)</t>
  </si>
  <si>
    <t>FE_SU_001 - getTimeOfDayGreeting maps an hour-of-day to the correct Morning/Afternoon/Evening/Night label</t>
  </si>
  <si>
    <t>Hour</t>
  </si>
  <si>
    <t>5 (early morning)</t>
  </si>
  <si>
    <t>11 (late morning)</t>
  </si>
  <si>
    <t>12 (noon)</t>
  </si>
  <si>
    <t>17 (late afternoon)</t>
  </si>
  <si>
    <t>18 (early evening)</t>
  </si>
  <si>
    <t>21 (late evening)</t>
  </si>
  <si>
    <t>22 (late night)</t>
  </si>
  <si>
    <t>4 (pre-dawn)</t>
  </si>
  <si>
    <t>0 (midnight)</t>
  </si>
  <si>
    <t>Morning</t>
  </si>
  <si>
    <t>Afternoon</t>
  </si>
  <si>
    <t>Evening</t>
  </si>
  <si>
    <t>Night</t>
  </si>
  <si>
    <t>FE_SU_002 - buildWelcomeMessage substitutes {{greeting}}/{{name}} placeholders when present, leaves the string untouched when absent</t>
  </si>
  <si>
    <t>Template</t>
  </si>
  <si>
    <t>"{{greeting}}, {{name}}!"</t>
  </si>
  <si>
    <t>"Hello there" (no placeholders)</t>
  </si>
  <si>
    <t>"Good morning, An!"</t>
  </si>
  <si>
    <t>"Hello there" (unchanged)</t>
  </si>
  <si>
    <t>FE_SU_003 - formatRelativeTime returns an empty string for an undefined or unparseable date instead of throwing</t>
  </si>
  <si>
    <t>Date input</t>
  </si>
  <si>
    <t>undefined</t>
  </si>
  <si>
    <t>"not-a-date" (unparseable string)</t>
  </si>
  <si>
    <t>"" (empty string)</t>
  </si>
  <si>
    <t>FE_SU_004 - formatRelativeTime buckets an elapsed duration into a localized relative-time label (en/vi)</t>
  </si>
  <si>
    <t>Elapsed age + language</t>
  </si>
  <si>
    <t>0ms, en</t>
  </si>
  <si>
    <t>0ms, vi</t>
  </si>
  <si>
    <t>5 min, en</t>
  </si>
  <si>
    <t>5 min, vi</t>
  </si>
  <si>
    <t>3h, en</t>
  </si>
  <si>
    <t>3h, vi</t>
  </si>
  <si>
    <t>2d, en</t>
  </si>
  <si>
    <t>2d, vi</t>
  </si>
  <si>
    <t>"Just now"</t>
  </si>
  <si>
    <t>"Vừa xong"</t>
  </si>
  <si>
    <t>"5 min ago"</t>
  </si>
  <si>
    <t>"5 phút trước"</t>
  </si>
  <si>
    <t>"3h ago"</t>
  </si>
  <si>
    <t>"3 giờ trước"</t>
  </si>
  <si>
    <t>"2d ago"</t>
  </si>
  <si>
    <t>"2 ngày trước"</t>
  </si>
  <si>
    <t>FE_SU_005 - normalizePathname strips a trailing slash but keeps the bare root '/' as-is</t>
  </si>
  <si>
    <t>Pathname</t>
  </si>
  <si>
    <t>"/hr/dashboard/" (trailing slash)</t>
  </si>
  <si>
    <t>"/hr/dashboard" (no trailing slash)</t>
  </si>
  <si>
    <t>"/" (bare root)</t>
  </si>
  <si>
    <t>"/hr/dashboard"</t>
  </si>
  <si>
    <t>"/" (unchanged)</t>
  </si>
  <si>
    <t>FE_SU_006 - isAdminNavActive treats the bare '/admin' href as equivalent to '/admin/dashboard', with trailing-slash tolerance</t>
  </si>
  <si>
    <t>href / pathname</t>
  </si>
  <si>
    <t>/admin/dashboard, /admin</t>
  </si>
  <si>
    <t>/admin/dashboard, /admin/dashboard</t>
  </si>
  <si>
    <t>/admin/dashboard, /admin/users</t>
  </si>
  <si>
    <t>/admin/users, /admin/users/ (trailing slash)</t>
  </si>
  <si>
    <t>true</t>
  </si>
  <si>
    <t>false</t>
  </si>
  <si>
    <t>FE_SU_007 - isHrNavActive matches an HR sidebar link's active state, including nested-route and sibling-route cases</t>
  </si>
  <si>
    <t>/hr/dashboard, /hr</t>
  </si>
  <si>
    <t>/hr/dashboard, /hr/dashboard</t>
  </si>
  <si>
    <t>/hr/settings, /hr/settings</t>
  </si>
  <si>
    <t>/hr/settings, /hr/settings/billing</t>
  </si>
  <si>
    <t>/hr/history, /hr/history/qs-1</t>
  </si>
  <si>
    <t>/hr/history, /hr/history</t>
  </si>
  <si>
    <t>/hr/generate-question, /hr/generate-question/manual</t>
  </si>
  <si>
    <t>/hr/generate-question, /hr/generate-question</t>
  </si>
  <si>
    <t>/hr/generate-question, /hr/history</t>
  </si>
  <si>
    <t>FE_SU_008 - getInitials derives 1-2 letter initials from a display name, with a '??' fallback for empty/whitespace input</t>
  </si>
  <si>
    <t>Name</t>
  </si>
  <si>
    <t>"" (empty)</t>
  </si>
  <si>
    <t>"   " (whitespace only)</t>
  </si>
  <si>
    <t>"Madonna" (single word)</t>
  </si>
  <si>
    <t>"Nguyen Van A" (multi-word)</t>
  </si>
  <si>
    <t>"  Nguyen   Van A  " (extra whitespace)</t>
  </si>
  <si>
    <t>"??"</t>
  </si>
  <si>
    <t>"MA"</t>
  </si>
  <si>
    <t>"NA"</t>
  </si>
  <si>
    <t>FE_SU_009 - resolveAvatarUrl returns null for a null/undefined user, then prefers user.avatarUrl over candidateProfile over hrProfile, and treats a whitespace-only avatarUrl as absent</t>
  </si>
  <si>
    <t>User</t>
  </si>
  <si>
    <t>null</t>
  </si>
  <si>
    <t>avatarUrl=top.png, candidateProfile.avatarUrl=c.png</t>
  </si>
  <si>
    <t>avatarUrl=null, candidateProfile.avatarUrl=c.png</t>
  </si>
  <si>
    <t>avatarUrl=null, candidateProfile=null, hrProfile.avatarUrl=h.png</t>
  </si>
  <si>
    <t>avatarUrl="  " (whitespace only)</t>
  </si>
  <si>
    <t>"top.png"</t>
  </si>
  <si>
    <t>"c.png"</t>
  </si>
  <si>
    <t>"h.png"</t>
  </si>
  <si>
    <t>FE_SU_010 - isValidUrl treats an empty/whitespace value as valid (optional field), accepts http(s) URLs, and rejects other schemes/malformed input</t>
  </si>
  <si>
    <t>Value</t>
  </si>
  <si>
    <t>"   " (whitespace)</t>
  </si>
  <si>
    <t>"https://example.com"</t>
  </si>
  <si>
    <t>"http://example.com/path?x=1"</t>
  </si>
  <si>
    <t>"ftp://example.com"</t>
  </si>
  <si>
    <t>"not a url"</t>
  </si>
  <si>
    <t>"javascript:alert(1)"</t>
  </si>
  <si>
    <t>FE_SU_011 - mapAvatarUploadError maps an avatar-upload error code to its localized message, falling back to a generic upload-failed message for unknown/blank codes</t>
  </si>
  <si>
    <t>Error code</t>
  </si>
  <si>
    <t>"invalid_type"</t>
  </si>
  <si>
    <t>"too_large"</t>
  </si>
  <si>
    <t>"unknown_code"</t>
  </si>
  <si>
    <t>"" (blank)</t>
  </si>
  <si>
    <t>"Invalid type."</t>
  </si>
  <si>
    <t>"Too large."</t>
  </si>
  <si>
    <t>"Upload failed." (fallback)</t>
  </si>
  <si>
    <t>FE_PC_001 - setAuth/isAuthenticated/clearAuth round-trip via the legacy flag, and isAuthenticated is also true from a real access token alone</t>
  </si>
  <si>
    <t>setAuth() then clearAuth() (legacy flag)</t>
  </si>
  <si>
    <t>setAuthTokens() only, no legacy flag</t>
  </si>
  <si>
    <t>isAuthenticated() false -&gt; true -&gt; false</t>
  </si>
  <si>
    <t>isAuthenticated() true from token alone</t>
  </si>
  <si>
    <t>FE_PC_002 - setUserRole/getUserRole round-trip, and clearAuth clears role + tokens + cached user profile together</t>
  </si>
  <si>
    <t>setUserRole('HR_MANAGER') then getUserRole()</t>
  </si>
  <si>
    <t>setAuth+setUserRole+setAuthTokens+setCachedUserProfile then clearAuth()</t>
  </si>
  <si>
    <t>getUserRole() -&gt; 'HR_MANAGER'</t>
  </si>
  <si>
    <t>getUserRole()/getAccessToken()/getCachedUserProfile() all null after clearAuth</t>
  </si>
  <si>
    <t>FE_PC_003 - getRoleRedirect maps a role string (or null) to its post-login landing route</t>
  </si>
  <si>
    <t>Role</t>
  </si>
  <si>
    <t>ADMIN</t>
  </si>
  <si>
    <t>SUPER_ADMIN</t>
  </si>
  <si>
    <t>HR_MANAGER</t>
  </si>
  <si>
    <t>JOB_SEEKER</t>
  </si>
  <si>
    <t>/admin/dashboard</t>
  </si>
  <si>
    <t>/hr/dashboard</t>
  </si>
  <si>
    <t>/jobseeker</t>
  </si>
  <si>
    <t>FE_PC_004 - extractRole reads a direct/nested role field, decodes it from a JWT payload under several possible token field names, and fails safe (null) for malformed/role-less input</t>
  </si>
  <si>
    <t>Input</t>
  </si>
  <si>
    <t>{ role: 'HR_MANAGER' } (direct field)</t>
  </si>
  <si>
    <t>{ data: { role: 'ADMIN' } } (nested)</t>
  </si>
  <si>
    <t>JWT under accessToken/access_token/token, claim 'role'</t>
  </si>
  <si>
    <t>JWT under accessToken, claim 'Role' (capitalized fallback)</t>
  </si>
  <si>
    <t>{ accessToken: 'not-a-jwt' } (malformed)</t>
  </si>
  <si>
    <t>'a string' (non-object)</t>
  </si>
  <si>
    <t>{} (role-less object)</t>
  </si>
  <si>
    <t>'HR_MANAGER'</t>
  </si>
  <si>
    <t>'ADMIN'</t>
  </si>
  <si>
    <t>'JOB_SEEKER'</t>
  </si>
  <si>
    <t>FE_PC_005 - isJdCitation recognizes the JD source-file marker across common spellings/casings, and treats a missing/blank source as not-JD</t>
  </si>
  <si>
    <t>sourceFile</t>
  </si>
  <si>
    <t>'job-description'</t>
  </si>
  <si>
    <t>'jd'</t>
  </si>
  <si>
    <t>'Job Description'</t>
  </si>
  <si>
    <t>'job_description'</t>
  </si>
  <si>
    <t>'handbook.pdf'</t>
  </si>
  <si>
    <t>'' (empty)</t>
  </si>
  <si>
    <t>FE_PC_006 - sortCitationsPrimaryFirst puts the JD citation first (preserving relative order otherwise, and handling null/empty input), and citationsForDisplay injects a synthetic empty-excerpt JD row only when one isn't already present</t>
  </si>
  <si>
    <t>sort([handbook, job-description, policy])</t>
  </si>
  <si>
    <t>sort(null) / sort([])</t>
  </si>
  <si>
    <t>citationsForDisplay([handbook]), no JD present</t>
  </si>
  <si>
    <t>citationsForDisplay([job-description w/ real excerpt]), JD present</t>
  </si>
  <si>
    <t>[job-description, handbook, policy]</t>
  </si>
  <si>
    <t>[] (empty array, no throw)</t>
  </si>
  <si>
    <t>2 rows: synthetic JD (excerpt=null) prepended + handbook</t>
  </si>
  <si>
    <t>1 row: original JD row unchanged (excerpt kept, not duplicated)</t>
  </si>
  <si>
    <t>FE_PC_007 - formatCitationExcerpt trims/truncates-with-ellipsis/nulls-blank text, and citationDisplayName shows the localized JD label for a JD source and the raw filename otherwise</t>
  </si>
  <si>
    <t>'  short text  ' (trim only)</t>
  </si>
  <si>
    <t>'   ' (whitespace only)</t>
  </si>
  <si>
    <t>200 'x' chars, maxLength=140</t>
  </si>
  <si>
    <t>citationDisplayName('job-description', labels)</t>
  </si>
  <si>
    <t>citationDisplayName('handbook.pdf', labels)</t>
  </si>
  <si>
    <t>'short text'</t>
  </si>
  <si>
    <t>140 'x' chars + ellipsis '…'</t>
  </si>
  <si>
    <t>'Job Description' (localized label)</t>
  </si>
  <si>
    <t>'handbook.pdf' (raw filename)</t>
  </si>
  <si>
    <t>FE_GH_001 - formatXp adds thousands separators, including the zero case</t>
  </si>
  <si>
    <t>1200</t>
  </si>
  <si>
    <t>0</t>
  </si>
  <si>
    <t>'1,200'</t>
  </si>
  <si>
    <t>'0'</t>
  </si>
  <si>
    <t>FE_GH_002 - getLevelLabel maps a numeric level to its named tier across all 6 tier boundaries</t>
  </si>
  <si>
    <t>Level</t>
  </si>
  <si>
    <t>1-2</t>
  </si>
  <si>
    <t>3-5</t>
  </si>
  <si>
    <t>6-9</t>
  </si>
  <si>
    <t>10-14</t>
  </si>
  <si>
    <t>15-19</t>
  </si>
  <si>
    <t>20-29</t>
  </si>
  <si>
    <t>Newcomer</t>
  </si>
  <si>
    <t>Practitioner</t>
  </si>
  <si>
    <t>Achiever</t>
  </si>
  <si>
    <t>Trailblazer</t>
  </si>
  <si>
    <t>Specialist</t>
  </si>
  <si>
    <t>Mentor</t>
  </si>
  <si>
    <t>FE_GH_003 - getLevelColorClass/getLevelBarColor stay in sync at the tier extremes, and streakIntensity buckets a streak count into an intensity level 0-3</t>
  </si>
  <si>
    <t>level 1 (lowest tier)</t>
  </si>
  <si>
    <t>level 30 (highest tier)</t>
  </si>
  <si>
    <t>streak 0</t>
  </si>
  <si>
    <t>streak 1-2</t>
  </si>
  <si>
    <t>streak 3-6</t>
  </si>
  <si>
    <t>streak 7-29</t>
  </si>
  <si>
    <t>streak 30</t>
  </si>
  <si>
    <t>class contains 'gray', bar '#6b7280'</t>
  </si>
  <si>
    <t>class contains 'yellow', bar '#eab308'</t>
  </si>
  <si>
    <t>intensity 0</t>
  </si>
  <si>
    <t>intensity 1</t>
  </si>
  <si>
    <t>intensity 2</t>
  </si>
  <si>
    <t>intensity 3</t>
  </si>
  <si>
    <t>FE_GH_004 - xpRewardTypeLabel resolves a per-locale label and falls back to the raw type string for an unknown value</t>
  </si>
  <si>
    <t>Type + locale</t>
  </si>
  <si>
    <t>'StreakMilestone', en</t>
  </si>
  <si>
    <t>'StreakMilestone', vi</t>
  </si>
  <si>
    <t>'SomethingNew' (unknown), en</t>
  </si>
  <si>
    <t>'Streak milestone'</t>
  </si>
  <si>
    <t>'Mốc luyện tập liên tiếp'</t>
  </si>
  <si>
    <t>'SomethingNew' (raw fallback)</t>
  </si>
  <si>
    <t>FE_GH_005 - timeAgo formats an elapsed duration into a localized relative-time label (en/vi), across minute/hour/day/month buckets</t>
  </si>
  <si>
    <t>Elapsed age + locale</t>
  </si>
  <si>
    <t>10 min, en</t>
  </si>
  <si>
    <t>10 min, vi</t>
  </si>
  <si>
    <t>5h, en</t>
  </si>
  <si>
    <t>5h, vi</t>
  </si>
  <si>
    <t>10d, en</t>
  </si>
  <si>
    <t>10d, vi</t>
  </si>
  <si>
    <t>2 months, en</t>
  </si>
  <si>
    <t>2 months, vi</t>
  </si>
  <si>
    <t>'just now' / 'vừa xong'</t>
  </si>
  <si>
    <t>'10m ago' / '10 phút trước'</t>
  </si>
  <si>
    <t>'5h ago' / '5 giờ trước'</t>
  </si>
  <si>
    <t>'10d ago' / '10 ngày trước'</t>
  </si>
  <si>
    <t>'2mo ago' / '2 tháng trước'</t>
  </si>
  <si>
    <t>FE_GH_006 - getLoginWelcomeRoleFromRedirect maps a post-login redirect path to the role whose welcome banner should show, or null for non-role paths</t>
  </si>
  <si>
    <t>Path</t>
  </si>
  <si>
    <t>/jobseeker or /jobseeker/</t>
  </si>
  <si>
    <t>/admin/dashboard or /admin/users</t>
  </si>
  <si>
    <t>/hr/dashboard or /hr/generate-question</t>
  </si>
  <si>
    <t>/login or /</t>
  </si>
  <si>
    <t>'jobseeker'</t>
  </si>
  <si>
    <t>'admin'</t>
  </si>
  <si>
    <t>'hr'</t>
  </si>
  <si>
    <t>FE_GH_007 - markLoginWelcomePending/hasLoginWelcomePending/clearLoginWelcomePending round-trip through sessionStorage and are role-specific</t>
  </si>
  <si>
    <t>markLoginWelcomePending('hr') then clearLoginWelcomePending()</t>
  </si>
  <si>
    <t>hasLoginWelcomePending('hr') false -&gt; true -&gt; false</t>
  </si>
  <si>
    <t>hasLoginWelcomePending('admin') stays false throughout (role-specific)</t>
  </si>
  <si>
    <t>FE_GH_008 - saveLocalSession assigns a 'local-' id and prepends to the list (most-recent-first), and getLocalSession finds by id or returns null when missing</t>
  </si>
  <si>
    <t>save 2 sessions in sequence</t>
  </si>
  <si>
    <t>getLocalSession(existing id) / getLocalSession('does-not-exist')</t>
  </si>
  <si>
    <t>id matches /^local-/, list has 2 entries, most recent first</t>
  </si>
  <si>
    <t>existing id resolves the session; missing id -&gt; null</t>
  </si>
  <si>
    <t>FE_GH_009 - patchLocalSession merges fields for a matching id and no-ops for an unknown id; updateLocalSessionQuestions replaces the question list and bumps updatedAt</t>
  </si>
  <si>
    <t>patchLocalSession(existing id, {backendJobId})</t>
  </si>
  <si>
    <t>patchLocalSession('does-not-exist', {...})</t>
  </si>
  <si>
    <t>updateLocalSessionQuestions(existing id, newQuestions)</t>
  </si>
  <si>
    <t>session.backendJobId updated</t>
  </si>
  <si>
    <t>list unchanged (still 1 entry), no throw</t>
  </si>
  <si>
    <t>generatedQuestions replaced, updatedAt &gt;= previous</t>
  </si>
  <si>
    <t>FE_GH_010 - toGenerationSession maps every field 1:1, and a malformed localStorage entry is treated as an empty list instead of throwing</t>
  </si>
  <si>
    <t>toGenerationSession(saved local session)</t>
  </si>
  <si>
    <t>localStorage has '{not valid json' under the history key</t>
  </si>
  <si>
    <t>id/jobTitle/status/hrOwner all match the source session</t>
  </si>
  <si>
    <t>getLocalSessions() -&gt; [] (no throw)</t>
  </si>
  <si>
    <t>FE_CA_001 - validateAvatarFile accepts an allowed image type under the 2MB cap, and throws AvatarUploadError with the right code for a disallowed mime type or an oversized file</t>
  </si>
  <si>
    <t>File</t>
  </si>
  <si>
    <t>a.png, image/png, 1KB</t>
  </si>
  <si>
    <t>a.pdf, application/pdf, tiny</t>
  </si>
  <si>
    <t>a.png, image/png, just over 2MB</t>
  </si>
  <si>
    <t>does not throw</t>
  </si>
  <si>
    <t>AvatarUploadError('invalid_type')</t>
  </si>
  <si>
    <t>AvatarUploadError('too_large')</t>
  </si>
  <si>
    <t>FE_CA_002 - computeStreakDays counts a consecutive-day practice streak ending today or yesterday, breaking on any gap of 2+ days, de-duping same-day timestamps, and ignoring malformed entries</t>
  </si>
  <si>
    <t>Session dates</t>
  </si>
  <si>
    <t>[] (no sessions)</t>
  </si>
  <si>
    <t>[today]</t>
  </si>
  <si>
    <t>[today, yesterday, 2d ago]</t>
  </si>
  <si>
    <t>[today, 2d ago] (gap)</t>
  </si>
  <si>
    <t>[yesterday, 2d ago] (no session today)</t>
  </si>
  <si>
    <t>[3d ago] (nothing today/yesterday)</t>
  </si>
  <si>
    <t>[undefined, 'not-a-date', today]</t>
  </si>
  <si>
    <t>[today, today] (duplicate same-day)</t>
  </si>
  <si>
    <t>1</t>
  </si>
  <si>
    <t>3</t>
  </si>
  <si>
    <t>2</t>
  </si>
  <si>
    <t>FE_CA_003 - translateDimensionKey/translateQuestionCategory return the Vietnamese label for known keys (case/separator-insensitive) and title-case the raw key as a fallback for unknown ones or the English locale</t>
  </si>
  <si>
    <t>translateDimensionKey('technical_accuracy'/'Technical-Accuracy', vi)</t>
  </si>
  <si>
    <t>translateDimensionKey('some_new_dimension', vi) / ('clarity', en)</t>
  </si>
  <si>
    <t>translateQuestionCategory('problem-solving', vi)</t>
  </si>
  <si>
    <t>translateQuestionCategory('unknown-cat', vi) / ('technical', en)</t>
  </si>
  <si>
    <t>'Độ chính xác kỹ thuật'</t>
  </si>
  <si>
    <t>'Some New Dimension' / 'Clarity' (fallback)</t>
  </si>
  <si>
    <t>'Giải quyết vấn đề'</t>
  </si>
  <si>
    <t>'Unknown Cat' / 'Technical' (fallback)</t>
  </si>
  <si>
    <t>FE_CA_004 - getCompanyInitials handles empty/single/multi-word names with a '?' fallback, and getCompanyColor is deterministic per seed while generally varying across seeds</t>
  </si>
  <si>
    <t>getCompanyInitials('' / '   ')</t>
  </si>
  <si>
    <t>getCompanyInitials('Acme')</t>
  </si>
  <si>
    <t>getCompanyInitials('Acme Corp International')</t>
  </si>
  <si>
    <t>getCompanyColor('Acme Corp') called twice, vs getCompanyColor('Zephyr Industries')</t>
  </si>
  <si>
    <t>'?'</t>
  </si>
  <si>
    <t>'AC'</t>
  </si>
  <si>
    <t>same color both calls, matches /^bg-\w+-500$/, generally differs from the other seed</t>
  </si>
  <si>
    <t>FE_CA_005 - toBackendRoleFilter maps a FE role key to the BE query value (undefined for unknown), and normalizeAdminRoleKey normalizes assorted BE role spellings into ADMIN/HR_MANAGER/JOB_SEEKER/UNKNOWN</t>
  </si>
  <si>
    <t>Role input</t>
  </si>
  <si>
    <t>toBackendRoleFilter: ADMIN / HR_MANAGER / JOB_SEEKER / UNKNOWN</t>
  </si>
  <si>
    <t>normalizeAdminRoleKey: ADMIN, SysAdmin, HR_MANAGER, Recruiter, JOB_SEEKER, Candidate, JobSeeker, something-else, undefined</t>
  </si>
  <si>
    <t>'Admin' / 'HR' / 'Candidate' / undefined</t>
  </si>
  <si>
    <t>ADMIN/HR_MANAGER/JOB_SEEKER grouped correctly, unmatched -&gt; UNKNOWN</t>
  </si>
  <si>
    <t>FE_CA_006 - getAdminUserStatus derives Suspended/Pending/Active from isActive+emailVerified (isActive=false always wins), and isAdminRole is case-insensitive and null-safe</t>
  </si>
  <si>
    <t>User / role</t>
  </si>
  <si>
    <t>isActive=false, emailVerified=true</t>
  </si>
  <si>
    <t>isActive=true, emailVerified=false</t>
  </si>
  <si>
    <t>isActive=true, emailVerified=true</t>
  </si>
  <si>
    <t>isActive=false, emailVerified=false</t>
  </si>
  <si>
    <t>isAdminRole('ADMIN' / 'SuperAdmin')</t>
  </si>
  <si>
    <t>isAdminRole('HR_MANAGER')</t>
  </si>
  <si>
    <t>isAdminRole(null / undefined)</t>
  </si>
  <si>
    <t>'Suspended'</t>
  </si>
  <si>
    <t>'Pending'</t>
  </si>
  <si>
    <t>'Active'</t>
  </si>
  <si>
    <t>FE_CA_007 - getDifficultyBadgeClass/getCategoryBadgeClass/formatCategoryLabel pick the right badge color and title-case a hyphen/underscore/space-separated category, with a gray fallback for unknown categories</t>
  </si>
  <si>
    <t>getDifficultyBadgeClass: Easy / Medium / Hard</t>
  </si>
  <si>
    <t>getCategoryBadgeClass: Technical / system-design (case-insensitive)</t>
  </si>
  <si>
    <t>getCategoryBadgeClass: some-unknown-type</t>
  </si>
  <si>
    <t>formatCategoryLabel: problem-solving / system_design / technical</t>
  </si>
  <si>
    <t>emerald / amber / red class</t>
  </si>
  <si>
    <t>blue / cyan class</t>
  </si>
  <si>
    <t>gray class (fallback)</t>
  </si>
  <si>
    <t>'Problem Solving' / 'System Design' / 'Technical'</t>
  </si>
  <si>
    <t>FE_CA_008 - getScoreBadgeClass thresholds at 80/65, and getScoreLevel derives a label+badge color from the same 80/65/50 thresholds</t>
  </si>
  <si>
    <t>Score</t>
  </si>
  <si>
    <t>85 / 80 (&gt;= 80)</t>
  </si>
  <si>
    <t>70 / 65 (65-79)</t>
  </si>
  <si>
    <t>40 (&lt; 65)</t>
  </si>
  <si>
    <t>getScoreLevel(90), Excellent tier</t>
  </si>
  <si>
    <t>getScoreLevel(70), Good tier</t>
  </si>
  <si>
    <t>getScoreLevel(55), Fair tier</t>
  </si>
  <si>
    <t>getScoreLevel(30), Needs work tier</t>
  </si>
  <si>
    <t>emerald class</t>
  </si>
  <si>
    <t>violet class</t>
  </si>
  <si>
    <t>amber class</t>
  </si>
  <si>
    <t>{label:'Excellent', emerald}</t>
  </si>
  <si>
    <t>{label:'Fair', amber}</t>
  </si>
  <si>
    <t>{label:'Needs work', red}</t>
  </si>
  <si>
    <t>FE_QTI_001 - 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</si>
  <si>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t>
  </si>
  <si>
    <t>codeTemplateType='  refactoring  ' (loose casing)</t>
  </si>
  <si>
    <t>codeTemplateType='NOT_A_REAL_TEMPLATE' (unrecognized, falls through)</t>
  </si>
  <si>
    <t>content keyword: system design / code completion / bug / refactor / unit test / complexity</t>
  </si>
  <si>
    <t>no template signal, scoringRubric='Look for bug handling'</t>
  </si>
  <si>
    <t>type='SystemDesign', neutral content</t>
  </si>
  <si>
    <t>codeSnippet present, no other signal</t>
  </si>
  <si>
    <t>purely theoretical, no snippet/keywords</t>
  </si>
  <si>
    <t>templateId = BUG_DETECTION</t>
  </si>
  <si>
    <t>templateId = REFACTORING</t>
  </si>
  <si>
    <t>templateId = SYSTEM_DESIGN (falls through to inference)</t>
  </si>
  <si>
    <t>templateId matches the 6-way keyword table</t>
  </si>
  <si>
    <t>templateId = CODE_COMPLETION</t>
  </si>
  <si>
    <t>templateId = null, but imageHint is still truthy</t>
  </si>
  <si>
    <t>FE_QTI_002 - inferStudioTemplate extracts a code snippet from codeSnippet directly, an expectedAnswer 'Code snippet:' marker, a fenced code block, or heuristically-detected raw code, while not mistaking plain prose for code, and normalizing literal \n/\t escapes</t>
  </si>
  <si>
    <t>codeSnippet='const x = 1;'</t>
  </si>
  <si>
    <t>expectedAnswer with 'Code snippet:' marker</t>
  </si>
  <si>
    <t>content with a fenced ```js block</t>
  </si>
  <si>
    <t>expectedAnswer is raw code, no marker (heuristic detection)</t>
  </si>
  <si>
    <t>expectedAnswer is plain prose, no code</t>
  </si>
  <si>
    <t>codeSnippet has literal \n/\t escape sequences</t>
  </si>
  <si>
    <t>snippet = 'const x = 1;'</t>
  </si>
  <si>
    <t>snippet = the heuristically-detected code block</t>
  </si>
  <si>
    <t>snippet = undefined (no false positive)</t>
  </si>
  <si>
    <t>snippet has real newlines (escapes normalized)</t>
  </si>
  <si>
    <t>FE_QTI_003 - 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</si>
  <si>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t>
  </si>
  <si>
    <t>scoringRubric='lang=auto'</t>
  </si>
  <si>
    <t>question.imageHint='Custom hint' + codeTemplateType=BUG_DETECTION</t>
  </si>
  <si>
    <t>no imageHint/meta, content implies bug template</t>
  </si>
  <si>
    <t>system design content + scoringRubric diagramHint meta</t>
  </si>
  <si>
    <t>system design content, no diagramHint meta</t>
  </si>
  <si>
    <t>attachedImageUrl='  https://x/img.png  ' / '   '</t>
  </si>
  <si>
    <t>snippetLanguage = 'typescript' (lowercased)</t>
  </si>
  <si>
    <t>snippetLanguage = undefined ('auto' means unset)</t>
  </si>
  <si>
    <t>imageHint = 'Custom hint' (wins over template default)</t>
  </si>
  <si>
    <t>imageHint contains 'lỗi' (per-template default)</t>
  </si>
  <si>
    <t>diagramDescription = meta text</t>
  </si>
  <si>
    <t>diagramDescription contains 'sơ đồ kiến trúc' (default)</t>
  </si>
  <si>
    <t>attachedImageUrl trimmed / undefined when blank</t>
  </si>
  <si>
    <t>FE_QTI_004 - inferGeneratedQuestionTemplate maps a History/Review-page GeneratedQuestion (questionType, rationale+scoringRubric meta, difficulty string) onto the same template/snippet/lang inference, and never throws on an unrecognized difficulty string</t>
  </si>
  <si>
    <t>questionType='System Design'</t>
  </si>
  <si>
    <t>rationale='template=BUG_DETECTION;lang=Python', scoringRubric='snippet=...'</t>
  </si>
  <si>
    <t>difficulty='very easy'</t>
  </si>
  <si>
    <t>difficulty='HARD' (case-insensitive)</t>
  </si>
  <si>
    <t>difficulty='unrecognized'</t>
  </si>
  <si>
    <t>templateId = SYSTEM_DESIGN</t>
  </si>
  <si>
    <t>templateId=BUG_DETECTION, snippetLanguage='python', snippet from meta</t>
  </si>
  <si>
    <t>templateId = null</t>
  </si>
  <si>
    <t>FE_SEC_001 - SecuritySection blocks submit client-side for empty fields, a new password under 8 chars, or a mismatched confirmation, without ever calling changePassword</t>
  </si>
  <si>
    <t>Form input</t>
  </si>
  <si>
    <t>all fields empty</t>
  </si>
  <si>
    <t>current="oldpass1", new="short1" (&lt; 8 chars), confirm="short1"</t>
  </si>
  <si>
    <t>current="oldpass1", new="newpassword1", confirm="differentpassword1" (mismatch)</t>
  </si>
  <si>
    <t>"Could not update password. Please try again."</t>
  </si>
  <si>
    <t>"New passwords do not match."</t>
  </si>
  <si>
    <t>changePassword() is never called</t>
  </si>
  <si>
    <t>FE_SEC_002 - A valid password change calls changePassword and clears the form on success; an API failure shows the generic save-failed error</t>
  </si>
  <si>
    <t>valid current/new/confirm, changePassword resolves</t>
  </si>
  <si>
    <t>valid current/new/confirm, changePassword rejects (network down)</t>
  </si>
  <si>
    <t>"Password updated successfully.", fields cleared</t>
  </si>
  <si>
    <t>FE_XPH_001 - Standalone XpHistorySection lists entries with label+amount, falls back to a type-based i18n label when the backend omits one, shows an empty state, and fetches exactly page 1/size 10</t>
  </si>
  <si>
    <t>entries with a label, e.g. 'Session completed' +20</t>
  </si>
  <si>
    <t>entry with label='', type='StreakMilestone'</t>
  </si>
  <si>
    <t>items: []</t>
  </si>
  <si>
    <t>render standalone (no embedded prop)</t>
  </si>
  <si>
    <t>shows label and '+20'</t>
  </si>
  <si>
    <t>shows 'Streak milestone' (i18n fallback)</t>
  </si>
  <si>
    <t>"No XP history yet — complete a practice session to earn XP."</t>
  </si>
  <si>
    <t>getXpHistory called with (1, 10)</t>
  </si>
  <si>
    <t>FE_XPH_002 - Embedded XpHistorySection (used inside a settings tab) hides the outer card title and fetches a larger page (30) than standalone mode</t>
  </si>
  <si>
    <t>entries render, no 'XP History' title text</t>
  </si>
  <si>
    <t>getXpHistory called with (1, 30)</t>
  </si>
  <si>
    <t>FE_DGS_001 - DailyGoalSettings highlights the server-saved preset as active on load, and hides the Save button until a different preset is picked</t>
  </si>
  <si>
    <t>getMyProgress returns dailyGoalXp=50, no interaction</t>
  </si>
  <si>
    <t>getMyProgress returns dailyGoalXp=50, still no preset changed</t>
  </si>
  <si>
    <t>the '50 XP' button has the active border class</t>
  </si>
  <si>
    <t>no 'Save goal' button in the DOM</t>
  </si>
  <si>
    <t>FE_DGS_002 - Selecting a different daily-goal preset and saving calls updateDailyGoal and optimistically marks the new preset active; a save failure shows an error toast and keeps Save visible</t>
  </si>
  <si>
    <t>pick '80 XP', click Save goal, updateDailyGoal resolves</t>
  </si>
  <si>
    <t>pick '120 XP', click Save goal, updateDailyGoal rejects (network down)</t>
  </si>
  <si>
    <t>'Daily goal updated' toast; '80 XP' now shows the active class; Save hidden</t>
  </si>
  <si>
    <t>'Could not update goal' toast; Save goal button still visible</t>
  </si>
  <si>
    <t>FE_GPC_001 - 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</si>
  <si>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t>
  </si>
  <si>
    <t>dailyGoalCompleted=true, todayXp=50</t>
  </si>
  <si>
    <t>dailyGoalXp=50, todayXp=20, dailyGoalCompleted=false</t>
  </si>
  <si>
    <t>click 'How to earn XP?'</t>
  </si>
  <si>
    <t>getMyProgress rejects (network down)</t>
  </si>
  <si>
    <t>'Level 4', '1,250 XP', 'Practitioner', '3' all shown</t>
  </si>
  <si>
    <t>'Daily goal completed! 🎉'</t>
  </si>
  <si>
    <t>'30 XP left to reach your goal'</t>
  </si>
  <si>
    <t>'How to earn XP' guide panel opens</t>
  </si>
  <si>
    <t>card stays aria-busy='true' (skeleton), no crash</t>
  </si>
  <si>
    <t>FE_AG_001 - The full-variant AchievementGrid lists achievements with an unlocked count, filters by category, shows an empty state with none, and offers a working Try-again retry after a load failure</t>
  </si>
  <si>
    <t>2 achievements, 1 unlocked</t>
  </si>
  <si>
    <t>2 achievements, different categories, click 'Streak' filter</t>
  </si>
  <si>
    <t>getAchievements resolves []</t>
  </si>
  <si>
    <t>getAchievements rejects once, then resolves; click 'Try again'</t>
  </si>
  <si>
    <t>both names shown, '1/2 Unlocked'</t>
  </si>
  <si>
    <t>only the Streak-category achievement remains visible</t>
  </si>
  <si>
    <t>'No achievements yet, start practising!'</t>
  </si>
  <si>
    <t>'Try again' button shown, then re-fetch succeeds and shows the achievement</t>
  </si>
  <si>
    <t>FE_AG_002 - The compact-variant AchievementGrid sorts unlocked achievements ahead of locked ones</t>
  </si>
  <si>
    <t>the unlocked achievement's tile appears before the locked one's</t>
  </si>
  <si>
    <t>FE_APS_001 - AdminSettingsPage's General tab loads platform settings from getPlatformSettings, retries the fetch after a load failure, and calls updatePlatformSettings with the edited platform name on Save</t>
  </si>
  <si>
    <t>getPlatformSettings resolves with platformName/defaultQuestionCount/sessionTimeout</t>
  </si>
  <si>
    <t>getPlatformSettings rejects once, then Retry re-fetches</t>
  </si>
  <si>
    <t>edit Platform Name field, click Save Changes</t>
  </si>
  <si>
    <t>fields populated: name/default count/session timeout shown</t>
  </si>
  <si>
    <t>Retry button shown, then values load after retry</t>
  </si>
  <si>
    <t>updatePlatformSettings called with edited name, 'Settings saved locally.' shown</t>
  </si>
  <si>
    <t>FE_APS_002 - The Permissions tab locks Admin's own toggles while Recruiter's stay editable, and the Notifications tab's per-event Email toggle updates its own state</t>
  </si>
  <si>
    <t>Permissions tab, 'Manage Users' row</t>
  </si>
  <si>
    <t>Notifications tab, 'JD Generation' row, click Email toggle</t>
  </si>
  <si>
    <t>Admin switch disabled; Recruiter switch toggles false→true on click</t>
  </si>
  <si>
    <t>Email switch toggles aria-checked false→true</t>
  </si>
  <si>
    <t>FE_APS_003 - Save Permissions, Save Notifications, and the General tab's Reset Platform Data button are rendered disabled with a Coming soon tooltip, since none has a backend to act on yet, rather than being silently non-functional active buttons</t>
  </si>
  <si>
    <t>Button</t>
  </si>
  <si>
    <t>Permissions tab: Save Permissions</t>
  </si>
  <si>
    <t>Notifications tab: Save Notifications</t>
  </si>
  <si>
    <t>General tab danger zone: Reset</t>
  </si>
  <si>
    <t>button is disabled with title='Coming soon'</t>
  </si>
  <si>
    <t>FE_AICFG_001 - AdminAiConfigRoutePage loads the saved LLM provider/chat model/temperature from getRagSettings+listRagModels, and a load failure shows Retry which re-fetches and repopulates the form</t>
  </si>
  <si>
    <t>getRagSettings/listRagModels resolve with ollama provider, llama3.1:8b, temp=0.3</t>
  </si>
  <si>
    <t>both calls reject once, then Retry re-fetches successfully</t>
  </si>
  <si>
    <t>base URL/chat model select/'(0.3)' temperature label shown</t>
  </si>
  <si>
    <t>Retry button shown, then chat model select value repopulated after retry</t>
  </si>
  <si>
    <t>FE_AICFG_002 - 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</si>
  <si>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t>
  </si>
  <si>
    <t>edit temperature to 0.7, click Save AI configuration, updateRagSettings resolves</t>
  </si>
  <si>
    <t>click Save AI configuration, updateRagSettings rejects with 'Backend does not support saving AI config yet.'</t>
  </si>
  <si>
    <t>base URL field shows https://openrouter.ai/api/v1</t>
  </si>
  <si>
    <t>updateRagSettings called with temperature=0.7, 'AI configuration saved' shown</t>
  </si>
  <si>
    <t>toast shows the rejected error's own message verbatim</t>
  </si>
  <si>
    <t>FE_ACT_001 - ContentTable renders a session row's job title/recruiter/question count from props, its per-row Delete button is disabled with a Coming soon tooltip (no backend to delete against), and the View link still navigates to the session's history detail page</t>
  </si>
  <si>
    <t>session row with jobTitle/recruiter/recruiterEmail/questionsCount</t>
  </si>
  <si>
    <t>per-row Delete button</t>
  </si>
  <si>
    <t>View link, session id='sess-42'</t>
  </si>
  <si>
    <t>job title/recruiter/email/count text rendered</t>
  </si>
  <si>
    <t>Delete button disabled with title='Coming soon'</t>
  </si>
  <si>
    <t>link href='/hr/history/sess-42'</t>
  </si>
  <si>
    <t>FE_ACOMP_001 - CompanyManagementPage lists companies from listCompanies, re-fetches with a keyword on Enter in the search box, shows an empty state when there are none, and a load failure shows Retry which re-fetches</t>
  </si>
  <si>
    <t>listCompanies resolves with 1 company</t>
  </si>
  <si>
    <t>type 'Acme{Enter}' in the search box</t>
  </si>
  <si>
    <t>listCompanies resolves with an empty list</t>
  </si>
  <si>
    <t>listCompanies rejects once, then Retry re-fetches</t>
  </si>
  <si>
    <t>'Acme Corp' shown</t>
  </si>
  <si>
    <t>listCompanies last called with keyword='Acme'</t>
  </si>
  <si>
    <t>'No companies found.' shown</t>
  </si>
  <si>
    <t>Retry (Thử lại) button shown, then results load after retry</t>
  </si>
  <si>
    <t>FE_ACOMP_002 - Creating a company trims the entered name and calls createCompany, editing a company's name calls updateCompany, and deleting a company requires a confirm step before calling deleteCompany</t>
  </si>
  <si>
    <t>Add Company, type '  New Co  ' in the name field, click Create Company</t>
  </si>
  <si>
    <t>Edit Company on 'Acme Corp', rename to 'Acme Corp Renamed', Save Changes</t>
  </si>
  <si>
    <t>Delete Company on 'Acme Corp', then confirm the delete</t>
  </si>
  <si>
    <t>createCompany called with name='New Co' (trimmed), success toast shown</t>
  </si>
  <si>
    <t>updateCompany called with id='co-1', name='Acme Corp Renamed', success toast shown</t>
  </si>
  <si>
    <t>confirm text shown first, deleteCompany not called until confirm is clicked, then called with 'co-1'</t>
  </si>
  <si>
    <t>FE_AKB_001 - AdminKnowledgePage wires the shared KnowledgePageContent to the admin-scoped knowledge.service functions (not the HR ones), it lists documents via getAdminKnowledgeDocs and shows an empty state when there are none</t>
  </si>
  <si>
    <t>getAdminKnowledgeDocs resolves with 1 doc ('company-handbook.pdf')</t>
  </si>
  <si>
    <t>getAdminKnowledgeDocs resolves with an empty list</t>
  </si>
  <si>
    <t>'Knowledge Documents' heading + 'company-handbook.pdf' shown, getAdminKnowledgeDocs called</t>
  </si>
  <si>
    <t>'No documents yet.' shown</t>
  </si>
  <si>
    <t>FE_ADASH_001 - AdminDashboardPage renders KPI values and a recent-user registration from fetchAdminDashboardStats, and shows a 'No companies registered' alert when totalCompanies=0 or 'No alerts detected' when data is healthy</t>
  </si>
  <si>
    <t>totalUsers=120, hrManagers=15, jobSeekers=100, totalCompanies=8</t>
  </si>
  <si>
    <t>recentUsers=[{fullName:'Nguyen Van A', email:'a@example.com'}]</t>
  </si>
  <si>
    <t>totalCompanies=0, companies=[]</t>
  </si>
  <si>
    <t>companies + HR managers present, no anomalies</t>
  </si>
  <si>
    <t>120/15/100/8 KPI values shown</t>
  </si>
  <si>
    <t>'Nguyen Van A' + 'a@example.com' shown in recent users</t>
  </si>
  <si>
    <t>'No companies registered' alert shown</t>
  </si>
  <si>
    <t>'No alerts detected' shown</t>
  </si>
  <si>
    <t>FE_ADASH_002 - A load failure shows an error banner with Retry which re-fetches and clears the error, and clicking the header's Refresh button re-fetches dashboard data</t>
  </si>
  <si>
    <t>fetchAdminDashboardStats rejects once, then Retry re-fetches</t>
  </si>
  <si>
    <t>loaded with totalUsers=120, click Refresh, next fetch returns totalUsers=200</t>
  </si>
  <si>
    <t>Retry button shown, then data loads and error banner clears</t>
  </si>
  <si>
    <t>KPI updates from 120 to 200</t>
  </si>
  <si>
    <t>FE_AMKT_001 - AdminMarketplacePage lists published sets with title/company/HR owner, debounce-searches by keyword, shows an empty state with no results, and a load failure shows an error toast</t>
  </si>
  <si>
    <t>listMarketplaceQuestionSets resolves with 1 item</t>
  </si>
  <si>
    <t>type 'Backend' into the search box</t>
  </si>
  <si>
    <t>listMarketplaceQuestionSets resolves with an empty list</t>
  </si>
  <si>
    <t>listMarketplaceQuestionSets rejects</t>
  </si>
  <si>
    <t>title + company name shown</t>
  </si>
  <si>
    <t>listMarketplaceQuestionSets last called with keyword='Backend'</t>
  </si>
  <si>
    <t>'No marketplace question sets found.' shown</t>
  </si>
  <si>
    <t>'Failed to load marketplace list.' shown</t>
  </si>
  <si>
    <t>FE_AMKT_002 - Pinning a set calls pinMarketplaceQuestionSet and shows a success toast; clicking View opens the detail panel with data (including practitioners) from getMarketplaceQuestionSetById</t>
  </si>
  <si>
    <t>click Pin on an unpinned set, pinMarketplaceQuestionSet resolves</t>
  </si>
  <si>
    <t>click View, getMarketplaceQuestionSetById resolves with a practitioner 'Tran Thi B'</t>
  </si>
  <si>
    <t>pinMarketplaceQuestionSet called with 'set-1', 'Question set pinned.' shown</t>
  </si>
  <si>
    <t>getMarketplaceQuestionSetById called with 'set-1', 'Tran Thi B' shown in the detail panel</t>
  </si>
  <si>
    <t>FE_APLAN_001 - AdminPlansRoutePage lists plans fetched via adminListPlans (name and per-limit values), and clicking Refresh re-fetches and repopulates the form</t>
  </si>
  <si>
    <t>adminListPlans resolves with HR Premium, askAiPerMonth=999</t>
  </si>
  <si>
    <t>loaded, click Refresh, next fetch renames the plan to 'HR Premium Renamed'</t>
  </si>
  <si>
    <t>name field shows 'HR Premium', Ask-AI field shows 999</t>
  </si>
  <si>
    <t>name field updates to 'HR Premium Renamed'</t>
  </si>
  <si>
    <t>FE_APLAN_002 - Editing the Ask-AI limit and saving calls adminUpdatePlan with the new value and shows a success message; a save failure shows the generic save-error toast</t>
  </si>
  <si>
    <t>edit Ask-AI limit 999→500, click Save plan, adminUpdatePlan resolves</t>
  </si>
  <si>
    <t>click Save plan, adminUpdatePlan rejects (network down)</t>
  </si>
  <si>
    <t>adminUpdatePlan called with plan id and limits.askAiPerMonth=500, success message shown</t>
  </si>
  <si>
    <t>'Failed to save the plan.' shown</t>
  </si>
  <si>
    <t>FE_APLAN_003 - The Free visible % field clamps its value to a maximum of 100 on blur, even if the user types a larger number</t>
  </si>
  <si>
    <t>field value clamps to 100</t>
  </si>
  <si>
    <t>FE_HDASH_001 - 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</si>
  <si>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t>
  </si>
  <si>
    <t>recentSessions=[{role:'Backend Developer', questionCount:15}]</t>
  </si>
  <si>
    <t>topRecommendations=[{candidateName:'Nguyen Van A', score:88}]</t>
  </si>
  <si>
    <t>topRecommendations=[]</t>
  </si>
  <si>
    <t>108/12/9/75%/'Backend Developer' KPI values shown</t>
  </si>
  <si>
    <t>'Backend Developer' appears ≥2 times (KPI + row), question count 15 shown</t>
  </si>
  <si>
    <t>'Nguyen Van A' + '88%' shown</t>
  </si>
  <si>
    <t>'No candidate recommendations yet.' shown</t>
  </si>
  <si>
    <t>FE_HDASH_002 - 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</si>
  <si>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t>
  </si>
  <si>
    <t>getHrDashboard resolves null; listRecommendations resolves with 1 fallback item</t>
  </si>
  <si>
    <t>'Failed to load dashboard data.' banner shown AND 'Fallback Candidate' still rendered</t>
  </si>
  <si>
    <t>FE_HIST_001 - 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</si>
  <si>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t>
  </si>
  <si>
    <t>type 'react' into the search box</t>
  </si>
  <si>
    <t>filter='PUBLISHED', then filter='bookmarked'</t>
  </si>
  <si>
    <t>listHistoryQuestionSets rejects with 'Network error loading sets'</t>
  </si>
  <si>
    <t>both titles + 'Saved'/'Published' badges + counts 8/12 shown</t>
  </si>
  <si>
    <t>Draft row hidden, matching Published row still shown</t>
  </si>
  <si>
    <t>each filter shows only the matching set, hides the other</t>
  </si>
  <si>
    <t>'Network error loading sets' shown instead of the table</t>
  </si>
  <si>
    <t>FE_HIST_002 - Publishing a Draft set calls publishQuestionSet and flips its badge to Published, unpublishing flips it back to Saved/Draft, and toggling the bookmark icon calls toggleHrBookmark</t>
  </si>
  <si>
    <t>click 'Publish to marketplace' on the Draft row (qs-1)</t>
  </si>
  <si>
    <t>click 'Unpublish' on the Published row (qs-2)</t>
  </si>
  <si>
    <t>click 'Save to bookmarks' on the Draft row (qs-1)</t>
  </si>
  <si>
    <t>publishQuestionSet called with 'qs-1', both rows now show 'Published'</t>
  </si>
  <si>
    <t>unpublishQuestionSet called with 'qs-2', both rows now show 'Saved'</t>
  </si>
  <si>
    <t>toggleHrBookmark called with 'qs-1'</t>
  </si>
  <si>
    <t>FE_HIST_003 - Deleting a set asks for confirmation before calling deleteHistoryQuestionSet and removes the row on confirm; a PUBLISHED set's Delete button is disabled and never opens the confirm dialog (must unpublish first)</t>
  </si>
  <si>
    <t>click Delete on the Draft row (qs-1), then confirm in the dialog</t>
  </si>
  <si>
    <t>click the disabled Delete ('Unpublish before deleting') on the Published row (qs-2)</t>
  </si>
  <si>
    <t>'Confirm Delete' shown first, deleteHistoryQuestionSet not called until confirmed, then called with 'qs-1', row removed</t>
  </si>
  <si>
    <t>button is disabled, click no-ops: no dialog opens, deleteHistoryQuestionSet not called</t>
  </si>
  <si>
    <t>FE_HIST_004 - The per-row Download Excel export button only renders for a Premium subscription; it is absent entirely for a Free plan</t>
  </si>
  <si>
    <t>subscription = Premium</t>
  </si>
  <si>
    <t>subscription = Free (ready)</t>
  </si>
  <si>
    <t>'Download Excel' button present</t>
  </si>
  <si>
    <t>'Download Excel' button absent</t>
  </si>
  <si>
    <t>FE_CBILL_001 - CandidateBillingPage shows a Free subscriber's plan and practice-attempt usage (used/limit), and a Premium subscriber's plan and formatted renewal date</t>
  </si>
  <si>
    <t>planType=FREE, practiceUsed=3, practiceLimit=5</t>
  </si>
  <si>
    <t>planType=PREMIUM, renewalDate='2026-09-15T00:00:00Z'</t>
  </si>
  <si>
    <t>'Free Plan' + '3/5' shown</t>
  </si>
  <si>
    <t>'Premium' + formatted renewal date shown</t>
  </si>
  <si>
    <t>FE_CBILL_002 - 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</si>
  <si>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t>
  </si>
  <si>
    <t>1 invoice 'CAND-2026-01-01'</t>
  </si>
  <si>
    <t>invoice WITH receiptUrl</t>
  </si>
  <si>
    <t>invoice WITHOUT receiptUrl</t>
  </si>
  <si>
    <t>'No payment history yet.' shown</t>
  </si>
  <si>
    <t>'CAND-2026-01-01' row shown</t>
  </si>
  <si>
    <t>real link with href=receiptUrl and download attribute</t>
  </si>
  <si>
    <t>no link rendered; disabled button with title='Coming soon'</t>
  </si>
  <si>
    <t>FE_CBILL_003 - A Premium subscriber's Manage Subscription button, and a Free subscriber's Update Billing Info / Change Payment Method buttons, are all disabled with a Coming soon tooltip rather than silently non-functional</t>
  </si>
  <si>
    <t>Premium subscriber</t>
  </si>
  <si>
    <t>Free subscriber</t>
  </si>
  <si>
    <t>'Manage Subscription' disabled with title='Coming soon'</t>
  </si>
  <si>
    <t>'Update Billing Info' and 'Change Payment Method' both disabled with title='Coming soon'</t>
  </si>
  <si>
    <t>FE_CBILL_004 - A Free subscriber clicking Upgrade to Premium opens the upgrade modal; a Premium subscriber's Cancel Plan opens a confirm dialog and only calls cancelSubscription (reverting the card to Free) once confirmed</t>
  </si>
  <si>
    <t>Free subscriber, click Upgrade to Premium</t>
  </si>
  <si>
    <t>Premium subscriber, click Cancel Plan, then confirm Cancel Subscription</t>
  </si>
  <si>
    <t>upgrade modal dialog opens</t>
  </si>
  <si>
    <t>'Cancel Subscription' heading shown first, cancelSubscription not called until confirmed, then called and plan card reverts to 'Free Plan'</t>
  </si>
  <si>
    <t>FE_CDASH_001 - CandidateDashboard renders the total-sessions/average-score KPIs from real practice stats, lists a recent session by question-set title, shows an empty state with no sessions, and a load failure shows Retry which re-fetches</t>
  </si>
  <si>
    <t>getPracticeStats: totalSessions=6, averageScore=78</t>
  </si>
  <si>
    <t>listCompletedSessions: 1 item, setTitle='Frontend React Deep Dive'</t>
  </si>
  <si>
    <t>listCompletedSessions: [], totalSessions=0</t>
  </si>
  <si>
    <t>both calls reject once, then Retry re-fetches</t>
  </si>
  <si>
    <t>'6' + '78%' KPI values shown</t>
  </si>
  <si>
    <t>'Frontend React Deep Dive' shown</t>
  </si>
  <si>
    <t>'No practice sessions yet.' shown</t>
  </si>
  <si>
    <t>Retry button shown, then session data loads after retry</t>
  </si>
  <si>
    <t>FE_CDASH_002 - The dashboard renders recommended question sets fetched via listQuestionSets (pageSize=3), and a recommended-sets load failure shows its own independent Retry without affecting the main dashboard data already loaded</t>
  </si>
  <si>
    <t>listQuestionSets resolves with 'SRE Site Reliability Track'</t>
  </si>
  <si>
    <t>main dashboard data loads fine, listQuestionSets rejects once then Retry re-fetches</t>
  </si>
  <si>
    <t>'SRE Site Reliability Track' shown, called with pageSize=3</t>
  </si>
  <si>
    <t>main session data still shown; recommended-sets Retry re-populates independently</t>
  </si>
  <si>
    <t>FE_PROF_001 - CandidateProfile shows the loaded profile info and practice stats in view mode, and clicking Edit Profile switches to edit mode with the current values pre-filled in inputs</t>
  </si>
  <si>
    <t>getCurrentUser: targetRole='Backend Developer'; getPracticeStats: totalSessions=4, averageScore=81</t>
  </si>
  <si>
    <t>click Edit Profile</t>
  </si>
  <si>
    <t>'Backend Developer' + '4' + '81%' shown</t>
  </si>
  <si>
    <t>inputs pre-filled with current name/role, Save Changes button shown</t>
  </si>
  <si>
    <t>FE_PROF_002 - 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</si>
  <si>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t>
  </si>
  <si>
    <t>type 'not-a-url' into the LinkedIn field, Save Changes</t>
  </si>
  <si>
    <t>type 'Kubernetes{Enter}' into the skills input, then Save Changes</t>
  </si>
  <si>
    <t>updateCandidateProfile called with targetRole='Staff Backend Engineer' (trimmed), 'Profile saved successfully.' shown, edit mode exits</t>
  </si>
  <si>
    <t>'Enter a valid URL (e.g. https://…)' shown, updateCandidateProfile never called</t>
  </si>
  <si>
    <t>'Kubernetes' chip shown; saved techStack includes it</t>
  </si>
  <si>
    <t>FE_PROF_003 - Uploading a CV from the empty state calls uploadCv and the new file name appears; deleting an existing CV asks for confirmation before calling deleteCv</t>
  </si>
  <si>
    <t>no CV yet, upload 'new-resume.pdf'</t>
  </si>
  <si>
    <t>existing CV 'handbook-cv.pdf', click Delete, then confirm</t>
  </si>
  <si>
    <t>uploadCv called with the file, 'new-resume.pdf' appears</t>
  </si>
  <si>
    <t>'Delete your CV?' shown first, deleteCv not called until confirmed, then called and 'CV deleted.' shown</t>
  </si>
  <si>
    <t>FE_CSET_001 - SettingsPage defaults to the Profile tab, opens whichever tab the ?tab= query param names on load, and clicking a nav item switches tabs</t>
  </si>
  <si>
    <t>no ?tab= param</t>
  </si>
  <si>
    <t>?tab=billing</t>
  </si>
  <si>
    <t>loaded on Profile, click the General nav item</t>
  </si>
  <si>
    <t>[CandidateProfile] placeholder shown</t>
  </si>
  <si>
    <t>[CandidateBillingPage] placeholder shown</t>
  </si>
  <si>
    <t>General tab content ('Language') shown</t>
  </si>
  <si>
    <t>FE_CSET_002 - On the General tab, toggling CV sync off calls updateCvSyncSettings(false), and switching the language to Tiếng Việt re-labels the tab's own content</t>
  </si>
  <si>
    <t>CV sync currently on, click its toggle</t>
  </si>
  <si>
    <t>click 'Tiếng Việt'</t>
  </si>
  <si>
    <t>updateCvSyncSettings called with false</t>
  </si>
  <si>
    <t>'Ngôn ngữ' (re-labeled) shown</t>
  </si>
  <si>
    <t>FE_CSET_003 - On the Privacy tab, a Premium candidate can toggle recruiter-recommendation visibility (calling updatePrivacySettings), while a Free candidate sees a 'Premium only' lock instead of the toggle, and clicking it opens the upgrade prompt</t>
  </si>
  <si>
    <t>planType=PREMIUM, toggle currently on, click it</t>
  </si>
  <si>
    <t>planType=FREE (default)</t>
  </si>
  <si>
    <t>updatePrivacySettings called with false, 'Preference updated' shown</t>
  </si>
  <si>
    <t>'Premium only' shown, no switch rendered; clicking 'Upgrade to Premium' opens the upgrade heading</t>
  </si>
  <si>
    <t>FE_CSUB_001 - 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</si>
  <si>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t>
  </si>
  <si>
    <t>cache={plan:PREMIUM, user:'user-A'}, current user='user-A', subscription fetch hangs</t>
  </si>
  <si>
    <t>no relevant cache, current user='user-C', getCandidateSubscription resolves PREMIUM</t>
  </si>
  <si>
    <t>no cache at all, current user='user-D', getCandidateSubscription resolves FREE</t>
  </si>
  <si>
    <t>shows plan:FREE for user-B, never plan:PREMIUM (cache NOT leaked cross-user)</t>
  </si>
  <si>
    <t>shows plan:PREMIUM for user-A immediately (same-user cache applied)</t>
  </si>
  <si>
    <t>shows plan:PREMIUM for user-C; cache written with user='user-C'</t>
  </si>
  <si>
    <t>shows plan:FREE for user-D once the API responds</t>
  </si>
  <si>
    <t>FE_UPM_001 - 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</si>
  <si>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t>
  </si>
  <si>
    <t>order becomes Paid; getCandidateSubscription rejects on all 3 attempts</t>
  </si>
  <si>
    <t>getCandidateSubscription called 3 times total, onDone called once with the fresh subscription/usage/history</t>
  </si>
  <si>
    <t>getCandidateSubscription called 3 times total, onDone never called, onClose already called, no crash</t>
  </si>
  <si>
    <t>FE_FRC_001 - FeedbackResultClient shows 'scoring' while overallScore is null and polls every SCORE_POLL_INTERVAL_MS until a score arrives, flipping to 'done'; a score already present on the initial load skips polling entirely</t>
  </si>
  <si>
    <t>getPracticeSession: null, null, then 85 across 3 calls</t>
  </si>
  <si>
    <t>getPracticeSession returns overallScore=72 on the very first call</t>
  </si>
  <si>
    <t>state stays 'scoring' through 2 nulls, then flips to 'done'; called 3 times total</t>
  </si>
  <si>
    <t>state is 'done' immediately; called exactly once, no further polls even after 2 intervals</t>
  </si>
  <si>
    <t>FE_FRC_002 - After SCORE_POLL_MAX_ATTEMPTS straight nulls, scoring times out ('timed-out') instead of polling forever; clicking Retry after a timeout restarts polling from scratch and can still succeed</t>
  </si>
  <si>
    <t>getPracticeSession returns null on every one of SCORE_POLL_MAX_ATTEMPTS polls</t>
  </si>
  <si>
    <t>timed out, then click 'Retry scoring', next poll returns overallScore=90</t>
  </si>
  <si>
    <t>state flips to 'timed-out'; called 1 (initial) + SCORE_POLL_MAX_ATTEMPTS times</t>
  </si>
  <si>
    <t>state goes back to 'scoring' then 'done' after the next interval</t>
  </si>
  <si>
    <t>FE_BILL_001 - HrBillingSubscription shows 'Free' for a Free subscriber and 'Premium' for a Premium subscriber</t>
  </si>
  <si>
    <t>'Free' shown</t>
  </si>
  <si>
    <t>'Premium' shown</t>
  </si>
  <si>
    <t>FE_BILL_002 - 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</si>
  <si>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t>
  </si>
  <si>
    <t>Premium subscriber, 1 invoice 'HR-2026-01-01'</t>
  </si>
  <si>
    <t>no invoice row rendered</t>
  </si>
  <si>
    <t>'HR-2026-01-01' row shown</t>
  </si>
  <si>
    <t>FE_BILL_003 - 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</si>
  <si>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t>
  </si>
  <si>
    <t>confirm dialog open, click 'Keep Premium'</t>
  </si>
  <si>
    <t>confirm dialog open, click confirm; cancelSubscriptionSandbox resolves with planCode still PREMIUM, status='Cancelled'</t>
  </si>
  <si>
    <t>'Downgrade to Free' heading + 'Keep Premium' shown, no cancel call yet</t>
  </si>
  <si>
    <t>dialog closes, subscription NOT cancelled</t>
  </si>
  <si>
    <t>cancelSubscriptionSandbox called once, dialog closes, 'Downgrade to Free' CTA still present (still Premium, not reverted to Free)</t>
  </si>
  <si>
    <t>FE_HKB_001 - KnowledgePageContent lists documents fetched via onFetchDocs with file name and status, shows an empty state with none, and a FAILED document shows its own error message</t>
  </si>
  <si>
    <t>onFetchDocs resolves with 1 READY doc 'handbook.pdf'</t>
  </si>
  <si>
    <t>onFetchDocs resolves []</t>
  </si>
  <si>
    <t>onFetchDocs resolves with a FAILED doc, errorMessage='Unreadable PDF content'</t>
  </si>
  <si>
    <t>'handbook.pdf' + 'Ready' status shown</t>
  </si>
  <si>
    <t>'Unreadable PDF content' shown</t>
  </si>
  <si>
    <t>FE_HKB_002 - 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</si>
  <si>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t>
  </si>
  <si>
    <t>upload 'huge.pdf', 21MB (over the 20MB limit)</t>
  </si>
  <si>
    <t>onUpload called with the file, 'resume-guide.pdf' appears in the list</t>
  </si>
  <si>
    <t>'File "huge.pdf" exceeds 20 MB.' toast shown, onUpload never called</t>
  </si>
  <si>
    <t>FE_HKB_003 - Deleting a document asks for confirmation ('Delete document?') before calling onDelete and removes the row on confirm</t>
  </si>
  <si>
    <t>'Delete document?' shown first, onDelete not called until confirmed, then called with 'doc-1', row removed</t>
  </si>
  <si>
    <t>FE_HREC_001 - 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</si>
  <si>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t>
  </si>
  <si>
    <t>click the 'Shortlisted' status tab</t>
  </si>
  <si>
    <t>listRecommendations resolves []</t>
  </si>
  <si>
    <t>listRecommendations rejects once, then Retry re-fetches</t>
  </si>
  <si>
    <t>name + '88' score shown</t>
  </si>
  <si>
    <t>last called with status='SHORTLISTED'</t>
  </si>
  <si>
    <t>matching candidate hidden, non-matching one still shown</t>
  </si>
  <si>
    <t>'No candidates found matching your filters.' shown</t>
  </si>
  <si>
    <t>Retry button shown, then results load after retry</t>
  </si>
  <si>
    <t>FE_HREC_002 - 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</si>
  <si>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t>
  </si>
  <si>
    <t>status=NEW, dismissRecommendation rejects with 409</t>
  </si>
  <si>
    <t>status=DISMISSED, click Shortlist</t>
  </si>
  <si>
    <t>status=INVITED</t>
  </si>
  <si>
    <t>shortlistRecommendation called with the id, 'Added to shortlist.' shown</t>
  </si>
  <si>
    <t>'This candidate has already been invited or dismissed.' shown</t>
  </si>
  <si>
    <t>Shortlist button present and works, shortlistRecommendation called</t>
  </si>
  <si>
    <t>no Shortlist/Dismiss buttons rendered</t>
  </si>
  <si>
    <t>FE_HRSET_001 - The Preferences and Notifications tabs' Save Changes buttons are both disabled with a Coming soon tooltip (no backend to persist to yet), while individual notification toggles still update their own checked state live</t>
  </si>
  <si>
    <t>Preferences tab</t>
  </si>
  <si>
    <t>Notifications tab</t>
  </si>
  <si>
    <t>Notifications tab, click the first toggle</t>
  </si>
  <si>
    <t>Save Changes disabled with title='Coming soon'</t>
  </si>
  <si>
    <t>toggle's aria-checked flips</t>
  </si>
  <si>
    <t>FE_INV_001 - InvitationsList lists invitations with company name and a live Pending count badge on the tab, the Accepted tab filters the list to accepted-only, no invitations shows the empty state, and a load failure shows Retry which re-fetches</t>
  </si>
  <si>
    <t>listInvitations: 1 PENDING + 1 ACCEPTED</t>
  </si>
  <si>
    <t>click the Accepted tab</t>
  </si>
  <si>
    <t>listInvitations resolves []</t>
  </si>
  <si>
    <t>listInvitations rejects once, then Retry re-fetches</t>
  </si>
  <si>
    <t>both company names shown, Pending tab badge shows '1'</t>
  </si>
  <si>
    <t>PENDING company hidden, ACCEPTED one still shown</t>
  </si>
  <si>
    <t>empty-state message shown</t>
  </si>
  <si>
    <t>Retry button shown, then invitation loads after retry</t>
  </si>
  <si>
    <t>FE_INV_002 - 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</si>
  <si>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t>
  </si>
  <si>
    <t>type '0912345678' (valid), click Accept invitation, acceptInvitation resolves</t>
  </si>
  <si>
    <t>click Accept invitation, acceptInvitation rejects with 409</t>
  </si>
  <si>
    <t>'Enter a valid phone number (10 digits, starting with 0).' shown, acceptInvitation never called</t>
  </si>
  <si>
    <t>acceptInvitation called with the phone, 'Invitation accepted' shown</t>
  </si>
  <si>
    <t>'You've already responded to this invitation.' shown</t>
  </si>
  <si>
    <t>FE_INV_003 - Decline asks for confirmation ('Decline this invitation?') before calling rejectInvitation and flips the status to Rejected</t>
  </si>
  <si>
    <t>confirm text shown first, rejectInvitation not called until confirmed, then called and 'Invitation declined' shown</t>
  </si>
  <si>
    <t>FE_MKT_001 - 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</si>
  <si>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t>
  </si>
  <si>
    <t>type 'react' into search</t>
  </si>
  <si>
    <t>select Difficulty=Hard</t>
  </si>
  <si>
    <t>search for text matching no set</t>
  </si>
  <si>
    <t>the 2nd (main) listQuestionSets call rejects, then Retry re-fetches</t>
  </si>
  <si>
    <t>all 3 titles shown, 'Acme Corp' appears twice</t>
  </si>
  <si>
    <t>only the React set remains visible; no re-fetch with a keyword param (client-side only)</t>
  </si>
  <si>
    <t>only the Hard-difficulty set remains visible</t>
  </si>
  <si>
    <t>'No question sets found. Try a different search.' shown</t>
  </si>
  <si>
    <t>Retry button shown, then all 3 sets load after retry</t>
  </si>
  <si>
    <t>FE_MKT_002 - Clicking the bookmark icon on a card calls toggleBookmark and flips its label from 'Save for later' to 'Remove from saved'; each card's Start Practice link points at its own set-detail route</t>
  </si>
  <si>
    <t>click 'Save for later' on the first card</t>
  </si>
  <si>
    <t>3 cards, default featured sort</t>
  </si>
  <si>
    <t>toggleBookmark called, button now reads 'Remove from saved'</t>
  </si>
  <si>
    <t>3 links, hrefs = /jobseeker/sets/{s1,s2,s3} in fetch order</t>
  </si>
  <si>
    <t>FE_PRACSESS_001 - 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</si>
  <si>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t>
  </si>
  <si>
    <t>startPracticeSession resolves with a 2-question session</t>
  </si>
  <si>
    <t>startPracticeSession rejects with a generic Error, then Retry re-invokes and succeeds</t>
  </si>
  <si>
    <t>startPracticeSession rejects with a ForbiddenError (403)</t>
  </si>
  <si>
    <t>'Starting your practice session…' shown</t>
  </si>
  <si>
    <t>question text + 'Question 1 of 2' shown</t>
  </si>
  <si>
    <t>'Failed to start the practice session.' shown, then Retry succeeds and shows the question</t>
  </si>
  <si>
    <t>"You don't have access to practice this question set." shown, not the generic message</t>
  </si>
  <si>
    <t>FE_PRACSESS_002 - Resuming a session with previously-submitted answers lands on the first UNANSWERED question (not the first question overall), shows a Resumed badge, and shows a welcome-back toast</t>
  </si>
  <si>
    <t>q-2's text shown (not q-1's), 'Resumed' badge + welcome-back toast shown</t>
  </si>
  <si>
    <t>FE_PRACSESS_003 - 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</si>
  <si>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t>
  </si>
  <si>
    <t>single-question session, all answered, click Finish &amp; Get Feedback</t>
  </si>
  <si>
    <t>review dialog open, click Submit &amp; grade</t>
  </si>
  <si>
    <t>Finish button absent until both answered, then appears</t>
  </si>
  <si>
    <t>'Submit this session?' dialog shown, completePracticeSession not yet called</t>
  </si>
  <si>
    <t>completePracticeSession called with the session id, router pushed to the result page</t>
  </si>
  <si>
    <t>FE_PRACSESS_004 - A real code finding: if completePracticeSession() fails but a follow-up getPracticeSession() shows the session already COMPLETED server-side (BE auto-completed it via its own time limit), the candidate is still routed to the result page instead of shown an error</t>
  </si>
  <si>
    <t>router still pushed to the result page, no 'Failed to finish the session.' error shown</t>
  </si>
  <si>
    <t>FE_PRACSESS_005 - A locked (Free-plan) question hides its text and answer box entirely and shows an upgrade prompt instead of the real question content</t>
  </si>
  <si>
    <t>'Premium question, upgrade to unlock' + lock message shown; the real question text is NOT rendered</t>
  </si>
  <si>
    <t>FE_PRD_001 - PremiumRevokedDialog renders nothing when open=false; when open, it shows the revoked title and the HR lost-features list by default; audience='candidate' swaps in the candidate-specific lost-features list instead</t>
  </si>
  <si>
    <t>open=false</t>
  </si>
  <si>
    <t>open=true, no audience prop (default HR)</t>
  </si>
  <si>
    <t>open=true, audience='candidate'</t>
  </si>
  <si>
    <t>'Premium Plan Revoked' NOT rendered</t>
  </si>
  <si>
    <t>title + HR items ('Publish to Marketplace' etc.) shown</t>
  </si>
  <si>
    <t>title + candidate items shown; 'Publish to Marketplace' absent</t>
  </si>
  <si>
    <t>FE_PRD_002 - No Upgrade CTA is rendered when onUpgrade isn't provided; when it is, clicking 'Upgrade Again' calls onUpgrade then onClose</t>
  </si>
  <si>
    <t>no onUpgrade prop</t>
  </si>
  <si>
    <t>onUpgrade provided, click 'Upgrade Again →'</t>
  </si>
  <si>
    <t>no 'Upgrade Again' button rendered</t>
  </si>
  <si>
    <t>onUpgrade called once, then onClose called once</t>
  </si>
  <si>
    <t>FE_PRD_003 - The dialog can be dismissed 4 equivalent ways, the bottom 'Close' button, clicking the backdrop, pressing Escape, or the header X button, each calling onClose exactly once without calling onUpgrade</t>
  </si>
  <si>
    <t>click the bottom 'Close' button (2nd of 2 same-named buttons)</t>
  </si>
  <si>
    <t>click the backdrop</t>
  </si>
  <si>
    <t>press Escape</t>
  </si>
  <si>
    <t>click the header X 'Close' button (1st of 2)</t>
  </si>
  <si>
    <t>onClose called exactly once, onUpgrade not called</t>
  </si>
  <si>
    <t>FE_SUBRT_001 - 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</si>
  <si>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t>
  </si>
  <si>
    <t>render a component using useSubscriptionRealtime in jsdom</t>
  </si>
  <si>
    <t>does not throw (returns null instead)</t>
  </si>
  <si>
    <t>render does not throw</t>
  </si>
  <si>
    <t>FE_SUBRT_002 - 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</si>
  <si>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t>
  </si>
  <si>
    <t>enabled=false, advance 120s</t>
  </si>
  <si>
    <t>advance 30s once, then unmount, then advance 60s more</t>
  </si>
  <si>
    <t>rerender with a new onChange callback before the first 30s tick</t>
  </si>
  <si>
    <t>onChange called twice (once per 30s interval)</t>
  </si>
  <si>
    <t>onChange never called</t>
  </si>
  <si>
    <t>onChange called once total, no further calls after unmount</t>
  </si>
  <si>
    <t>the OLD callback is never called; the NEW one is called once</t>
  </si>
  <si>
    <t>BE_API_001 - Verify GET /health and GET /api/v1/health report status based on Ollama connectivity, and require no auth</t>
  </si>
  <si>
    <t>Request</t>
  </si>
  <si>
    <t>Ollama service reachable</t>
  </si>
  <si>
    <t>Ollama service unreachable</t>
  </si>
  <si>
    <t>No X-Internal-Api-Key header sent</t>
  </si>
  <si>
    <t>200 OK, status healthy, system_chunks/hr_chunks counts returned</t>
  </si>
  <si>
    <t>502, success=false, error.code=LLM_ERROR</t>
  </si>
  <si>
    <t>Request succeeds without any API key (health endpoints are unauthenticated)</t>
  </si>
  <si>
    <t>BE_API_002 - Verify X-Internal-Api-Key enforcement across protected endpoints, including the fail-open config gap</t>
  </si>
  <si>
    <t>X-Internal-Api-Key header matches CONFIG["internal_api_key"]</t>
  </si>
  <si>
    <t>X-Internal-Api-Key header is missing entirely</t>
  </si>
  <si>
    <t>X-Internal-Api-Key header present but the value is wrong</t>
  </si>
  <si>
    <t>INTERNAL_API_KEY env var is empty/unset on the server</t>
  </si>
  <si>
    <t>Request proceeds to the endpoint handler</t>
  </si>
  <si>
    <t>401, raw body {"detail": "Invalid internal API key"} (not wrapped in the ApiResponse envelope)</t>
  </si>
  <si>
    <t>Auth is silently disabled for ALL protected endpoints when the config key is empty (fail-open, not fail-closed)</t>
  </si>
  <si>
    <t>BE_API_003 - Verify POST /api/v1/chat request validation, including the empty-question gap</t>
  </si>
  <si>
    <t>Request body</t>
  </si>
  <si>
    <t>question is a valid non-empty string</t>
  </si>
  <si>
    <t>question is an empty string ""</t>
  </si>
  <si>
    <t>Body is malformed JSON / wrong field type</t>
  </si>
  <si>
    <t>X-Internal-Api-Key missing</t>
  </si>
  <si>
    <t>200, answer returned in the ApiResponse envelope</t>
  </si>
  <si>
    <t>200 with a low-quality/garbage answer - no server-side validation rejects an empty question</t>
  </si>
  <si>
    <t>422, FastAPI validation error body {"detail":[...]}</t>
  </si>
  <si>
    <t>401 Invalid internal API key</t>
  </si>
  <si>
    <t>Empty question is never rejected server-side (GAP)</t>
  </si>
  <si>
    <t>BE_API_004 - Verify POST /api/v1/knowledge/system/files upload validation (extension/size/count/filename)</t>
  </si>
  <si>
    <t>Upload</t>
  </si>
  <si>
    <t>.pdf file, 5MB</t>
  </si>
  <si>
    <t>.exe file (unsupported extension)</t>
  </si>
  <si>
    <t>.pdf file, 30MB (over the 25MB limit)</t>
  </si>
  <si>
    <t>21 files attached in one request (over max_upload_files=20)</t>
  </si>
  <si>
    <t>files field sent but empty</t>
  </si>
  <si>
    <t>filename contains path traversal (e.g. "../../secrets.txt")</t>
  </si>
  <si>
    <t>200, file ingested successfully</t>
  </si>
  <si>
    <t>422, error.code=INGEST_FAILED</t>
  </si>
  <si>
    <t>400, raw HTTPException for an empty files array</t>
  </si>
  <si>
    <t>Filename is sanitized/rejected, not written outside the intended directory</t>
  </si>
  <si>
    <t>BE_API_005 - Verify POST /api/v1/knowledge/hr/{owner_id}/files validation, including blank owner_id</t>
  </si>
  <si>
    <t>owner_id is a valid non-empty string, valid file attached</t>
  </si>
  <si>
    <t>owner_id is blank/empty in the path</t>
  </si>
  <si>
    <t>owner_id contains special/unexpected characters</t>
  </si>
  <si>
    <t>200, file ingested under the HR-specific knowledge base</t>
  </si>
  <si>
    <t>400, raw HTTPException for blank owner_id</t>
  </si>
  <si>
    <t>Behavior for a special-character owner_id is unverified (edge case worth confirming)</t>
  </si>
  <si>
    <t>BE_API_006 - Verify JD ingest validation rules (min/max chars/words, line count, printable ratio, keyword signal groups)</t>
  </si>
  <si>
    <t>JD content</t>
  </si>
  <si>
    <t>500 characters, 90 words, well-structured</t>
  </si>
  <si>
    <t>350 characters (below jd_min_chars=400)</t>
  </si>
  <si>
    <t>35,000 characters (above jd_max_chars=30000)</t>
  </si>
  <si>
    <t>60 words (below jd_min_words=80)</t>
  </si>
  <si>
    <t>5,500 words (above jd_max_words=5000)</t>
  </si>
  <si>
    <t>Only 3 non-empty lines</t>
  </si>
  <si>
    <t>Text matches fewer than 2 of the 4 keyword signal groups</t>
  </si>
  <si>
    <t>70%+ of lines are trivial bullet points</t>
  </si>
  <si>
    <t>Ingestion proceeds normally</t>
  </si>
  <si>
    <t>422, error.code=JD_INVALID with a per-file validation_errors list</t>
  </si>
  <si>
    <t>BE_API_007 - Verify POST /api/v1/interview-plans/start validation and the vector-store-readiness gate</t>
  </si>
  <si>
    <t>Request / state</t>
  </si>
  <si>
    <t>Valid owner_id, vector store is_ready=true</t>
  </si>
  <si>
    <t>owner_id is blank</t>
  </si>
  <si>
    <t>Vector store is_ready=false (ingest-system/ingest-hr not run yet)</t>
  </si>
  <si>
    <t>Vector store ready, but no chunks match the query in system_kb/hr_kb</t>
  </si>
  <si>
    <t>200, plan draft returned</t>
  </si>
  <si>
    <t>422/PLAN_ERROR, "owner_id không hợp lệ."</t>
  </si>
  <si>
    <t>422, error.code=NOT_READY, "Chưa có dữ liệu. Chạy ingest-system và ingest-hr trước."</t>
  </si>
  <si>
    <t>422, error.code=PLAN_ERROR, "Không tìm thấy tài liệu liên quan trong system_kb hoặc hr_kb."</t>
  </si>
  <si>
    <t>BE_API_008 - Verify POST /api/v1/interview-plans/messages clarify-turn cap (max_plan_turns=5)</t>
  </si>
  <si>
    <t>1st-4th clarify turn on the same plan session</t>
  </si>
  <si>
    <t>5th clarify turn (at the max_plan_turns=5 cap)</t>
  </si>
  <si>
    <t>6th clarify turn attempted (exceeds the cap)</t>
  </si>
  <si>
    <t>message field is empty</t>
  </si>
  <si>
    <t>200, plan updated based on the clarify message</t>
  </si>
  <si>
    <t>Error: "Đã vượt quá 5 lượt clarify..."</t>
  </si>
  <si>
    <t>Empty message is passed through with no explicit rejection (unverified, needs confirmation)</t>
  </si>
  <si>
    <t>BE_API_009 - Verify POST /api/v1/interview-plans/confirm validation, including the question_count 1-30 bound</t>
  </si>
  <si>
    <t>plan_draft provided, question_count=10</t>
  </si>
  <si>
    <t>plan_draft missing entirely</t>
  </si>
  <si>
    <t>question_count=0</t>
  </si>
  <si>
    <t>question_count=31</t>
  </si>
  <si>
    <t>question_types contains a value outside {technical, behavioral, situational}</t>
  </si>
  <si>
    <t>200, plan confirmed</t>
  </si>
  <si>
    <t>Error, plan_draft required</t>
  </si>
  <si>
    <t>Error: "question_count phải từ 1 đến 30."</t>
  </si>
  <si>
    <t>question_types validated against the allowed set, invalid values rejected</t>
  </si>
  <si>
    <t>BE_API_010 - Verify POST /api/v1/interview-questions validation, including the missing question_count bound check on this direct path</t>
  </si>
  <si>
    <t>confirmed_plan object provided</t>
  </si>
  <si>
    <t>owner_id, role, and level all provided (no confirmed_plan)</t>
  </si>
  <si>
    <t>Neither confirmed_plan nor owner_id/role/level given</t>
  </si>
  <si>
    <t>question_count=500 sent on this direct (non-plan) generation path</t>
  </si>
  <si>
    <t>200, questions generated from the confirmed plan</t>
  </si>
  <si>
    <t>200, questions generated from owner_id/role/level</t>
  </si>
  <si>
    <t>400, "Cần confirmed_plan hoặc owner_id/role/level."</t>
  </si>
  <si>
    <t>question_count is NOT bounds-checked on this path (unlike the plan-confirm path) - KNOWN GAP</t>
  </si>
  <si>
    <t>BE_API_011 - API-contract finding: two incompatible error response shapes coexist across the API</t>
  </si>
  <si>
    <t>Error source</t>
  </si>
  <si>
    <t>Business-logic error on a /api/v1/* route (e.g. JD_INVALID, NOT_READY)</t>
  </si>
  <si>
    <t>Raw HTTPException (401 auth failure, blank owner_id 400)</t>
  </si>
  <si>
    <t>FastAPI automatic request validation error (malformed JSON/wrong types)</t>
  </si>
  <si>
    <t>Response follows the ApiResponse envelope: {success,data,error:{code,message,details},meta}</t>
  </si>
  <si>
    <t>Response is plain {"detail": "..."} - does NOT follow the ApiResponse envelope</t>
  </si>
  <si>
    <t>API consumers must handle 2 different error body shapes depending on the failure type (CONTRACT INCONSISTENCY)</t>
  </si>
  <si>
    <t>BE_API_012 - Verify Ollama-down behavior differs by endpoint - proper 502 LLM_ERROR mapping on plan endpoints vs an unhandled raw 500 on chat/question-generation</t>
  </si>
  <si>
    <t>Ollama unreachable during a plan-start call (wrapped in try/except)</t>
  </si>
  <si>
    <t>Ollama unreachable during a chat call (NOT wrapped in try/except)</t>
  </si>
  <si>
    <t>Ollama unreachable during interview-questions generation (no try/except around the LLM call)</t>
  </si>
  <si>
    <t>502, error.code=LLM_ERROR, ApiResponse envelope</t>
  </si>
  <si>
    <t>Raw unhandled 500 with a generic body, NOT the ApiResponse envelope (INCONSISTENT LLM failure handling)</t>
  </si>
  <si>
    <t>BE_API_013 - Verify legacy (unprefixed) endpoints are still live but hidden from OpenAPI docs, with deprecation headers</t>
  </si>
  <si>
    <t>GET /status (legacy path, no /api/v1 prefix)</t>
  </si>
  <si>
    <t>POST /chat (legacy)</t>
  </si>
  <si>
    <t>POST /generate-questions (legacy)</t>
  </si>
  <si>
    <t>Open /api/v1/docs and look for these legacy routes</t>
  </si>
  <si>
    <t>200, response includes Deprecation and Sunset: 2026-09-01 headers</t>
  </si>
  <si>
    <t>Legacy routes are absent from the OpenAPI docs despite being fully functional</t>
  </si>
  <si>
    <t>Still requires a valid X-Internal-Api-Key like all v1 routes</t>
  </si>
  <si>
    <t>BE_API_014 - Verify there is no async job/polling pattern - generation calls block synchronously with no configured timeout</t>
  </si>
  <si>
    <t>Ollama responds normally within a few seconds</t>
  </si>
  <si>
    <t>Ollama hangs/responds very slowly during a generation call</t>
  </si>
  <si>
    <t>HTTP response returns promptly once generation completes (fully synchronous, no job ID/polling)</t>
  </si>
  <si>
    <t>Request hangs indefinitely from the client's perspective - no timeout configured (RISK)</t>
  </si>
  <si>
    <t>BE_API_015 - Static finding: no CORSMiddleware configured; browser-based cross-origin calls have undefined preflight behavior</t>
  </si>
  <si>
    <t>Caller</t>
  </si>
  <si>
    <t>Server-to-server call (current architecture - Next.js API routes forward with the internal key)</t>
  </si>
  <si>
    <t>Direct browser fetch from a different origin (not how the app is wired today)</t>
  </si>
  <si>
    <t>Request succeeds normally, no CORS involved</t>
  </si>
  <si>
    <t>OPTIONS preflight / cross-origin headers are undefined (no CORSMiddleware) - would fail in a browser if ever called directly (LATENT RISK)</t>
  </si>
  <si>
    <t>BE_API_016 - Static finding: no rate limiting exists on any endpoint, including expensive LLM-backed ones</t>
  </si>
  <si>
    <t>Many rapid repeated requests to /api/v1/chat from the same caller</t>
  </si>
  <si>
    <t>Many rapid repeated requests to /api/v1/interview-questions from the same caller</t>
  </si>
  <si>
    <t>All requests are accepted and processed, no 429 or throttling of any kind (LATENT RISK for cost/availability)</t>
  </si>
  <si>
    <t>BE_API_017 - Static finding: missing/misconfigured env vars do not crash startup, only fail at request time</t>
  </si>
  <si>
    <t>Startup config</t>
  </si>
  <si>
    <t>OLLAMA_BASE_URL is missing or invalid</t>
  </si>
  <si>
    <t>INTERNAL_API_KEY is missing/empty</t>
  </si>
  <si>
    <t>Chroma persist directory path is misconfigured</t>
  </si>
  <si>
    <t>App boots successfully; failure only surfaces later at request time via /health status:error</t>
  </si>
  <si>
    <t>App boots successfully; auth is silently disabled for all endpoints</t>
  </si>
  <si>
    <t>Depends on whether the Chroma client raises at import time - potential hard crash on boot vs silent misbehavior (needs confirmation)</t>
  </si>
  <si>
    <t>BE_API_018 - Verify the ingestion file-extension allow-list (.pdf .docx .txt .md .json .xlsx .xls) is enforced consistently</t>
  </si>
  <si>
    <t>File extension</t>
  </si>
  <si>
    <t>.pdf</t>
  </si>
  <si>
    <t>.docx</t>
  </si>
  <si>
    <t>.txt</t>
  </si>
  <si>
    <t>.md</t>
  </si>
  <si>
    <t>.json</t>
  </si>
  <si>
    <t>.xlsx</t>
  </si>
  <si>
    <t>.xls</t>
  </si>
  <si>
    <t>.exe</t>
  </si>
  <si>
    <t>.zip</t>
  </si>
  <si>
    <t>File is accepted and ingested</t>
  </si>
  <si>
    <t>422, error.code=INGEST_FAILED, extension not in the allow-list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</si>
</sst>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42">
    <font>
      <sz val="11"/>
      <color theme="1"/>
      <name val="Calibri"/>
      <charset val="134"/>
      <scheme val="minor"/>
    </font>
    <font>
      <b/>
      <sz val="8"/>
      <name val="Tahoma"/>
      <charset val="134"/>
    </font>
    <font>
      <i/>
      <sz val="8"/>
      <name val="Tahoma"/>
      <charset val="134"/>
    </font>
    <font>
      <sz val="8"/>
      <name val="Tahoma"/>
      <charset val="134"/>
    </font>
    <font>
      <b/>
      <sz val="8"/>
      <color rgb="FFFFFFFF"/>
      <name val="Tahoma"/>
      <charset val="134"/>
    </font>
    <font>
      <b/>
      <sz val="20"/>
      <color rgb="FF000000"/>
      <name val="Tahoma"/>
      <charset val="134"/>
    </font>
    <font>
      <sz val="11"/>
      <name val="Calibri"/>
      <charset val="134"/>
    </font>
    <font>
      <b/>
      <sz val="10"/>
      <color theme="1"/>
      <name val="Tahoma"/>
      <charset val="134"/>
    </font>
    <font>
      <sz val="10"/>
      <color theme="1"/>
      <name val="Tahoma"/>
      <charset val="134"/>
    </font>
    <font>
      <i/>
      <sz val="10"/>
      <color theme="1"/>
      <name val="Tahoma"/>
      <charset val="134"/>
    </font>
    <font>
      <b/>
      <sz val="10"/>
      <color rgb="FF993300"/>
      <name val="Tahoma"/>
      <charset val="134"/>
    </font>
    <font>
      <i/>
      <sz val="10"/>
      <color rgb="FF008000"/>
      <name val="Tahoma"/>
      <charset val="134"/>
    </font>
    <font>
      <b/>
      <sz val="10"/>
      <color rgb="FFFFFFFF"/>
      <name val="Tahoma"/>
      <charset val="134"/>
    </font>
    <font>
      <b/>
      <sz val="10"/>
      <color rgb="FF000000"/>
      <name val="Tahoma"/>
      <charset val="134"/>
    </font>
    <font>
      <b/>
      <sz val="10"/>
      <color rgb="FFFF0000"/>
      <name val="Tahoma"/>
      <charset val="134"/>
    </font>
    <font>
      <b/>
      <sz val="26"/>
      <color rgb="FFFF0000"/>
      <name val="Tahoma"/>
      <charset val="134"/>
    </font>
    <font>
      <b/>
      <sz val="18"/>
      <color theme="1"/>
      <name val="Tahoma"/>
      <charset val="134"/>
    </font>
    <font>
      <b/>
      <sz val="11"/>
      <color theme="1"/>
      <name val="Tahoma"/>
      <charset val="134"/>
    </font>
    <font>
      <b/>
      <sz val="12"/>
      <color theme="1"/>
      <name val="Tahoma"/>
      <charset val="134"/>
    </font>
    <font>
      <b/>
      <sz val="14"/>
      <color theme="1"/>
      <name val="Tahoma"/>
      <charset val="134"/>
    </font>
    <font>
      <sz val="11"/>
      <color theme="1"/>
      <name val="Tahoma"/>
      <charset val="134"/>
    </font>
    <font>
      <i/>
      <sz val="11"/>
      <color theme="1"/>
      <name val="Tahoma"/>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8">
    <fill>
      <patternFill patternType="none"/>
    </fill>
    <fill>
      <patternFill patternType="gray125"/>
    </fill>
    <fill>
      <patternFill patternType="solid">
        <fgColor rgb="FF000080"/>
        <bgColor indexed="64"/>
      </patternFill>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CCFFCC"/>
        <bgColor rgb="FFCCFF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2" fillId="0" borderId="0" applyFont="0" applyFill="0" applyBorder="0" applyAlignment="0" applyProtection="0">
      <alignment vertical="center"/>
    </xf>
    <xf numFmtId="44" fontId="22" fillId="0" borderId="0" applyFont="0" applyFill="0" applyBorder="0" applyAlignment="0" applyProtection="0">
      <alignment vertical="center"/>
    </xf>
    <xf numFmtId="9" fontId="22" fillId="0" borderId="0" applyFont="0" applyFill="0" applyBorder="0" applyAlignment="0" applyProtection="0">
      <alignment vertical="center"/>
    </xf>
    <xf numFmtId="177" fontId="22" fillId="0" borderId="0" applyFont="0" applyFill="0" applyBorder="0" applyAlignment="0" applyProtection="0">
      <alignment vertical="center"/>
    </xf>
    <xf numFmtId="42" fontId="22" fillId="0" borderId="0" applyFon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2" fillId="7" borderId="25" applyNumberFormat="0" applyFont="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26" applyNumberFormat="0" applyFill="0" applyAlignment="0" applyProtection="0">
      <alignment vertical="center"/>
    </xf>
    <xf numFmtId="0" fontId="29" fillId="0" borderId="26" applyNumberFormat="0" applyFill="0" applyAlignment="0" applyProtection="0">
      <alignment vertical="center"/>
    </xf>
    <xf numFmtId="0" fontId="30" fillId="0" borderId="27" applyNumberFormat="0" applyFill="0" applyAlignment="0" applyProtection="0">
      <alignment vertical="center"/>
    </xf>
    <xf numFmtId="0" fontId="30" fillId="0" borderId="0" applyNumberFormat="0" applyFill="0" applyBorder="0" applyAlignment="0" applyProtection="0">
      <alignment vertical="center"/>
    </xf>
    <xf numFmtId="0" fontId="31" fillId="8" borderId="28" applyNumberFormat="0" applyAlignment="0" applyProtection="0">
      <alignment vertical="center"/>
    </xf>
    <xf numFmtId="0" fontId="32" fillId="9" borderId="29" applyNumberFormat="0" applyAlignment="0" applyProtection="0">
      <alignment vertical="center"/>
    </xf>
    <xf numFmtId="0" fontId="33" fillId="9" borderId="28" applyNumberFormat="0" applyAlignment="0" applyProtection="0">
      <alignment vertical="center"/>
    </xf>
    <xf numFmtId="0" fontId="34" fillId="10" borderId="30" applyNumberFormat="0" applyAlignment="0" applyProtection="0">
      <alignment vertical="center"/>
    </xf>
    <xf numFmtId="0" fontId="35" fillId="0" borderId="31" applyNumberFormat="0" applyFill="0" applyAlignment="0" applyProtection="0">
      <alignment vertical="center"/>
    </xf>
    <xf numFmtId="0" fontId="36" fillId="0" borderId="32" applyNumberFormat="0" applyFill="0" applyAlignment="0" applyProtection="0">
      <alignment vertical="center"/>
    </xf>
    <xf numFmtId="0" fontId="37" fillId="11" borderId="0" applyNumberFormat="0" applyBorder="0" applyAlignment="0" applyProtection="0">
      <alignment vertical="center"/>
    </xf>
    <xf numFmtId="0" fontId="38" fillId="12" borderId="0" applyNumberFormat="0" applyBorder="0" applyAlignment="0" applyProtection="0">
      <alignment vertical="center"/>
    </xf>
    <xf numFmtId="0" fontId="39" fillId="13" borderId="0" applyNumberFormat="0" applyBorder="0" applyAlignment="0" applyProtection="0">
      <alignment vertical="center"/>
    </xf>
    <xf numFmtId="0" fontId="40" fillId="14" borderId="0" applyNumberFormat="0" applyBorder="0" applyAlignment="0" applyProtection="0">
      <alignment vertical="center"/>
    </xf>
    <xf numFmtId="0" fontId="41" fillId="15" borderId="0" applyNumberFormat="0" applyBorder="0" applyAlignment="0" applyProtection="0">
      <alignment vertical="center"/>
    </xf>
    <xf numFmtId="0" fontId="41" fillId="16" borderId="0" applyNumberFormat="0" applyBorder="0" applyAlignment="0" applyProtection="0">
      <alignment vertical="center"/>
    </xf>
    <xf numFmtId="0" fontId="40" fillId="17" borderId="0" applyNumberFormat="0" applyBorder="0" applyAlignment="0" applyProtection="0">
      <alignment vertical="center"/>
    </xf>
    <xf numFmtId="0" fontId="40" fillId="18" borderId="0" applyNumberFormat="0" applyBorder="0" applyAlignment="0" applyProtection="0">
      <alignment vertical="center"/>
    </xf>
    <xf numFmtId="0" fontId="41" fillId="19" borderId="0" applyNumberFormat="0" applyBorder="0" applyAlignment="0" applyProtection="0">
      <alignment vertical="center"/>
    </xf>
    <xf numFmtId="0" fontId="41" fillId="20" borderId="0" applyNumberFormat="0" applyBorder="0" applyAlignment="0" applyProtection="0">
      <alignment vertical="center"/>
    </xf>
    <xf numFmtId="0" fontId="40" fillId="21" borderId="0" applyNumberFormat="0" applyBorder="0" applyAlignment="0" applyProtection="0">
      <alignment vertical="center"/>
    </xf>
    <xf numFmtId="0" fontId="40" fillId="22" borderId="0" applyNumberFormat="0" applyBorder="0" applyAlignment="0" applyProtection="0">
      <alignment vertical="center"/>
    </xf>
    <xf numFmtId="0" fontId="41" fillId="23" borderId="0" applyNumberFormat="0" applyBorder="0" applyAlignment="0" applyProtection="0">
      <alignment vertical="center"/>
    </xf>
    <xf numFmtId="0" fontId="41" fillId="24" borderId="0" applyNumberFormat="0" applyBorder="0" applyAlignment="0" applyProtection="0">
      <alignment vertical="center"/>
    </xf>
    <xf numFmtId="0" fontId="40" fillId="25" borderId="0" applyNumberFormat="0" applyBorder="0" applyAlignment="0" applyProtection="0">
      <alignment vertical="center"/>
    </xf>
    <xf numFmtId="0" fontId="40" fillId="26" borderId="0" applyNumberFormat="0" applyBorder="0" applyAlignment="0" applyProtection="0">
      <alignment vertical="center"/>
    </xf>
    <xf numFmtId="0" fontId="41" fillId="27" borderId="0" applyNumberFormat="0" applyBorder="0" applyAlignment="0" applyProtection="0">
      <alignment vertical="center"/>
    </xf>
    <xf numFmtId="0" fontId="41" fillId="28" borderId="0" applyNumberFormat="0" applyBorder="0" applyAlignment="0" applyProtection="0">
      <alignment vertical="center"/>
    </xf>
    <xf numFmtId="0" fontId="40" fillId="29" borderId="0" applyNumberFormat="0" applyBorder="0" applyAlignment="0" applyProtection="0">
      <alignment vertical="center"/>
    </xf>
    <xf numFmtId="0" fontId="40" fillId="30" borderId="0" applyNumberFormat="0" applyBorder="0" applyAlignment="0" applyProtection="0">
      <alignment vertical="center"/>
    </xf>
    <xf numFmtId="0" fontId="41" fillId="31" borderId="0" applyNumberFormat="0" applyBorder="0" applyAlignment="0" applyProtection="0">
      <alignment vertical="center"/>
    </xf>
    <xf numFmtId="0" fontId="41" fillId="32" borderId="0" applyNumberFormat="0" applyBorder="0" applyAlignment="0" applyProtection="0">
      <alignment vertical="center"/>
    </xf>
    <xf numFmtId="0" fontId="40" fillId="33" borderId="0" applyNumberFormat="0" applyBorder="0" applyAlignment="0" applyProtection="0">
      <alignment vertical="center"/>
    </xf>
    <xf numFmtId="0" fontId="40" fillId="34" borderId="0" applyNumberFormat="0" applyBorder="0" applyAlignment="0" applyProtection="0">
      <alignment vertical="center"/>
    </xf>
    <xf numFmtId="0" fontId="41" fillId="35" borderId="0" applyNumberFormat="0" applyBorder="0" applyAlignment="0" applyProtection="0">
      <alignment vertical="center"/>
    </xf>
    <xf numFmtId="0" fontId="41" fillId="36" borderId="0" applyNumberFormat="0" applyBorder="0" applyAlignment="0" applyProtection="0">
      <alignment vertical="center"/>
    </xf>
    <xf numFmtId="0" fontId="40" fillId="37" borderId="0" applyNumberFormat="0" applyBorder="0" applyAlignment="0" applyProtection="0">
      <alignment vertical="center"/>
    </xf>
  </cellStyleXfs>
  <cellXfs count="116">
    <xf numFmtId="0" fontId="0" fillId="0" borderId="0" xfId="0"/>
    <xf numFmtId="0" fontId="1" fillId="0" borderId="1" xfId="0" applyFont="1" applyBorder="1" applyAlignment="1">
      <alignment vertical="center" wrapText="1"/>
    </xf>
    <xf numFmtId="0" fontId="2" fillId="0" borderId="2" xfId="0" applyFont="1" applyBorder="1" applyAlignment="1">
      <alignment vertical="center" wrapText="1"/>
    </xf>
    <xf numFmtId="0" fontId="1" fillId="0" borderId="2" xfId="0" applyFont="1" applyBorder="1" applyAlignment="1">
      <alignment vertical="center" wrapText="1"/>
    </xf>
    <xf numFmtId="0" fontId="3" fillId="0" borderId="3" xfId="0" applyFont="1" applyBorder="1" applyAlignment="1">
      <alignment vertical="center" wrapText="1"/>
    </xf>
    <xf numFmtId="0" fontId="1" fillId="0" borderId="4" xfId="0" applyFont="1" applyBorder="1" applyAlignment="1">
      <alignment vertical="center" wrapText="1"/>
    </xf>
    <xf numFmtId="0" fontId="3" fillId="0" borderId="5" xfId="0" applyFont="1" applyBorder="1" applyAlignment="1">
      <alignment vertical="center" wrapText="1"/>
    </xf>
    <xf numFmtId="0" fontId="1" fillId="0" borderId="5" xfId="0" applyFont="1" applyBorder="1" applyAlignment="1">
      <alignment vertical="center" wrapText="1"/>
    </xf>
    <xf numFmtId="0" fontId="3" fillId="0" borderId="6" xfId="0" applyFont="1" applyBorder="1" applyAlignment="1">
      <alignment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4" xfId="0" applyFont="1" applyBorder="1" applyAlignment="1">
      <alignment vertical="center" wrapText="1"/>
    </xf>
    <xf numFmtId="0" fontId="4" fillId="2" borderId="5" xfId="0" applyFont="1" applyFill="1" applyBorder="1" applyAlignment="1">
      <alignment horizontal="center" vertical="center" textRotation="180" wrapText="1"/>
    </xf>
    <xf numFmtId="0" fontId="4" fillId="2" borderId="6" xfId="0" applyFont="1" applyFill="1" applyBorder="1" applyAlignment="1">
      <alignment horizontal="center" vertical="center" textRotation="180" wrapText="1"/>
    </xf>
    <xf numFmtId="0" fontId="4" fillId="2" borderId="4" xfId="0" applyFont="1" applyFill="1" applyBorder="1" applyAlignment="1">
      <alignment horizontal="center" vertical="center" wrapText="1"/>
    </xf>
    <xf numFmtId="0" fontId="1" fillId="0" borderId="5" xfId="0" applyFont="1" applyBorder="1" applyAlignment="1">
      <alignment horizontal="left" vertical="top" wrapText="1"/>
    </xf>
    <xf numFmtId="0" fontId="3" fillId="0" borderId="5" xfId="0" applyFont="1" applyBorder="1" applyAlignment="1">
      <alignment horizontal="right" vertical="top" wrapText="1"/>
    </xf>
    <xf numFmtId="0" fontId="4" fillId="2" borderId="7" xfId="0" applyFont="1" applyFill="1" applyBorder="1" applyAlignment="1">
      <alignment horizontal="center" vertical="center" wrapText="1"/>
    </xf>
    <xf numFmtId="0" fontId="3" fillId="0" borderId="5" xfId="0" applyFont="1" applyBorder="1" applyAlignment="1">
      <alignment horizontal="left" vertical="top" wrapText="1"/>
    </xf>
    <xf numFmtId="0" fontId="3" fillId="0" borderId="8" xfId="0" applyFont="1" applyBorder="1" applyAlignment="1">
      <alignment horizontal="left" vertical="top" wrapText="1"/>
    </xf>
    <xf numFmtId="0" fontId="3" fillId="0" borderId="8" xfId="0" applyFont="1" applyBorder="1" applyAlignment="1">
      <alignment vertical="center" wrapText="1"/>
    </xf>
    <xf numFmtId="0" fontId="3" fillId="0" borderId="9" xfId="0" applyFont="1" applyBorder="1" applyAlignment="1">
      <alignment vertical="center" wrapText="1"/>
    </xf>
    <xf numFmtId="0" fontId="3" fillId="3" borderId="5" xfId="0" applyFont="1" applyFill="1" applyBorder="1" applyAlignment="1">
      <alignment vertical="center" wrapText="1"/>
    </xf>
    <xf numFmtId="0" fontId="5" fillId="3" borderId="0" xfId="0" applyFont="1" applyFill="1" applyAlignment="1">
      <alignment horizontal="center"/>
    </xf>
    <xf numFmtId="0" fontId="6" fillId="0" borderId="0" xfId="0" applyFont="1"/>
    <xf numFmtId="0" fontId="7" fillId="3" borderId="0" xfId="0" applyFont="1" applyFill="1"/>
    <xf numFmtId="15" fontId="8" fillId="3" borderId="0" xfId="0" applyNumberFormat="1" applyFont="1" applyFill="1"/>
    <xf numFmtId="0" fontId="7" fillId="3" borderId="5" xfId="0" applyFont="1" applyFill="1" applyBorder="1" applyAlignment="1">
      <alignment horizontal="left" vertical="center"/>
    </xf>
    <xf numFmtId="0" fontId="9" fillId="3" borderId="10" xfId="0" applyFont="1" applyFill="1" applyBorder="1" applyAlignment="1">
      <alignment horizontal="left"/>
    </xf>
    <xf numFmtId="0" fontId="6" fillId="0" borderId="11" xfId="0" applyFont="1" applyBorder="1"/>
    <xf numFmtId="0" fontId="7" fillId="3" borderId="10" xfId="0" applyFont="1" applyFill="1" applyBorder="1" applyAlignment="1">
      <alignment horizontal="left"/>
    </xf>
    <xf numFmtId="0" fontId="7" fillId="3" borderId="10" xfId="0" applyFont="1" applyFill="1" applyBorder="1" applyAlignment="1">
      <alignment horizontal="center"/>
    </xf>
    <xf numFmtId="0" fontId="6" fillId="0" borderId="12" xfId="0" applyFont="1" applyBorder="1"/>
    <xf numFmtId="0" fontId="7" fillId="3" borderId="5" xfId="0" applyFont="1" applyFill="1" applyBorder="1" applyAlignment="1">
      <alignment vertical="center"/>
    </xf>
    <xf numFmtId="0" fontId="9" fillId="3" borderId="10" xfId="0" applyFont="1" applyFill="1" applyBorder="1" applyAlignment="1">
      <alignment horizontal="left" vertical="top"/>
    </xf>
    <xf numFmtId="0" fontId="9" fillId="3" borderId="10" xfId="0" applyFont="1" applyFill="1" applyBorder="1" applyAlignment="1">
      <alignment vertical="top"/>
    </xf>
    <xf numFmtId="0" fontId="10" fillId="3" borderId="0" xfId="0" applyFont="1" applyFill="1"/>
    <xf numFmtId="0" fontId="11" fillId="3" borderId="0" xfId="0" applyFont="1" applyFill="1"/>
    <xf numFmtId="0" fontId="12" fillId="4" borderId="13" xfId="0" applyFont="1" applyFill="1" applyBorder="1" applyAlignment="1">
      <alignment horizontal="center"/>
    </xf>
    <xf numFmtId="0" fontId="12" fillId="4" borderId="14" xfId="0" applyFont="1" applyFill="1" applyBorder="1" applyAlignment="1">
      <alignment horizontal="center"/>
    </xf>
    <xf numFmtId="0" fontId="12" fillId="4" borderId="14" xfId="0" applyFont="1" applyFill="1" applyBorder="1" applyAlignment="1">
      <alignment horizontal="center" wrapText="1"/>
    </xf>
    <xf numFmtId="0" fontId="12" fillId="4" borderId="15" xfId="0" applyFont="1" applyFill="1" applyBorder="1" applyAlignment="1">
      <alignment horizontal="center"/>
    </xf>
    <xf numFmtId="0" fontId="12" fillId="4" borderId="16" xfId="0" applyFont="1" applyFill="1" applyBorder="1" applyAlignment="1">
      <alignment horizontal="center" wrapText="1"/>
    </xf>
    <xf numFmtId="49" fontId="3" fillId="3" borderId="5" xfId="0" applyNumberFormat="1" applyFont="1" applyFill="1" applyBorder="1" applyAlignment="1">
      <alignment vertical="center" wrapText="1"/>
    </xf>
    <xf numFmtId="0" fontId="3" fillId="4" borderId="5" xfId="0" applyFont="1" applyFill="1" applyBorder="1" applyAlignment="1">
      <alignment vertical="center" wrapText="1"/>
    </xf>
    <xf numFmtId="10" fontId="3" fillId="3" borderId="5" xfId="0" applyNumberFormat="1" applyFont="1" applyFill="1" applyBorder="1" applyAlignment="1">
      <alignment vertical="center" wrapText="1"/>
    </xf>
    <xf numFmtId="9" fontId="3" fillId="3" borderId="5" xfId="0" applyNumberFormat="1" applyFont="1" applyFill="1" applyBorder="1" applyAlignment="1">
      <alignment vertical="center" wrapText="1"/>
    </xf>
    <xf numFmtId="2" fontId="3" fillId="3" borderId="5" xfId="0" applyNumberFormat="1" applyFont="1" applyFill="1" applyBorder="1" applyAlignment="1">
      <alignment vertical="center" wrapText="1"/>
    </xf>
    <xf numFmtId="1" fontId="3" fillId="3" borderId="5" xfId="0" applyNumberFormat="1" applyFont="1" applyFill="1" applyBorder="1" applyAlignment="1">
      <alignment vertical="center" wrapText="1"/>
    </xf>
    <xf numFmtId="0" fontId="5" fillId="3" borderId="0" xfId="0" applyFont="1" applyFill="1" applyAlignment="1">
      <alignment horizontal="left"/>
    </xf>
    <xf numFmtId="0" fontId="13" fillId="3" borderId="0" xfId="0" applyFont="1" applyFill="1" applyAlignment="1">
      <alignment horizontal="left"/>
    </xf>
    <xf numFmtId="0" fontId="14" fillId="3" borderId="0" xfId="0" applyFont="1" applyFill="1" applyAlignment="1">
      <alignment horizontal="left"/>
    </xf>
    <xf numFmtId="1" fontId="7" fillId="3" borderId="10" xfId="0" applyNumberFormat="1" applyFont="1" applyFill="1" applyBorder="1"/>
    <xf numFmtId="1" fontId="7" fillId="3" borderId="10" xfId="0" applyNumberFormat="1" applyFont="1" applyFill="1" applyBorder="1" applyAlignment="1">
      <alignment horizontal="left"/>
    </xf>
    <xf numFmtId="0" fontId="9" fillId="3" borderId="12" xfId="0" applyFont="1" applyFill="1" applyBorder="1" applyAlignment="1">
      <alignment horizontal="left"/>
    </xf>
    <xf numFmtId="0" fontId="9" fillId="3" borderId="11" xfId="0" applyFont="1" applyFill="1" applyBorder="1" applyAlignment="1">
      <alignment horizontal="left"/>
    </xf>
    <xf numFmtId="1" fontId="7" fillId="3" borderId="10" xfId="0" applyNumberFormat="1" applyFont="1" applyFill="1" applyBorder="1" applyAlignment="1">
      <alignment vertical="center" wrapText="1"/>
    </xf>
    <xf numFmtId="0" fontId="9" fillId="3" borderId="10" xfId="0" applyFont="1" applyFill="1" applyBorder="1" applyAlignment="1">
      <alignment horizontal="left" vertical="top" wrapText="1"/>
    </xf>
    <xf numFmtId="0" fontId="8" fillId="3" borderId="0" xfId="0" applyFont="1" applyFill="1" applyAlignment="1">
      <alignment wrapText="1"/>
    </xf>
    <xf numFmtId="1" fontId="10" fillId="3" borderId="0" xfId="0" applyNumberFormat="1" applyFont="1" applyFill="1"/>
    <xf numFmtId="1" fontId="8" fillId="3" borderId="0" xfId="0" applyNumberFormat="1" applyFont="1" applyFill="1" applyAlignment="1">
      <alignment vertical="center"/>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applyAlignment="1">
      <alignment vertical="center"/>
    </xf>
    <xf numFmtId="1" fontId="12" fillId="5" borderId="17" xfId="0" applyNumberFormat="1" applyFont="1" applyFill="1" applyBorder="1" applyAlignment="1">
      <alignment horizontal="center" vertical="center"/>
    </xf>
    <xf numFmtId="1" fontId="12" fillId="5" borderId="13" xfId="0" applyNumberFormat="1" applyFont="1" applyFill="1" applyBorder="1" applyAlignment="1">
      <alignment horizontal="center" vertical="center" wrapText="1"/>
    </xf>
    <xf numFmtId="1" fontId="12" fillId="5" borderId="13" xfId="0" applyNumberFormat="1" applyFont="1" applyFill="1" applyBorder="1" applyAlignment="1">
      <alignment horizontal="center" vertical="center"/>
    </xf>
    <xf numFmtId="0" fontId="12" fillId="5" borderId="14" xfId="0" applyFont="1" applyFill="1" applyBorder="1" applyAlignment="1">
      <alignment horizontal="center" vertical="center"/>
    </xf>
    <xf numFmtId="0" fontId="12" fillId="5" borderId="14" xfId="0" applyFont="1" applyFill="1" applyBorder="1" applyAlignment="1">
      <alignment horizontal="center" vertical="center" wrapText="1"/>
    </xf>
    <xf numFmtId="0" fontId="12" fillId="5" borderId="15" xfId="0" applyFont="1" applyFill="1" applyBorder="1" applyAlignment="1">
      <alignment horizontal="center" vertical="center"/>
    </xf>
    <xf numFmtId="0" fontId="12" fillId="5" borderId="18" xfId="0" applyFont="1" applyFill="1" applyBorder="1" applyAlignment="1">
      <alignment horizontal="center" vertical="center"/>
    </xf>
    <xf numFmtId="0" fontId="7" fillId="3" borderId="0" xfId="0" applyFont="1" applyFill="1" applyAlignment="1">
      <alignment horizontal="center"/>
    </xf>
    <xf numFmtId="0" fontId="8" fillId="0" borderId="0" xfId="0" applyFont="1" applyAlignment="1">
      <alignment horizontal="left"/>
    </xf>
    <xf numFmtId="0" fontId="8" fillId="0" borderId="0" xfId="0" applyFont="1"/>
    <xf numFmtId="0" fontId="15" fillId="0" borderId="10" xfId="0" applyFont="1" applyBorder="1" applyAlignment="1">
      <alignment horizontal="center" vertical="center"/>
    </xf>
    <xf numFmtId="0" fontId="5" fillId="0" borderId="10" xfId="0" applyFont="1" applyBorder="1" applyAlignment="1">
      <alignment horizontal="center" vertical="center"/>
    </xf>
    <xf numFmtId="0" fontId="8" fillId="0" borderId="0" xfId="0" applyFont="1" applyAlignment="1">
      <alignment horizontal="center" vertical="center"/>
    </xf>
    <xf numFmtId="0" fontId="10" fillId="3" borderId="0" xfId="0" applyFont="1" applyFill="1" applyAlignment="1">
      <alignment horizontal="left"/>
    </xf>
    <xf numFmtId="0" fontId="11" fillId="0" borderId="0" xfId="0" applyFont="1" applyAlignment="1">
      <alignment horizontal="left"/>
    </xf>
    <xf numFmtId="0" fontId="7" fillId="3" borderId="5" xfId="0" applyFont="1" applyFill="1" applyBorder="1" applyAlignment="1">
      <alignment horizontal="left"/>
    </xf>
    <xf numFmtId="0" fontId="9" fillId="0" borderId="10" xfId="0" applyFont="1" applyBorder="1" applyAlignment="1">
      <alignment horizontal="left"/>
    </xf>
    <xf numFmtId="0" fontId="8" fillId="0" borderId="11" xfId="0" applyFont="1" applyBorder="1"/>
    <xf numFmtId="0" fontId="9" fillId="0" borderId="11" xfId="0" applyFont="1" applyBorder="1" applyAlignment="1">
      <alignment horizontal="left"/>
    </xf>
    <xf numFmtId="0" fontId="9" fillId="0" borderId="10" xfId="0" applyFont="1" applyBorder="1" applyAlignment="1">
      <alignment horizontal="left" vertical="center"/>
    </xf>
    <xf numFmtId="0" fontId="7" fillId="0" borderId="0" xfId="0" applyFont="1"/>
    <xf numFmtId="0" fontId="10" fillId="0" borderId="0" xfId="0" applyFont="1" applyAlignment="1">
      <alignment horizontal="left"/>
    </xf>
    <xf numFmtId="0" fontId="7" fillId="0" borderId="0" xfId="0" applyFont="1" applyAlignment="1">
      <alignment horizontal="left"/>
    </xf>
    <xf numFmtId="15" fontId="12" fillId="4" borderId="17" xfId="0" applyNumberFormat="1" applyFont="1" applyFill="1" applyBorder="1" applyAlignment="1">
      <alignment horizontal="center" vertical="center"/>
    </xf>
    <xf numFmtId="0" fontId="12" fillId="4" borderId="14" xfId="0" applyFont="1" applyFill="1" applyBorder="1" applyAlignment="1">
      <alignment horizontal="center" vertical="center"/>
    </xf>
    <xf numFmtId="0" fontId="12" fillId="4" borderId="18" xfId="0" applyFont="1" applyFill="1" applyBorder="1" applyAlignment="1">
      <alignment horizontal="center" vertical="center"/>
    </xf>
    <xf numFmtId="0" fontId="8" fillId="0" borderId="0" xfId="0" applyFont="1" applyAlignment="1">
      <alignment vertical="center"/>
    </xf>
    <xf numFmtId="0" fontId="9" fillId="0" borderId="19" xfId="0" applyFont="1" applyBorder="1" applyAlignment="1">
      <alignment vertical="top" wrapText="1"/>
    </xf>
    <xf numFmtId="49" fontId="8" fillId="0" borderId="20" xfId="0" applyNumberFormat="1" applyFont="1" applyBorder="1" applyAlignment="1">
      <alignment vertical="top"/>
    </xf>
    <xf numFmtId="0" fontId="8" fillId="0" borderId="20" xfId="0" applyFont="1" applyBorder="1" applyAlignment="1">
      <alignment vertical="top"/>
    </xf>
    <xf numFmtId="0" fontId="8" fillId="0" borderId="20" xfId="0" applyFont="1" applyBorder="1" applyAlignment="1">
      <alignment vertical="top" wrapText="1"/>
    </xf>
    <xf numFmtId="0" fontId="9" fillId="0" borderId="21" xfId="0" applyFont="1" applyBorder="1" applyAlignment="1">
      <alignment vertical="top" wrapText="1"/>
    </xf>
    <xf numFmtId="0" fontId="8" fillId="0" borderId="0" xfId="0" applyFont="1" applyAlignment="1">
      <alignment vertical="top"/>
    </xf>
    <xf numFmtId="15" fontId="8" fillId="0" borderId="19" xfId="0" applyNumberFormat="1" applyFont="1" applyBorder="1" applyAlignment="1">
      <alignment vertical="top"/>
    </xf>
    <xf numFmtId="0" fontId="8" fillId="0" borderId="21" xfId="0" applyFont="1" applyBorder="1" applyAlignment="1">
      <alignment vertical="top"/>
    </xf>
    <xf numFmtId="15" fontId="8" fillId="0" borderId="22" xfId="0" applyNumberFormat="1" applyFont="1" applyBorder="1" applyAlignment="1">
      <alignment vertical="top"/>
    </xf>
    <xf numFmtId="49" fontId="8" fillId="0" borderId="23" xfId="0" applyNumberFormat="1" applyFont="1" applyBorder="1" applyAlignment="1">
      <alignment vertical="top"/>
    </xf>
    <xf numFmtId="0" fontId="8" fillId="0" borderId="23" xfId="0" applyFont="1" applyBorder="1" applyAlignment="1">
      <alignment vertical="top"/>
    </xf>
    <xf numFmtId="0" fontId="8" fillId="0" borderId="24" xfId="0" applyFont="1" applyBorder="1" applyAlignment="1">
      <alignment vertical="top"/>
    </xf>
    <xf numFmtId="0" fontId="16" fillId="6" borderId="0" xfId="0" applyFont="1" applyFill="1" applyAlignment="1">
      <alignment horizontal="center"/>
    </xf>
    <xf numFmtId="0" fontId="17" fillId="6" borderId="0" xfId="0" applyFont="1" applyFill="1" applyAlignment="1">
      <alignment vertical="center"/>
    </xf>
    <xf numFmtId="0" fontId="18" fillId="6" borderId="0" xfId="0" applyFont="1" applyFill="1" applyAlignment="1">
      <alignment horizontal="left"/>
    </xf>
    <xf numFmtId="0" fontId="19" fillId="6" borderId="0" xfId="0" applyFont="1" applyFill="1" applyAlignment="1">
      <alignment vertical="center"/>
    </xf>
    <xf numFmtId="0" fontId="8" fillId="6" borderId="0" xfId="0" applyFont="1" applyFill="1" applyAlignment="1">
      <alignment horizontal="left"/>
    </xf>
    <xf numFmtId="0" fontId="20" fillId="6" borderId="0" xfId="0" applyFont="1" applyFill="1" applyAlignment="1">
      <alignment vertical="center"/>
    </xf>
    <xf numFmtId="0" fontId="8" fillId="6" borderId="0" xfId="0" applyFont="1" applyFill="1" applyAlignment="1">
      <alignment horizontal="left" wrapText="1"/>
    </xf>
    <xf numFmtId="0" fontId="9" fillId="6" borderId="0" xfId="0" applyFont="1" applyFill="1" applyAlignment="1">
      <alignment horizontal="left"/>
    </xf>
    <xf numFmtId="0" fontId="21" fillId="6" borderId="0" xfId="0" applyFont="1" applyFill="1" applyAlignment="1">
      <alignment vertical="center"/>
    </xf>
    <xf numFmtId="0" fontId="7" fillId="6" borderId="0" xfId="0" applyFont="1" applyFill="1" applyAlignment="1">
      <alignment horizontal="left"/>
    </xf>
    <xf numFmtId="0" fontId="18" fillId="6" borderId="0" xfId="0" applyFont="1" applyFill="1"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5" Type="http://schemas.openxmlformats.org/officeDocument/2006/relationships/styles" Target="styles.xml"/><Relationship Id="rId214" Type="http://schemas.openxmlformats.org/officeDocument/2006/relationships/sharedStrings" Target="sharedStrings.xml"/><Relationship Id="rId213" Type="http://schemas.openxmlformats.org/officeDocument/2006/relationships/theme" Target="theme/theme1.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0</xdr:col>
      <xdr:colOff>0</xdr:colOff>
      <xdr:row>1</xdr:row>
      <xdr:rowOff>0</xdr:rowOff>
    </xdr:from>
    <xdr:ext cx="2143125" cy="781050"/>
    <xdr:pic>
      <xdr:nvPicPr>
        <xdr:cNvPr id="2" name="Picture 1"/>
        <xdr:cNvPicPr>
          <a:picLocks noChangeAspect="1"/>
        </xdr:cNvPicPr>
      </xdr:nvPicPr>
      <xdr:blipFill>
        <a:blip r:embed="rId1" cstate="print"/>
        <a:stretch>
          <a:fillRect/>
        </a:stretch>
      </xdr:blipFill>
      <xdr:spPr>
        <a:xfrm>
          <a:off x="0" y="196850"/>
          <a:ext cx="2143125" cy="78105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99" Type="http://schemas.openxmlformats.org/officeDocument/2006/relationships/hyperlink" Target="#'GetLevelLabel'!A1" TargetMode="External"/><Relationship Id="rId98" Type="http://schemas.openxmlformats.org/officeDocument/2006/relationships/hyperlink" Target="#'FormatXp'!A1" TargetMode="External"/><Relationship Id="rId97" Type="http://schemas.openxmlformats.org/officeDocument/2006/relationships/hyperlink" Target="#'FormatCitationExcerptAndDisplay'!A1" TargetMode="External"/><Relationship Id="rId96" Type="http://schemas.openxmlformats.org/officeDocument/2006/relationships/hyperlink" Target="#'SortAndInjectJdCitation'!A1" TargetMode="External"/><Relationship Id="rId95" Type="http://schemas.openxmlformats.org/officeDocument/2006/relationships/hyperlink" Target="#'IsJdCitation'!A1" TargetMode="External"/><Relationship Id="rId94" Type="http://schemas.openxmlformats.org/officeDocument/2006/relationships/hyperlink" Target="#'ExtractRole'!A1" TargetMode="External"/><Relationship Id="rId93" Type="http://schemas.openxmlformats.org/officeDocument/2006/relationships/hyperlink" Target="#'GetRoleRedirect'!A1" TargetMode="External"/><Relationship Id="rId92" Type="http://schemas.openxmlformats.org/officeDocument/2006/relationships/hyperlink" Target="#'UserRoleAndClearAuthCascade'!A1" TargetMode="External"/><Relationship Id="rId91" Type="http://schemas.openxmlformats.org/officeDocument/2006/relationships/hyperlink" Target="#'AuthRoundTripLegacyFlagAndRealT'!A1" TargetMode="External"/><Relationship Id="rId90" Type="http://schemas.openxmlformats.org/officeDocument/2006/relationships/hyperlink" Target="#'MapAvatarUploadError'!A1" TargetMode="External"/><Relationship Id="rId9" Type="http://schemas.openxmlformats.org/officeDocument/2006/relationships/hyperlink" Target="#'ExportTxtValidation'!A1" TargetMode="External"/><Relationship Id="rId89" Type="http://schemas.openxmlformats.org/officeDocument/2006/relationships/hyperlink" Target="#'IsValidUrl'!A1" TargetMode="External"/><Relationship Id="rId88" Type="http://schemas.openxmlformats.org/officeDocument/2006/relationships/hyperlink" Target="#'ResolveAvatarUrl'!A1" TargetMode="External"/><Relationship Id="rId87" Type="http://schemas.openxmlformats.org/officeDocument/2006/relationships/hyperlink" Target="#'GetInitials'!A1" TargetMode="External"/><Relationship Id="rId86" Type="http://schemas.openxmlformats.org/officeDocument/2006/relationships/hyperlink" Target="#'IsHrNavActive'!A1" TargetMode="External"/><Relationship Id="rId85" Type="http://schemas.openxmlformats.org/officeDocument/2006/relationships/hyperlink" Target="#'IsAdminNavActive'!A1" TargetMode="External"/><Relationship Id="rId84" Type="http://schemas.openxmlformats.org/officeDocument/2006/relationships/hyperlink" Target="#'NormalizePathname'!A1" TargetMode="External"/><Relationship Id="rId83" Type="http://schemas.openxmlformats.org/officeDocument/2006/relationships/hyperlink" Target="#'FormatRelativeTimeAgeBuckets'!A1" TargetMode="External"/><Relationship Id="rId82" Type="http://schemas.openxmlformats.org/officeDocument/2006/relationships/hyperlink" Target="#'FormatRelativeTimeInvalidDate'!A1" TargetMode="External"/><Relationship Id="rId81" Type="http://schemas.openxmlformats.org/officeDocument/2006/relationships/hyperlink" Target="#'BuildWelcomeMessage'!A1" TargetMode="External"/><Relationship Id="rId80" Type="http://schemas.openxmlformats.org/officeDocument/2006/relationships/hyperlink" Target="#'GetTimeOfDayGreeting'!A1" TargetMode="External"/><Relationship Id="rId8" Type="http://schemas.openxmlformats.org/officeDocument/2006/relationships/hyperlink" Target="#'ImportExcelInvalidFile'!A1" TargetMode="External"/><Relationship Id="rId79" Type="http://schemas.openxmlformats.org/officeDocument/2006/relationships/hyperlink" Target="#'ManageUsers'!A1" TargetMode="External"/><Relationship Id="rId78" Type="http://schemas.openxmlformats.org/officeDocument/2006/relationships/hyperlink" Target="#'UpdateProfile'!A1" TargetMode="External"/><Relationship Id="rId77" Type="http://schemas.openxmlformats.org/officeDocument/2006/relationships/hyperlink" Target="#'AccessControl'!A1" TargetMode="External"/><Relationship Id="rId76" Type="http://schemas.openxmlformats.org/officeDocument/2006/relationships/hyperlink" Target="#'ForgotResetPassword'!A1" TargetMode="External"/><Relationship Id="rId75" Type="http://schemas.openxmlformats.org/officeDocument/2006/relationships/hyperlink" Target="#'VerifyEmail'!A1" TargetMode="External"/><Relationship Id="rId74" Type="http://schemas.openxmlformats.org/officeDocument/2006/relationships/hyperlink" Target="#'RegisterJobSeeker'!A1" TargetMode="External"/><Relationship Id="rId73" Type="http://schemas.openxmlformats.org/officeDocument/2006/relationships/hyperlink" Target="#'Login'!A1" TargetMode="External"/><Relationship Id="rId72" Type="http://schemas.openxmlformats.org/officeDocument/2006/relationships/hyperlink" Target="#'RegisterHR'!A1" TargetMode="External"/><Relationship Id="rId71" Type="http://schemas.openxmlformats.org/officeDocument/2006/relationships/hyperlink" Target="#'BrandingLogoHeaderConsistency'!A1" TargetMode="External"/><Relationship Id="rId70" Type="http://schemas.openxmlformats.org/officeDocument/2006/relationships/hyperlink" Target="#'AccessibilityKeyboardNavigation'!A1" TargetMode="External"/><Relationship Id="rId7" Type="http://schemas.openxmlformats.org/officeDocument/2006/relationships/hyperlink" Target="#'ImportExcelValidFile'!A1" TargetMode="External"/><Relationship Id="rId69" Type="http://schemas.openxmlformats.org/officeDocument/2006/relationships/hyperlink" Target="#'LoadingSpinnerSkeletonStates'!A1" TargetMode="External"/><Relationship Id="rId68" Type="http://schemas.openxmlformats.org/officeDocument/2006/relationships/hyperlink" Target="#'TooltipHoverDisplay'!A1" TargetMode="External"/><Relationship Id="rId67" Type="http://schemas.openxmlformats.org/officeDocument/2006/relationships/hyperlink" Target="#'TableGridResponsiveOverflow'!A1" TargetMode="External"/><Relationship Id="rId66" Type="http://schemas.openxmlformats.org/officeDocument/2006/relationships/hyperlink" Target="#'ModalDialogPositioningZIndex'!A1" TargetMode="External"/><Relationship Id="rId65" Type="http://schemas.openxmlformats.org/officeDocument/2006/relationships/hyperlink" Target="#'NavigationSidebarResponsive'!A1" TargetMode="External"/><Relationship Id="rId64" Type="http://schemas.openxmlformats.org/officeDocument/2006/relationships/hyperlink" Target="#'FormFieldValidationVisualStates'!A1" TargetMode="External"/><Relationship Id="rId63" Type="http://schemas.openxmlformats.org/officeDocument/2006/relationships/hyperlink" Target="#'ButtonLoadingDisabledStates'!A1" TargetMode="External"/><Relationship Id="rId62" Type="http://schemas.openxmlformats.org/officeDocument/2006/relationships/hyperlink" Target="#'FileUploadDropzoneVisualStates'!A1" TargetMode="External"/><Relationship Id="rId61" Type="http://schemas.openxmlformats.org/officeDocument/2006/relationships/hyperlink" Target="#'ToastNotificationPositioning'!A1" TargetMode="External"/><Relationship Id="rId60" Type="http://schemas.openxmlformats.org/officeDocument/2006/relationships/hyperlink" Target="#'QuotaModalResponsiveDisplay'!A1" TargetMode="External"/><Relationship Id="rId6" Type="http://schemas.openxmlformats.org/officeDocument/2006/relationships/hyperlink" Target="#'DeleteQuestionMinLimitGuard'!A1" TargetMode="External"/><Relationship Id="rId59" Type="http://schemas.openxmlformats.org/officeDocument/2006/relationships/hyperlink" Target="#'StudioPageDarkLightTheme'!A1" TargetMode="External"/><Relationship Id="rId58" Type="http://schemas.openxmlformats.org/officeDocument/2006/relationships/hyperlink" Target="#'StudioPageResponsiveLayout'!A1" TargetMode="External"/><Relationship Id="rId57" Type="http://schemas.openxmlformats.org/officeDocument/2006/relationships/hyperlink" Target="#'ManualQuestionPageDarkLightThem'!A1" TargetMode="External"/><Relationship Id="rId56" Type="http://schemas.openxmlformats.org/officeDocument/2006/relationships/hyperlink" Target="#'ManualQuestionPageResponsiveLay'!A1" TargetMode="External"/><Relationship Id="rId55" Type="http://schemas.openxmlformats.org/officeDocument/2006/relationships/hyperlink" Target="#'RefreshTokenRotationOnSuccess'!A1" TargetMode="External"/><Relationship Id="rId54" Type="http://schemas.openxmlformats.org/officeDocument/2006/relationships/hyperlink" Target="#'ClearAuthClearsCachedUserProfil'!A1" TargetMode="External"/><Relationship Id="rId53" Type="http://schemas.openxmlformats.org/officeDocument/2006/relationships/hyperlink" Target="#'SsrNoTokenAttachNoOp'!A1" TargetMode="External"/><Relationship Id="rId52" Type="http://schemas.openxmlformats.org/officeDocument/2006/relationships/hyperlink" Target="#'TokenStorageLocalStorageNotHttp'!A1" TargetMode="External"/><Relationship Id="rId51" Type="http://schemas.openxmlformats.org/officeDocument/2006/relationships/hyperlink" Target="#'CandidateForbiddenErrorMessages'!A1" TargetMode="External"/><Relationship Id="rId50" Type="http://schemas.openxmlformats.org/officeDocument/2006/relationships/hyperlink" Target="#'LoginSpecificAuthErrors'!A1" TargetMode="External"/><Relationship Id="rId5" Type="http://schemas.openxmlformats.org/officeDocument/2006/relationships/hyperlink" Target="#'SaveQuestionSetSuccess'!A1" TargetMode="External"/><Relationship Id="rId49" Type="http://schemas.openxmlformats.org/officeDocument/2006/relationships/hyperlink" Target="#'StudioQuestionListEmptyStateBef'!A1" TargetMode="External"/><Relationship Id="rId48" Type="http://schemas.openxmlformats.org/officeDocument/2006/relationships/hyperlink" Target="#'StudioApprovePlanButtonStates'!A1" TargetMode="External"/><Relationship Id="rId47" Type="http://schemas.openxmlformats.org/officeDocument/2006/relationships/hyperlink" Target="#'StudioChatRefineMultiTurn'!A1" TargetMode="External"/><Relationship Id="rId46" Type="http://schemas.openxmlformats.org/officeDocument/2006/relationships/hyperlink" Target="#'KnowledgeDocLibraryAttachVsUplo'!A1" TargetMode="External"/><Relationship Id="rId45" Type="http://schemas.openxmlformats.org/officeDocument/2006/relationships/hyperlink" Target="#'NewSetResetsLockedPanels'!A1" TargetMode="External"/><Relationship Id="rId44" Type="http://schemas.openxmlformats.org/officeDocument/2006/relationships/hyperlink" Target="#'StudioGenerationSettingsToggles'!A1" TargetMode="External"/><Relationship Id="rId43" Type="http://schemas.openxmlformats.org/officeDocument/2006/relationships/hyperlink" Target="#'RefinePlanChatFlow'!A1" TargetMode="External"/><Relationship Id="rId42" Type="http://schemas.openxmlformats.org/officeDocument/2006/relationships/hyperlink" Target="#'ApplyPlanSettingsTimeout'!A1" TargetMode="External"/><Relationship Id="rId41" Type="http://schemas.openxmlformats.org/officeDocument/2006/relationships/hyperlink" Target="#'PublishedSetEditRestrictions'!A1" TargetMode="External"/><Relationship Id="rId40" Type="http://schemas.openxmlformats.org/officeDocument/2006/relationships/hyperlink" Target="#'SampleJdModalCopyUse'!A1" TargetMode="External"/><Relationship Id="rId4" Type="http://schemas.openxmlformats.org/officeDocument/2006/relationships/hyperlink" Target="#'ValidateDurationBoundaryValue'!A1" TargetMode="External"/><Relationship Id="rId39" Type="http://schemas.openxmlformats.org/officeDocument/2006/relationships/hyperlink" Target="#'RagServiceDeadCodeNoAuthHeader'!A1" TargetMode="External"/><Relationship Id="rId38" Type="http://schemas.openxmlformats.org/officeDocument/2006/relationships/hyperlink" Target="#'ConcurrentRequests401Dedup'!A1" TargetMode="External"/><Relationship Id="rId37" Type="http://schemas.openxmlformats.org/officeDocument/2006/relationships/hyperlink" Target="#'SessionExpiryMidGenerationPolli'!A1" TargetMode="External"/><Relationship Id="rId36" Type="http://schemas.openxmlformats.org/officeDocument/2006/relationships/hyperlink" Target="#'TimeoutRaw5xxNoFriendlyMessage'!A1" TargetMode="External"/><Relationship Id="rId35" Type="http://schemas.openxmlformats.org/officeDocument/2006/relationships/hyperlink" Target="#'UnrecognizedErrorCodeFallback'!A1" TargetMode="External"/><Relationship Id="rId34" Type="http://schemas.openxmlformats.org/officeDocument/2006/relationships/hyperlink" Target="#'SubscriptionErrorCodeCannedMess'!A1" TargetMode="External"/><Relationship Id="rId33" Type="http://schemas.openxmlformats.org/officeDocument/2006/relationships/hyperlink" Target="#'NoRoleGateOnHrRoutes'!A1" TargetMode="External"/><Relationship Id="rId32" Type="http://schemas.openxmlformats.org/officeDocument/2006/relationships/hyperlink" Target="#'Forbidden403NoDedicatedHandling'!A1" TargetMode="External"/><Relationship Id="rId31" Type="http://schemas.openxmlformats.org/officeDocument/2006/relationships/hyperlink" Target="#'PublicAuthEndpoint401NoIntercep'!A1" TargetMode="External"/><Relationship Id="rId30" Type="http://schemas.openxmlformats.org/officeDocument/2006/relationships/hyperlink" Target="#'Token401AlreadyRetriedOnce'!A1" TargetMode="External"/><Relationship Id="rId3" Type="http://schemas.openxmlformats.org/officeDocument/2006/relationships/hyperlink" Target="#'ValidateQuestionContentRequired'!A1" TargetMode="External"/><Relationship Id="rId29" Type="http://schemas.openxmlformats.org/officeDocument/2006/relationships/hyperlink" Target="#'Token401OnRefreshEndpointItself'!A1" TargetMode="External"/><Relationship Id="rId28" Type="http://schemas.openxmlformats.org/officeDocument/2006/relationships/hyperlink" Target="#'Token401NoRefreshTokenStored'!A1" TargetMode="External"/><Relationship Id="rId27" Type="http://schemas.openxmlformats.org/officeDocument/2006/relationships/hyperlink" Target="#'Token401RefreshFailureRedirect'!A1" TargetMode="External"/><Relationship Id="rId26" Type="http://schemas.openxmlformats.org/officeDocument/2006/relationships/hyperlink" Target="#'Token401SilentRefreshSuccess'!A1" TargetMode="External"/><Relationship Id="rId25" Type="http://schemas.openxmlformats.org/officeDocument/2006/relationships/hyperlink" Target="#'GenerateFormRetired'!A1" TargetMode="External"/><Relationship Id="rId24" Type="http://schemas.openxmlformats.org/officeDocument/2006/relationships/hyperlink" Target="#'SaveDraftPublishShare'!A1" TargetMode="External"/><Relationship Id="rId23" Type="http://schemas.openxmlformats.org/officeDocument/2006/relationships/hyperlink" Target="#'QuestionEditDeleteRegenerate'!A1" TargetMode="External"/><Relationship Id="rId22" Type="http://schemas.openxmlformats.org/officeDocument/2006/relationships/hyperlink" Target="#'PlanApprovedLocksRefine'!A1" TargetMode="External"/><Relationship Id="rId21" Type="http://schemas.openxmlformats.org/officeDocument/2006/relationships/hyperlink" Target="#'QuotaCooldownBlockingModal'!A1" TargetMode="External"/><Relationship Id="rId208" Type="http://schemas.openxmlformats.org/officeDocument/2006/relationships/hyperlink" Target="#'FileExtensionAllowList'!A1" TargetMode="External"/><Relationship Id="rId207" Type="http://schemas.openxmlformats.org/officeDocument/2006/relationships/hyperlink" Target="#'StartupNoFailFastValidation'!A1" TargetMode="External"/><Relationship Id="rId206" Type="http://schemas.openxmlformats.org/officeDocument/2006/relationships/hyperlink" Target="#'NoRateLimitingConfigured'!A1" TargetMode="External"/><Relationship Id="rId205" Type="http://schemas.openxmlformats.org/officeDocument/2006/relationships/hyperlink" Target="#'NoCorsMiddlewareConfigured'!A1" TargetMode="External"/><Relationship Id="rId204" Type="http://schemas.openxmlformats.org/officeDocument/2006/relationships/hyperlink" Target="#'SynchronousBlockingNoTimeout'!A1" TargetMode="External"/><Relationship Id="rId203" Type="http://schemas.openxmlformats.org/officeDocument/2006/relationships/hyperlink" Target="#'LegacyEndpointsDeprecation'!A1" TargetMode="External"/><Relationship Id="rId202" Type="http://schemas.openxmlformats.org/officeDocument/2006/relationships/hyperlink" Target="#'LlmErrorMapping'!A1" TargetMode="External"/><Relationship Id="rId201" Type="http://schemas.openxmlformats.org/officeDocument/2006/relationships/hyperlink" Target="#'ErrorResponseEnvelopeConsistenc'!A1" TargetMode="External"/><Relationship Id="rId200" Type="http://schemas.openxmlformats.org/officeDocument/2006/relationships/hyperlink" Target="#'InterviewQuestionsGenerateValid'!A1" TargetMode="External"/><Relationship Id="rId20" Type="http://schemas.openxmlformats.org/officeDocument/2006/relationships/hyperlink" Target="#'BackgroundPollResumeOnReload'!A1" TargetMode="External"/><Relationship Id="rId2" Type="http://schemas.openxmlformats.org/officeDocument/2006/relationships/hyperlink" Target="#'ValidateJobTitleRequired'!A1" TargetMode="External"/><Relationship Id="rId199" Type="http://schemas.openxmlformats.org/officeDocument/2006/relationships/hyperlink" Target="#'InterviewPlanConfirmValidation'!A1" TargetMode="External"/><Relationship Id="rId198" Type="http://schemas.openxmlformats.org/officeDocument/2006/relationships/hyperlink" Target="#'InterviewPlanMessagesClarifyLoo'!A1" TargetMode="External"/><Relationship Id="rId197" Type="http://schemas.openxmlformats.org/officeDocument/2006/relationships/hyperlink" Target="#'InterviewPlanStartValidation'!A1" TargetMode="External"/><Relationship Id="rId196" Type="http://schemas.openxmlformats.org/officeDocument/2006/relationships/hyperlink" Target="#'JdValidationRules'!A1" TargetMode="External"/><Relationship Id="rId195" Type="http://schemas.openxmlformats.org/officeDocument/2006/relationships/hyperlink" Target="#'IngestHrFilesValidation'!A1" TargetMode="External"/><Relationship Id="rId194" Type="http://schemas.openxmlformats.org/officeDocument/2006/relationships/hyperlink" Target="#'IngestSystemFilesValidation'!A1" TargetMode="External"/><Relationship Id="rId193" Type="http://schemas.openxmlformats.org/officeDocument/2006/relationships/hyperlink" Target="#'ChatEndpointValidation'!A1" TargetMode="External"/><Relationship Id="rId192" Type="http://schemas.openxmlformats.org/officeDocument/2006/relationships/hyperlink" Target="#'InternalApiKeyAuthGate'!A1" TargetMode="External"/><Relationship Id="rId191" Type="http://schemas.openxmlformats.org/officeDocument/2006/relationships/hyperlink" Target="#'HealthCheckEndpoints'!A1" TargetMode="External"/><Relationship Id="rId190" Type="http://schemas.openxmlformats.org/officeDocument/2006/relationships/hyperlink" Target="#'SubscriptionRealtimeFallbackPol'!A1" TargetMode="External"/><Relationship Id="rId19" Type="http://schemas.openxmlformats.org/officeDocument/2006/relationships/hyperlink" Target="#'GenerateQuestionsTimeoutDeadlin'!A1" TargetMode="External"/><Relationship Id="rId189" Type="http://schemas.openxmlformats.org/officeDocument/2006/relationships/hyperlink" Target="#'SubscriptionHubConnectionNeverT'!A1" TargetMode="External"/><Relationship Id="rId188" Type="http://schemas.openxmlformats.org/officeDocument/2006/relationships/hyperlink" Target="#'PremiumRevokedDialogCloseVarian'!A1" TargetMode="External"/><Relationship Id="rId187" Type="http://schemas.openxmlformats.org/officeDocument/2006/relationships/hyperlink" Target="#'PremiumRevokedDialogUpgradeCta'!A1" TargetMode="External"/><Relationship Id="rId186" Type="http://schemas.openxmlformats.org/officeDocument/2006/relationships/hyperlink" Target="#'PremiumRevokedDialogVisibilityA'!A1" TargetMode="External"/><Relationship Id="rId185" Type="http://schemas.openxmlformats.org/officeDocument/2006/relationships/hyperlink" Target="#'PracticeSessionLockedQuestion'!A1" TargetMode="External"/><Relationship Id="rId184" Type="http://schemas.openxmlformats.org/officeDocument/2006/relationships/hyperlink" Target="#'PracticeSessionAutoCompletedFal'!A1" TargetMode="External"/><Relationship Id="rId183" Type="http://schemas.openxmlformats.org/officeDocument/2006/relationships/hyperlink" Target="#'PracticeSessionFinishAndSubmit'!A1" TargetMode="External"/><Relationship Id="rId182" Type="http://schemas.openxmlformats.org/officeDocument/2006/relationships/hyperlink" Target="#'PracticeSessionResume'!A1" TargetMode="External"/><Relationship Id="rId181" Type="http://schemas.openxmlformats.org/officeDocument/2006/relationships/hyperlink" Target="#'PracticeSessionStarting'!A1" TargetMode="External"/><Relationship Id="rId180" Type="http://schemas.openxmlformats.org/officeDocument/2006/relationships/hyperlink" Target="#'MarketplaceBookmarkAndNavigatio'!A1" TargetMode="External"/><Relationship Id="rId18" Type="http://schemas.openxmlformats.org/officeDocument/2006/relationships/hyperlink" Target="#'GenerateQuestionsFailedStatus'!A1" TargetMode="External"/><Relationship Id="rId179" Type="http://schemas.openxmlformats.org/officeDocument/2006/relationships/hyperlink" Target="#'MarketplaceBrowsingFilterSearch'!A1" TargetMode="External"/><Relationship Id="rId178" Type="http://schemas.openxmlformats.org/officeDocument/2006/relationships/hyperlink" Target="#'InvitationsDeclineFlow'!A1" TargetMode="External"/><Relationship Id="rId177" Type="http://schemas.openxmlformats.org/officeDocument/2006/relationships/hyperlink" Target="#'InvitationsAcceptFlow'!A1" TargetMode="External"/><Relationship Id="rId176" Type="http://schemas.openxmlformats.org/officeDocument/2006/relationships/hyperlink" Target="#'InvitationsListingAndFilter'!A1" TargetMode="External"/><Relationship Id="rId175" Type="http://schemas.openxmlformats.org/officeDocument/2006/relationships/hyperlink" Target="#'HrSettingsPreferencesNotificati'!A1" TargetMode="External"/><Relationship Id="rId174" Type="http://schemas.openxmlformats.org/officeDocument/2006/relationships/hyperlink" Target="#'RecommendationsShortlistDismiss'!A1" TargetMode="External"/><Relationship Id="rId173" Type="http://schemas.openxmlformats.org/officeDocument/2006/relationships/hyperlink" Target="#'RecommendationsListingFilterSea'!A1" TargetMode="External"/><Relationship Id="rId172" Type="http://schemas.openxmlformats.org/officeDocument/2006/relationships/hyperlink" Target="#'KnowledgeDeleteConfirm'!A1" TargetMode="External"/><Relationship Id="rId171" Type="http://schemas.openxmlformats.org/officeDocument/2006/relationships/hyperlink" Target="#'KnowledgeUploadAndSizeLimit'!A1" TargetMode="External"/><Relationship Id="rId170" Type="http://schemas.openxmlformats.org/officeDocument/2006/relationships/hyperlink" Target="#'KnowledgePageListingAndErrors'!A1" TargetMode="External"/><Relationship Id="rId17" Type="http://schemas.openxmlformats.org/officeDocument/2006/relationships/hyperlink" Target="#'GenerateQuestionsAutoRetryRepla'!A1" TargetMode="External"/><Relationship Id="rId169" Type="http://schemas.openxmlformats.org/officeDocument/2006/relationships/hyperlink" Target="#'HrBillingCancelToFreeFlow'!A1" TargetMode="External"/><Relationship Id="rId168" Type="http://schemas.openxmlformats.org/officeDocument/2006/relationships/hyperlink" Target="#'HrBillingPaymentHistoryAndRecei'!A1" TargetMode="External"/><Relationship Id="rId167" Type="http://schemas.openxmlformats.org/officeDocument/2006/relationships/hyperlink" Target="#'HrBillingCurrentPlan'!A1" TargetMode="External"/><Relationship Id="rId166" Type="http://schemas.openxmlformats.org/officeDocument/2006/relationships/hyperlink" Target="#'FeedbackScoreTimeoutAndRetry'!A1" TargetMode="External"/><Relationship Id="rId165" Type="http://schemas.openxmlformats.org/officeDocument/2006/relationships/hyperlink" Target="#'FeedbackScorePollingUntilArriva'!A1" TargetMode="External"/><Relationship Id="rId164" Type="http://schemas.openxmlformats.org/officeDocument/2006/relationships/hyperlink" Target="#'UpgradeModalFinishPaidRetry'!A1" TargetMode="External"/><Relationship Id="rId163" Type="http://schemas.openxmlformats.org/officeDocument/2006/relationships/hyperlink" Target="#'SubscriptionContextUserScopedPl'!A1" TargetMode="External"/><Relationship Id="rId162" Type="http://schemas.openxmlformats.org/officeDocument/2006/relationships/hyperlink" Target="#'CandidateSettingsPrivacyPlanGat'!A1" TargetMode="External"/><Relationship Id="rId161" Type="http://schemas.openxmlformats.org/officeDocument/2006/relationships/hyperlink" Target="#'CandidateSettingsGeneral'!A1" TargetMode="External"/><Relationship Id="rId160" Type="http://schemas.openxmlformats.org/officeDocument/2006/relationships/hyperlink" Target="#'CandidateSettingsTabRouting'!A1" TargetMode="External"/><Relationship Id="rId16" Type="http://schemas.openxmlformats.org/officeDocument/2006/relationships/hyperlink" Target="#'GenerateQuestionsSuccessFlow'!A1" TargetMode="External"/><Relationship Id="rId159" Type="http://schemas.openxmlformats.org/officeDocument/2006/relationships/hyperlink" Target="#'CandidateProfileCvManagement'!A1" TargetMode="External"/><Relationship Id="rId158" Type="http://schemas.openxmlformats.org/officeDocument/2006/relationships/hyperlink" Target="#'CandidateProfileSaveValidationS'!A1" TargetMode="External"/><Relationship Id="rId157" Type="http://schemas.openxmlformats.org/officeDocument/2006/relationships/hyperlink" Target="#'CandidateProfileViewAndEditTogg'!A1" TargetMode="External"/><Relationship Id="rId156" Type="http://schemas.openxmlformats.org/officeDocument/2006/relationships/hyperlink" Target="#'CandidateDashboardRecommendedSe'!A1" TargetMode="External"/><Relationship Id="rId155" Type="http://schemas.openxmlformats.org/officeDocument/2006/relationships/hyperlink" Target="#'CandidateDashboardKpisAndSessio'!A1" TargetMode="External"/><Relationship Id="rId154" Type="http://schemas.openxmlformats.org/officeDocument/2006/relationships/hyperlink" Target="#'BillingUpgradeAndCancel'!A1" TargetMode="External"/><Relationship Id="rId153" Type="http://schemas.openxmlformats.org/officeDocument/2006/relationships/hyperlink" Target="#'BillingComingSoonButtons'!A1" TargetMode="External"/><Relationship Id="rId152" Type="http://schemas.openxmlformats.org/officeDocument/2006/relationships/hyperlink" Target="#'BillingPaymentHistoryAndReceipt'!A1" TargetMode="External"/><Relationship Id="rId151" Type="http://schemas.openxmlformats.org/officeDocument/2006/relationships/hyperlink" Target="#'BillingCurrentPlanDisplay'!A1" TargetMode="External"/><Relationship Id="rId150" Type="http://schemas.openxmlformats.org/officeDocument/2006/relationships/hyperlink" Target="#'HistoryExportGatedByPlan'!A1" TargetMode="External"/><Relationship Id="rId15" Type="http://schemas.openxmlformats.org/officeDocument/2006/relationships/hyperlink" Target="#'SourcesPanelLockOnGenerate'!A1" TargetMode="External"/><Relationship Id="rId149" Type="http://schemas.openxmlformats.org/officeDocument/2006/relationships/hyperlink" Target="#'HistoryDeleteConfirmAndPublishe'!A1" TargetMode="External"/><Relationship Id="rId148" Type="http://schemas.openxmlformats.org/officeDocument/2006/relationships/hyperlink" Target="#'HistoryPublishUnpublishBookmark'!A1" TargetMode="External"/><Relationship Id="rId147" Type="http://schemas.openxmlformats.org/officeDocument/2006/relationships/hyperlink" Target="#'HistoryListingSearchAndFilter'!A1" TargetMode="External"/><Relationship Id="rId146" Type="http://schemas.openxmlformats.org/officeDocument/2006/relationships/hyperlink" Target="#'HrDashboardRetryAndNullFallback'!A1" TargetMode="External"/><Relationship Id="rId145" Type="http://schemas.openxmlformats.org/officeDocument/2006/relationships/hyperlink" Target="#'HrDashboardKpisAndSections'!A1" TargetMode="External"/><Relationship Id="rId144" Type="http://schemas.openxmlformats.org/officeDocument/2006/relationships/hyperlink" Target="#'PlansFreeVisiblePercentClamp'!A1" TargetMode="External"/><Relationship Id="rId143" Type="http://schemas.openxmlformats.org/officeDocument/2006/relationships/hyperlink" Target="#'PlansEditSaveAndFailure'!A1" TargetMode="External"/><Relationship Id="rId142" Type="http://schemas.openxmlformats.org/officeDocument/2006/relationships/hyperlink" Target="#'PlansListingAndRefresh'!A1" TargetMode="External"/><Relationship Id="rId141" Type="http://schemas.openxmlformats.org/officeDocument/2006/relationships/hyperlink" Target="#'MarketplacePinAndDetail'!A1" TargetMode="External"/><Relationship Id="rId140" Type="http://schemas.openxmlformats.org/officeDocument/2006/relationships/hyperlink" Target="#'MarketplaceListingSearchAndErro'!A1" TargetMode="External"/><Relationship Id="rId14" Type="http://schemas.openxmlformats.org/officeDocument/2006/relationships/hyperlink" Target="#'KnowledgeDocumentIngestionStatu'!A1" TargetMode="External"/><Relationship Id="rId139" Type="http://schemas.openxmlformats.org/officeDocument/2006/relationships/hyperlink" Target="#'AdminDashboardRetryAndRefresh'!A1" TargetMode="External"/><Relationship Id="rId138" Type="http://schemas.openxmlformats.org/officeDocument/2006/relationships/hyperlink" Target="#'AdminDashboardKpisAndAlerts'!A1" TargetMode="External"/><Relationship Id="rId137" Type="http://schemas.openxmlformats.org/officeDocument/2006/relationships/hyperlink" Target="#'AdminKnowledgeWrapperWiring'!A1" TargetMode="External"/><Relationship Id="rId136" Type="http://schemas.openxmlformats.org/officeDocument/2006/relationships/hyperlink" Target="#'CompanyManagementCreateEditDele'!A1" TargetMode="External"/><Relationship Id="rId135" Type="http://schemas.openxmlformats.org/officeDocument/2006/relationships/hyperlink" Target="#'CompanyManagementListingSearchR'!A1" TargetMode="External"/><Relationship Id="rId134" Type="http://schemas.openxmlformats.org/officeDocument/2006/relationships/hyperlink" Target="#'ContentTableRowAndDeadDeleteBut'!A1" TargetMode="External"/><Relationship Id="rId133" Type="http://schemas.openxmlformats.org/officeDocument/2006/relationships/hyperlink" Target="#'AiConfigProviderSwitchAndSave'!A1" TargetMode="External"/><Relationship Id="rId132" Type="http://schemas.openxmlformats.org/officeDocument/2006/relationships/hyperlink" Target="#'AiConfigLoadAndRetry'!A1" TargetMode="External"/><Relationship Id="rId131" Type="http://schemas.openxmlformats.org/officeDocument/2006/relationships/hyperlink" Target="#'PlatformSettingsComingSoonButto'!A1" TargetMode="External"/><Relationship Id="rId130" Type="http://schemas.openxmlformats.org/officeDocument/2006/relationships/hyperlink" Target="#'PlatformSettingsPermissionsNoti'!A1" TargetMode="External"/><Relationship Id="rId13" Type="http://schemas.openxmlformats.org/officeDocument/2006/relationships/hyperlink" Target="#'JdInputUploadFileTypes'!A1" TargetMode="External"/><Relationship Id="rId129" Type="http://schemas.openxmlformats.org/officeDocument/2006/relationships/hyperlink" Target="#'PlatformSettingsGeneralLoadSave'!A1" TargetMode="External"/><Relationship Id="rId128" Type="http://schemas.openxmlformats.org/officeDocument/2006/relationships/hyperlink" Target="#'AchievementGridCompactVariant'!A1" TargetMode="External"/><Relationship Id="rId127" Type="http://schemas.openxmlformats.org/officeDocument/2006/relationships/hyperlink" Target="#'AchievementGridFullVariant'!A1" TargetMode="External"/><Relationship Id="rId126" Type="http://schemas.openxmlformats.org/officeDocument/2006/relationships/hyperlink" Target="#'GamificationProgressCardDisplay'!A1" TargetMode="External"/><Relationship Id="rId125" Type="http://schemas.openxmlformats.org/officeDocument/2006/relationships/hyperlink" Target="#'DailyGoalSaveFlow'!A1" TargetMode="External"/><Relationship Id="rId124" Type="http://schemas.openxmlformats.org/officeDocument/2006/relationships/hyperlink" Target="#'DailyGoalPresetDisplay'!A1" TargetMode="External"/><Relationship Id="rId123" Type="http://schemas.openxmlformats.org/officeDocument/2006/relationships/hyperlink" Target="#'XpHistoryEmbeddedMode'!A1" TargetMode="External"/><Relationship Id="rId122" Type="http://schemas.openxmlformats.org/officeDocument/2006/relationships/hyperlink" Target="#'XpHistoryStandaloneList'!A1" TargetMode="External"/><Relationship Id="rId121" Type="http://schemas.openxmlformats.org/officeDocument/2006/relationships/hyperlink" Target="#'ChangePasswordSubmitFlow'!A1" TargetMode="External"/><Relationship Id="rId120" Type="http://schemas.openxmlformats.org/officeDocument/2006/relationships/hyperlink" Target="#'ChangePasswordClientValidation'!A1" TargetMode="External"/><Relationship Id="rId12" Type="http://schemas.openxmlformats.org/officeDocument/2006/relationships/hyperlink" Target="#'JdInputPasteValidation'!A1" TargetMode="External"/><Relationship Id="rId119" Type="http://schemas.openxmlformats.org/officeDocument/2006/relationships/hyperlink" Target="#'InferGeneratedQuestionTemplate'!A1" TargetMode="External"/><Relationship Id="rId118" Type="http://schemas.openxmlformats.org/officeDocument/2006/relationships/hyperlink" Target="#'MetaParsingLangImageDiagramHint'!A1" TargetMode="External"/><Relationship Id="rId117" Type="http://schemas.openxmlformats.org/officeDocument/2006/relationships/hyperlink" Target="#'SnippetExtraction'!A1" TargetMode="External"/><Relationship Id="rId116" Type="http://schemas.openxmlformats.org/officeDocument/2006/relationships/hyperlink" Target="#'TemplateDetectionExplicitAndKey'!A1" TargetMode="External"/><Relationship Id="rId115" Type="http://schemas.openxmlformats.org/officeDocument/2006/relationships/hyperlink" Target="#'ScoreBadgeClassAndScoreLevel'!A1" TargetMode="External"/><Relationship Id="rId114" Type="http://schemas.openxmlformats.org/officeDocument/2006/relationships/hyperlink" Target="#'BadgeClassAndCategoryLabelHelpe'!A1" TargetMode="External"/><Relationship Id="rId113" Type="http://schemas.openxmlformats.org/officeDocument/2006/relationships/hyperlink" Target="#'GetAdminUserStatusAndIsAdminRol'!A1" TargetMode="External"/><Relationship Id="rId112" Type="http://schemas.openxmlformats.org/officeDocument/2006/relationships/hyperlink" Target="#'ToBackendRoleFilterAndNormalize'!A1" TargetMode="External"/><Relationship Id="rId111" Type="http://schemas.openxmlformats.org/officeDocument/2006/relationships/hyperlink" Target="#'CompanyInitialsAndColor'!A1" TargetMode="External"/><Relationship Id="rId110" Type="http://schemas.openxmlformats.org/officeDocument/2006/relationships/hyperlink" Target="#'TranslateDimensionKeyAndCategor'!A1" TargetMode="External"/><Relationship Id="rId11" Type="http://schemas.openxmlformats.org/officeDocument/2006/relationships/hyperlink" Target="#'UnauthorizedRoleAccessManualPag'!A1" TargetMode="External"/><Relationship Id="rId109" Type="http://schemas.openxmlformats.org/officeDocument/2006/relationships/hyperlink" Target="#'ComputeStreakDays'!A1" TargetMode="External"/><Relationship Id="rId108" Type="http://schemas.openxmlformats.org/officeDocument/2006/relationships/hyperlink" Target="#'ValidateAvatarFile'!A1" TargetMode="External"/><Relationship Id="rId107" Type="http://schemas.openxmlformats.org/officeDocument/2006/relationships/hyperlink" Target="#'ToGenerationSessionAndMalformed'!A1" TargetMode="External"/><Relationship Id="rId106" Type="http://schemas.openxmlformats.org/officeDocument/2006/relationships/hyperlink" Target="#'PatchAndUpdateLocalSession'!A1" TargetMode="External"/><Relationship Id="rId105" Type="http://schemas.openxmlformats.org/officeDocument/2006/relationships/hyperlink" Target="#'SaveAndGetLocalSession'!A1" TargetMode="External"/><Relationship Id="rId104" Type="http://schemas.openxmlformats.org/officeDocument/2006/relationships/hyperlink" Target="#'LoginWelcomePendingFlagRoundTri'!A1" TargetMode="External"/><Relationship Id="rId103" Type="http://schemas.openxmlformats.org/officeDocument/2006/relationships/hyperlink" Target="#'GetLoginWelcomeRoleFromRedirect'!A1" TargetMode="External"/><Relationship Id="rId102" Type="http://schemas.openxmlformats.org/officeDocument/2006/relationships/hyperlink" Target="#'TimeAgo'!A1" TargetMode="External"/><Relationship Id="rId101" Type="http://schemas.openxmlformats.org/officeDocument/2006/relationships/hyperlink" Target="#'XpRewardTypeLabel'!A1" TargetMode="External"/><Relationship Id="rId100" Type="http://schemas.openxmlformats.org/officeDocument/2006/relationships/hyperlink" Target="#'LevelColorAndStreakIntensity'!A1" TargetMode="External"/><Relationship Id="rId10" Type="http://schemas.openxmlformats.org/officeDocument/2006/relationships/hyperlink" Target="#'AiQuotaExceededManualLink'!A1" TargetMode="External"/><Relationship Id="rId1" Type="http://schemas.openxmlformats.org/officeDocument/2006/relationships/hyperlink" Target="#'DisplayManualQuestionForm'!A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8080"/>
  </sheetPr>
  <dimension ref="A1:Z1000"/>
  <sheetViews>
    <sheetView workbookViewId="0">
      <selection activeCell="A1" sqref="A1"/>
    </sheetView>
  </sheetViews>
  <sheetFormatPr defaultColWidth="14.4406779661017" defaultRowHeight="15.05" customHeight="1"/>
  <cols>
    <col min="1" max="1" width="136.440677966102" customWidth="1"/>
    <col min="2" max="6" width="12.5508474576271" customWidth="1"/>
    <col min="7" max="26" width="9.11016949152542" customWidth="1"/>
  </cols>
  <sheetData>
    <row r="1" ht="22.6" customHeight="1" spans="1:26">
      <c r="A1" s="105"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row>
    <row r="2" ht="22.6" customHeight="1" spans="1:26">
      <c r="A2" s="105"/>
      <c r="B2" s="106"/>
      <c r="C2" s="106"/>
      <c r="D2" s="106"/>
      <c r="E2" s="106"/>
      <c r="F2" s="106"/>
      <c r="G2" s="106"/>
      <c r="H2" s="106"/>
      <c r="I2" s="106"/>
      <c r="J2" s="106"/>
      <c r="K2" s="106"/>
      <c r="L2" s="106"/>
      <c r="M2" s="106"/>
      <c r="N2" s="106"/>
      <c r="O2" s="106"/>
      <c r="P2" s="106"/>
      <c r="Q2" s="106"/>
      <c r="R2" s="106"/>
      <c r="S2" s="106"/>
      <c r="T2" s="106"/>
      <c r="U2" s="106"/>
      <c r="V2" s="106"/>
      <c r="W2" s="106"/>
      <c r="X2" s="106"/>
      <c r="Y2" s="106"/>
      <c r="Z2" s="106"/>
    </row>
    <row r="3" ht="18" customHeight="1" spans="1:26">
      <c r="A3" s="107" t="s">
        <v>1</v>
      </c>
      <c r="B3" s="108"/>
      <c r="C3" s="108"/>
      <c r="D3" s="108"/>
      <c r="E3" s="108"/>
      <c r="F3" s="108"/>
      <c r="G3" s="108"/>
      <c r="H3" s="108"/>
      <c r="I3" s="108"/>
      <c r="J3" s="108"/>
      <c r="K3" s="108"/>
      <c r="L3" s="108"/>
      <c r="M3" s="108"/>
      <c r="N3" s="108"/>
      <c r="O3" s="108"/>
      <c r="P3" s="108"/>
      <c r="Q3" s="108"/>
      <c r="R3" s="108"/>
      <c r="S3" s="108"/>
      <c r="T3" s="108"/>
      <c r="U3" s="108"/>
      <c r="V3" s="108"/>
      <c r="W3" s="108"/>
      <c r="X3" s="108"/>
      <c r="Y3" s="108"/>
      <c r="Z3" s="108"/>
    </row>
    <row r="4" ht="15.5" customHeight="1" spans="1:26">
      <c r="A4" s="109" t="s">
        <v>2</v>
      </c>
      <c r="B4" s="110"/>
      <c r="C4" s="110"/>
      <c r="D4" s="110"/>
      <c r="E4" s="110"/>
      <c r="F4" s="110"/>
      <c r="G4" s="110"/>
      <c r="H4" s="110"/>
      <c r="I4" s="110"/>
      <c r="J4" s="110"/>
      <c r="K4" s="110"/>
      <c r="L4" s="110"/>
      <c r="M4" s="110"/>
      <c r="N4" s="110"/>
      <c r="O4" s="110"/>
      <c r="P4" s="110"/>
      <c r="Q4" s="110"/>
      <c r="R4" s="110"/>
      <c r="S4" s="110"/>
      <c r="T4" s="110"/>
      <c r="U4" s="110"/>
      <c r="V4" s="110"/>
      <c r="W4" s="110"/>
      <c r="X4" s="110"/>
      <c r="Y4" s="110"/>
      <c r="Z4" s="110"/>
    </row>
    <row r="5" ht="15.5" customHeight="1" spans="1:26">
      <c r="A5" s="109" t="s">
        <v>3</v>
      </c>
      <c r="B5" s="110"/>
      <c r="C5" s="110"/>
      <c r="D5" s="110"/>
      <c r="E5" s="110"/>
      <c r="F5" s="110"/>
      <c r="G5" s="110"/>
      <c r="H5" s="110"/>
      <c r="I5" s="110"/>
      <c r="J5" s="110"/>
      <c r="K5" s="110"/>
      <c r="L5" s="110"/>
      <c r="M5" s="110"/>
      <c r="N5" s="110"/>
      <c r="O5" s="110"/>
      <c r="P5" s="110"/>
      <c r="Q5" s="110"/>
      <c r="R5" s="110"/>
      <c r="S5" s="110"/>
      <c r="T5" s="110"/>
      <c r="U5" s="110"/>
      <c r="V5" s="110"/>
      <c r="W5" s="110"/>
      <c r="X5" s="110"/>
      <c r="Y5" s="110"/>
      <c r="Z5" s="110"/>
    </row>
    <row r="6" ht="38.3" customHeight="1" spans="1:26">
      <c r="A6" s="111" t="s">
        <v>4</v>
      </c>
      <c r="B6" s="110"/>
      <c r="C6" s="110"/>
      <c r="D6" s="110"/>
      <c r="E6" s="110"/>
      <c r="F6" s="110"/>
      <c r="G6" s="110"/>
      <c r="H6" s="110"/>
      <c r="I6" s="110"/>
      <c r="J6" s="110"/>
      <c r="K6" s="110"/>
      <c r="L6" s="110"/>
      <c r="M6" s="110"/>
      <c r="N6" s="110"/>
      <c r="O6" s="110"/>
      <c r="P6" s="110"/>
      <c r="Q6" s="110"/>
      <c r="R6" s="110"/>
      <c r="S6" s="110"/>
      <c r="T6" s="110"/>
      <c r="U6" s="110"/>
      <c r="V6" s="110"/>
      <c r="W6" s="110"/>
      <c r="X6" s="110"/>
      <c r="Y6" s="110"/>
      <c r="Z6" s="110"/>
    </row>
    <row r="7" ht="29.3" customHeight="1" spans="1:26">
      <c r="A7" s="111" t="s">
        <v>5</v>
      </c>
      <c r="B7" s="110"/>
      <c r="C7" s="110"/>
      <c r="D7" s="110"/>
      <c r="E7" s="110"/>
      <c r="F7" s="110"/>
      <c r="G7" s="110"/>
      <c r="H7" s="110"/>
      <c r="I7" s="110"/>
      <c r="J7" s="110"/>
      <c r="K7" s="110"/>
      <c r="L7" s="110"/>
      <c r="M7" s="110"/>
      <c r="N7" s="110"/>
      <c r="O7" s="110"/>
      <c r="P7" s="110"/>
      <c r="Q7" s="110"/>
      <c r="R7" s="110"/>
      <c r="S7" s="110"/>
      <c r="T7" s="110"/>
      <c r="U7" s="110"/>
      <c r="V7" s="110"/>
      <c r="W7" s="110"/>
      <c r="X7" s="110"/>
      <c r="Y7" s="110"/>
      <c r="Z7" s="110"/>
    </row>
    <row r="8" ht="29.95" customHeight="1" spans="1:26">
      <c r="A8" s="111" t="s">
        <v>6</v>
      </c>
      <c r="B8" s="110"/>
      <c r="C8" s="110"/>
      <c r="D8" s="110"/>
      <c r="E8" s="110"/>
      <c r="F8" s="110"/>
      <c r="G8" s="110"/>
      <c r="H8" s="110"/>
      <c r="I8" s="110"/>
      <c r="J8" s="110"/>
      <c r="K8" s="110"/>
      <c r="L8" s="110"/>
      <c r="M8" s="110"/>
      <c r="N8" s="110"/>
      <c r="O8" s="110"/>
      <c r="P8" s="110"/>
      <c r="Q8" s="110"/>
      <c r="R8" s="110"/>
      <c r="S8" s="110"/>
      <c r="T8" s="110"/>
      <c r="U8" s="110"/>
      <c r="V8" s="110"/>
      <c r="W8" s="110"/>
      <c r="X8" s="110"/>
      <c r="Y8" s="110"/>
      <c r="Z8" s="110"/>
    </row>
    <row r="9" ht="16.55" customHeight="1" spans="1:26">
      <c r="A9" s="112" t="s">
        <v>7</v>
      </c>
      <c r="B9" s="113"/>
      <c r="C9" s="113"/>
      <c r="D9" s="113"/>
      <c r="E9" s="113"/>
      <c r="F9" s="113"/>
      <c r="G9" s="113"/>
      <c r="H9" s="113"/>
      <c r="I9" s="113"/>
      <c r="J9" s="113"/>
      <c r="K9" s="113"/>
      <c r="L9" s="113"/>
      <c r="M9" s="113"/>
      <c r="N9" s="113"/>
      <c r="O9" s="113"/>
      <c r="P9" s="113"/>
      <c r="Q9" s="113"/>
      <c r="R9" s="113"/>
      <c r="S9" s="113"/>
      <c r="T9" s="113"/>
      <c r="U9" s="113"/>
      <c r="V9" s="113"/>
      <c r="W9" s="113"/>
      <c r="X9" s="113"/>
      <c r="Y9" s="113"/>
      <c r="Z9" s="113"/>
    </row>
    <row r="10" ht="16.55" customHeight="1" spans="1:26">
      <c r="A10" s="109"/>
      <c r="B10" s="110"/>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row>
    <row r="11" ht="18" customHeight="1" spans="1:26">
      <c r="A11" s="107" t="s">
        <v>8</v>
      </c>
      <c r="B11" s="108"/>
      <c r="C11" s="108"/>
      <c r="D11" s="108"/>
      <c r="E11" s="108"/>
      <c r="F11" s="108"/>
      <c r="G11" s="108"/>
      <c r="H11" s="108"/>
      <c r="I11" s="108"/>
      <c r="J11" s="108"/>
      <c r="K11" s="108"/>
      <c r="L11" s="108"/>
      <c r="M11" s="108"/>
      <c r="N11" s="108"/>
      <c r="O11" s="108"/>
      <c r="P11" s="108"/>
      <c r="Q11" s="108"/>
      <c r="R11" s="108"/>
      <c r="S11" s="108"/>
      <c r="T11" s="108"/>
      <c r="U11" s="108"/>
      <c r="V11" s="108"/>
      <c r="W11" s="108"/>
      <c r="X11" s="108"/>
      <c r="Y11" s="108"/>
      <c r="Z11" s="108"/>
    </row>
    <row r="12" ht="15.5" customHeight="1" spans="1:26">
      <c r="A12" s="114" t="s">
        <v>9</v>
      </c>
      <c r="B12" s="115"/>
      <c r="C12" s="115"/>
      <c r="D12" s="115"/>
      <c r="E12" s="115"/>
      <c r="F12" s="115"/>
      <c r="G12" s="115"/>
      <c r="H12" s="115"/>
      <c r="I12" s="115"/>
      <c r="J12" s="115"/>
      <c r="K12" s="115"/>
      <c r="L12" s="115"/>
      <c r="M12" s="115"/>
      <c r="N12" s="115"/>
      <c r="O12" s="115"/>
      <c r="P12" s="115"/>
      <c r="Q12" s="115"/>
      <c r="R12" s="115"/>
      <c r="S12" s="115"/>
      <c r="T12" s="115"/>
      <c r="U12" s="115"/>
      <c r="V12" s="115"/>
      <c r="W12" s="115"/>
      <c r="X12" s="115"/>
      <c r="Y12" s="115"/>
      <c r="Z12" s="115"/>
    </row>
    <row r="13" ht="25.55" customHeight="1" spans="1:26">
      <c r="A13" s="109" t="s">
        <v>10</v>
      </c>
      <c r="B13" s="110"/>
      <c r="C13" s="110"/>
      <c r="D13" s="110"/>
      <c r="E13" s="110"/>
      <c r="F13" s="110"/>
      <c r="G13" s="110"/>
      <c r="H13" s="110"/>
      <c r="I13" s="110"/>
      <c r="J13" s="110"/>
      <c r="K13" s="110"/>
      <c r="L13" s="110"/>
      <c r="M13" s="110"/>
      <c r="N13" s="110"/>
      <c r="O13" s="110"/>
      <c r="P13" s="110"/>
      <c r="Q13" s="110"/>
      <c r="R13" s="110"/>
      <c r="S13" s="110"/>
      <c r="T13" s="110"/>
      <c r="U13" s="110"/>
      <c r="V13" s="110"/>
      <c r="W13" s="110"/>
      <c r="X13" s="110"/>
      <c r="Y13" s="110"/>
      <c r="Z13" s="110"/>
    </row>
    <row r="14" ht="15.5" customHeight="1" spans="1:26">
      <c r="A14" s="109" t="s">
        <v>11</v>
      </c>
      <c r="B14" s="110"/>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row>
    <row r="15" ht="31" customHeight="1" spans="1:26">
      <c r="A15" s="111" t="s">
        <v>12</v>
      </c>
      <c r="B15" s="110"/>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row>
    <row r="16" ht="15.5" customHeight="1" spans="1:26">
      <c r="A16" s="109"/>
      <c r="B16" s="110"/>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row>
    <row r="17" ht="15.5" customHeight="1" spans="1:26">
      <c r="A17" s="114" t="s">
        <v>13</v>
      </c>
      <c r="B17" s="115"/>
      <c r="C17" s="115"/>
      <c r="D17" s="115"/>
      <c r="E17" s="115"/>
      <c r="F17" s="115"/>
      <c r="G17" s="115"/>
      <c r="H17" s="115"/>
      <c r="I17" s="115"/>
      <c r="J17" s="115"/>
      <c r="K17" s="115"/>
      <c r="L17" s="115"/>
      <c r="M17" s="115"/>
      <c r="N17" s="115"/>
      <c r="O17" s="115"/>
      <c r="P17" s="115"/>
      <c r="Q17" s="115"/>
      <c r="R17" s="115"/>
      <c r="S17" s="115"/>
      <c r="T17" s="115"/>
      <c r="U17" s="115"/>
      <c r="V17" s="115"/>
      <c r="W17" s="115"/>
      <c r="X17" s="115"/>
      <c r="Y17" s="115"/>
      <c r="Z17" s="115"/>
    </row>
    <row r="18" ht="15.5" customHeight="1" spans="1:26">
      <c r="A18" s="109" t="s">
        <v>14</v>
      </c>
      <c r="B18" s="109"/>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row>
    <row r="19" ht="15.5" customHeight="1" spans="1:26">
      <c r="A19" s="114" t="s">
        <v>15</v>
      </c>
      <c r="B19" s="110"/>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row>
    <row r="20" ht="15.5" customHeight="1" spans="1:26">
      <c r="A20" s="109" t="s">
        <v>16</v>
      </c>
      <c r="B20" s="109"/>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row>
    <row r="21" ht="31" customHeight="1" spans="1:26">
      <c r="A21" s="111" t="s">
        <v>17</v>
      </c>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row>
    <row r="22" ht="15.5" customHeight="1" spans="1:26">
      <c r="A22" s="109" t="s">
        <v>18</v>
      </c>
      <c r="B22" s="109"/>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row>
    <row r="23" ht="15.5" customHeight="1" spans="1:26">
      <c r="A23" s="109" t="s">
        <v>19</v>
      </c>
      <c r="B23" s="109"/>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row>
    <row r="24" ht="15.5" customHeight="1" spans="1:26">
      <c r="A24" s="109" t="s">
        <v>20</v>
      </c>
      <c r="B24" s="109"/>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row>
    <row r="25" ht="15.5" customHeight="1" spans="1:26">
      <c r="A25" s="109" t="s">
        <v>21</v>
      </c>
      <c r="B25" s="109"/>
      <c r="C25" s="109" t="s">
        <v>22</v>
      </c>
      <c r="D25" s="109" t="s">
        <v>22</v>
      </c>
      <c r="E25" s="110"/>
      <c r="F25" s="110"/>
      <c r="G25" s="110"/>
      <c r="H25" s="110"/>
      <c r="I25" s="110"/>
      <c r="J25" s="110"/>
      <c r="K25" s="110"/>
      <c r="L25" s="110"/>
      <c r="M25" s="110"/>
      <c r="N25" s="110"/>
      <c r="O25" s="110"/>
      <c r="P25" s="110"/>
      <c r="Q25" s="110"/>
      <c r="R25" s="110"/>
      <c r="S25" s="110"/>
      <c r="T25" s="110"/>
      <c r="U25" s="110"/>
      <c r="V25" s="110"/>
      <c r="W25" s="110"/>
      <c r="X25" s="110"/>
      <c r="Y25" s="110"/>
      <c r="Z25" s="110"/>
    </row>
    <row r="26" ht="15.5" customHeight="1" spans="1:26">
      <c r="A26" s="109" t="s">
        <v>23</v>
      </c>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row>
    <row r="27" ht="15.5" customHeight="1" spans="1:26">
      <c r="A27" s="109" t="s">
        <v>24</v>
      </c>
      <c r="B27" s="109"/>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row>
    <row r="28" ht="15.5" customHeight="1" spans="1:26">
      <c r="A28" s="109" t="s">
        <v>25</v>
      </c>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row>
    <row r="29" ht="15.5" customHeight="1" spans="1:26">
      <c r="A29" s="109" t="s">
        <v>26</v>
      </c>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row>
    <row r="30" ht="15.5" customHeight="1" spans="1:26">
      <c r="A30" s="109" t="s">
        <v>27</v>
      </c>
      <c r="B30" s="109"/>
      <c r="C30" s="109" t="s">
        <v>22</v>
      </c>
      <c r="D30" s="110"/>
      <c r="E30" s="110"/>
      <c r="F30" s="110"/>
      <c r="G30" s="110"/>
      <c r="H30" s="110"/>
      <c r="I30" s="110"/>
      <c r="J30" s="110"/>
      <c r="K30" s="110"/>
      <c r="L30" s="110"/>
      <c r="M30" s="110"/>
      <c r="N30" s="110"/>
      <c r="O30" s="110"/>
      <c r="P30" s="110"/>
      <c r="Q30" s="110"/>
      <c r="R30" s="110"/>
      <c r="S30" s="110"/>
      <c r="T30" s="110"/>
      <c r="U30" s="110"/>
      <c r="V30" s="110"/>
      <c r="W30" s="110"/>
      <c r="X30" s="110"/>
      <c r="Y30" s="110"/>
      <c r="Z30" s="110"/>
    </row>
    <row r="31" ht="15.5" customHeight="1" spans="1:26">
      <c r="A31" s="114" t="s">
        <v>28</v>
      </c>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row>
    <row r="32" ht="31" customHeight="1" spans="1:26">
      <c r="A32" s="111" t="s">
        <v>29</v>
      </c>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row>
    <row r="33" ht="15.5" customHeight="1" spans="1:26">
      <c r="A33" s="109" t="s">
        <v>30</v>
      </c>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row>
    <row r="34" ht="15.5" customHeight="1" spans="1:26">
      <c r="A34" s="109" t="s">
        <v>31</v>
      </c>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row>
    <row r="35" ht="15.5" customHeight="1" spans="1:26">
      <c r="A35" s="109" t="s">
        <v>32</v>
      </c>
      <c r="B35" s="109"/>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row>
    <row r="36" ht="15.5" customHeight="1" spans="1:26">
      <c r="A36" s="109" t="s">
        <v>33</v>
      </c>
      <c r="B36" s="109"/>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row>
    <row r="37" ht="15.5" customHeight="1" spans="1:26">
      <c r="A37" s="114" t="s">
        <v>34</v>
      </c>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row>
    <row r="38" ht="15.5" customHeight="1" spans="1:26">
      <c r="A38" s="109" t="s">
        <v>35</v>
      </c>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row>
    <row r="39" ht="38.3" customHeight="1" spans="1:26">
      <c r="A39" s="111" t="s">
        <v>36</v>
      </c>
      <c r="B39" s="109"/>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row>
    <row r="40" ht="15.5" customHeight="1" spans="1:26">
      <c r="A40" s="111"/>
      <c r="B40" s="109"/>
      <c r="C40" s="110"/>
      <c r="D40" s="110"/>
      <c r="E40" s="110"/>
      <c r="F40" s="110"/>
      <c r="G40" s="110"/>
      <c r="H40" s="110"/>
      <c r="I40" s="110"/>
      <c r="J40" s="110"/>
      <c r="K40" s="110"/>
      <c r="L40" s="110"/>
      <c r="M40" s="110"/>
      <c r="N40" s="110"/>
      <c r="O40" s="110"/>
      <c r="P40" s="110"/>
      <c r="Q40" s="110"/>
      <c r="R40" s="110"/>
      <c r="S40" s="110"/>
      <c r="T40" s="110"/>
      <c r="U40" s="110"/>
      <c r="V40" s="110"/>
      <c r="W40" s="110"/>
      <c r="X40" s="110"/>
      <c r="Y40" s="110"/>
      <c r="Z40" s="110"/>
    </row>
    <row r="41" ht="15.5" customHeight="1" spans="1:26">
      <c r="A41" s="114" t="s">
        <v>37</v>
      </c>
      <c r="B41" s="115"/>
      <c r="C41" s="115"/>
      <c r="D41" s="115"/>
      <c r="E41" s="115"/>
      <c r="F41" s="115"/>
      <c r="G41" s="115"/>
      <c r="H41" s="115"/>
      <c r="I41" s="115"/>
      <c r="J41" s="115"/>
      <c r="K41" s="115"/>
      <c r="L41" s="115"/>
      <c r="M41" s="115"/>
      <c r="N41" s="115"/>
      <c r="O41" s="115"/>
      <c r="P41" s="115"/>
      <c r="Q41" s="115"/>
      <c r="R41" s="115"/>
      <c r="S41" s="115"/>
      <c r="T41" s="115"/>
      <c r="U41" s="115"/>
      <c r="V41" s="115"/>
      <c r="W41" s="115"/>
      <c r="X41" s="115"/>
      <c r="Y41" s="115"/>
      <c r="Z41" s="115"/>
    </row>
    <row r="42" ht="15.5" customHeight="1" spans="1:26">
      <c r="A42" s="109" t="s">
        <v>38</v>
      </c>
      <c r="B42" s="110"/>
      <c r="C42" s="110"/>
      <c r="D42" s="110"/>
      <c r="E42" s="110"/>
      <c r="F42" s="110"/>
      <c r="G42" s="110"/>
      <c r="H42" s="110"/>
      <c r="I42" s="110"/>
      <c r="J42" s="110"/>
      <c r="K42" s="110"/>
      <c r="L42" s="110"/>
      <c r="M42" s="110"/>
      <c r="N42" s="110"/>
      <c r="O42" s="110"/>
      <c r="P42" s="110"/>
      <c r="Q42" s="110"/>
      <c r="R42" s="110"/>
      <c r="S42" s="110"/>
      <c r="T42" s="110"/>
      <c r="U42" s="110"/>
      <c r="V42" s="110"/>
      <c r="W42" s="110"/>
      <c r="X42" s="110"/>
      <c r="Y42" s="110"/>
      <c r="Z42" s="110"/>
    </row>
    <row r="43" ht="15.5" customHeight="1" spans="1:26">
      <c r="A43" s="109" t="s">
        <v>39</v>
      </c>
      <c r="B43" s="110"/>
      <c r="C43" s="110"/>
      <c r="D43" s="110"/>
      <c r="E43" s="110"/>
      <c r="F43" s="110"/>
      <c r="G43" s="110"/>
      <c r="H43" s="110"/>
      <c r="I43" s="110"/>
      <c r="J43" s="110"/>
      <c r="K43" s="110"/>
      <c r="L43" s="110"/>
      <c r="M43" s="110"/>
      <c r="N43" s="110"/>
      <c r="O43" s="110"/>
      <c r="P43" s="110"/>
      <c r="Q43" s="110"/>
      <c r="R43" s="110"/>
      <c r="S43" s="110"/>
      <c r="T43" s="110"/>
      <c r="U43" s="110"/>
      <c r="V43" s="110"/>
      <c r="W43" s="110"/>
      <c r="X43" s="110"/>
      <c r="Y43" s="110"/>
      <c r="Z43" s="110"/>
    </row>
    <row r="44" ht="15.5" customHeight="1" spans="1:26">
      <c r="A44" s="109" t="s">
        <v>40</v>
      </c>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row>
    <row r="45" ht="15.5" customHeight="1" spans="1:26">
      <c r="A45" s="109" t="s">
        <v>41</v>
      </c>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row>
    <row r="46" ht="15.5" customHeight="1" spans="1:26">
      <c r="A46" s="109" t="s">
        <v>42</v>
      </c>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row>
    <row r="47" ht="15.5" customHeight="1" spans="1:26">
      <c r="A47" s="109" t="s">
        <v>43</v>
      </c>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row>
    <row r="48" ht="15.5" customHeight="1" spans="1:26">
      <c r="A48" s="109" t="s">
        <v>44</v>
      </c>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row>
    <row r="49" ht="15.5" customHeight="1" spans="1:26">
      <c r="A49" s="109"/>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row>
    <row r="50" ht="15.5" customHeight="1" spans="1:26">
      <c r="A50" s="110"/>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row>
    <row r="51" ht="15.5" customHeight="1" spans="1:26">
      <c r="A51" s="110"/>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row>
    <row r="52" ht="15.5" customHeight="1" spans="1:26">
      <c r="A52" s="110"/>
      <c r="B52" s="110"/>
      <c r="C52" s="110"/>
      <c r="D52" s="110"/>
      <c r="E52" s="110"/>
      <c r="F52" s="110"/>
      <c r="G52" s="110"/>
      <c r="H52" s="110"/>
      <c r="I52" s="110"/>
      <c r="J52" s="110"/>
      <c r="K52" s="110"/>
      <c r="L52" s="110"/>
      <c r="M52" s="110"/>
      <c r="N52" s="110"/>
      <c r="O52" s="110"/>
      <c r="P52" s="110"/>
      <c r="Q52" s="110"/>
      <c r="R52" s="110"/>
      <c r="S52" s="110"/>
      <c r="T52" s="110"/>
      <c r="U52" s="110"/>
      <c r="V52" s="110"/>
      <c r="W52" s="110"/>
      <c r="X52" s="110"/>
      <c r="Y52" s="110"/>
      <c r="Z52" s="110"/>
    </row>
    <row r="53" ht="15.5" customHeight="1"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c r="Y53" s="110"/>
      <c r="Z53" s="110"/>
    </row>
    <row r="54" ht="15.5" customHeight="1" spans="1:26">
      <c r="A54" s="110"/>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row>
    <row r="55" ht="15.5" customHeight="1"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c r="Y55" s="110"/>
      <c r="Z55" s="110"/>
    </row>
    <row r="56" ht="15.5" customHeight="1" spans="1:26">
      <c r="A56" s="110"/>
      <c r="B56" s="110"/>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row>
    <row r="57" ht="15.5" customHeight="1"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row>
    <row r="58" ht="15.5" customHeight="1" spans="1:26">
      <c r="A58" s="110"/>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row>
    <row r="59" ht="15.5" customHeight="1" spans="1:26">
      <c r="A59" s="110"/>
      <c r="B59" s="110"/>
      <c r="C59" s="110"/>
      <c r="D59" s="110"/>
      <c r="E59" s="110"/>
      <c r="F59" s="110"/>
      <c r="G59" s="110"/>
      <c r="H59" s="110"/>
      <c r="I59" s="110"/>
      <c r="J59" s="110"/>
      <c r="K59" s="110"/>
      <c r="L59" s="110"/>
      <c r="M59" s="110"/>
      <c r="N59" s="110"/>
      <c r="O59" s="110"/>
      <c r="P59" s="110"/>
      <c r="Q59" s="110"/>
      <c r="R59" s="110"/>
      <c r="S59" s="110"/>
      <c r="T59" s="110"/>
      <c r="U59" s="110"/>
      <c r="V59" s="110"/>
      <c r="W59" s="110"/>
      <c r="X59" s="110"/>
      <c r="Y59" s="110"/>
      <c r="Z59" s="110"/>
    </row>
    <row r="60" ht="15.5" customHeight="1" spans="1:26">
      <c r="A60" s="110"/>
      <c r="B60" s="110"/>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row>
    <row r="61" ht="15.5" customHeight="1" spans="1:26">
      <c r="A61" s="110"/>
      <c r="B61" s="110"/>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row>
    <row r="62" ht="15.5" customHeight="1" spans="1:26">
      <c r="A62" s="110"/>
      <c r="B62" s="110"/>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row>
    <row r="63" ht="15.5" customHeight="1" spans="1:26">
      <c r="A63" s="110"/>
      <c r="B63" s="110"/>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row>
    <row r="64" ht="15.5" customHeight="1" spans="1:26">
      <c r="A64" s="110"/>
      <c r="B64" s="110"/>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row>
    <row r="65" ht="15.5" customHeight="1" spans="1:26">
      <c r="A65" s="110"/>
      <c r="B65" s="110"/>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row>
    <row r="66" ht="15.5" customHeight="1" spans="1:26">
      <c r="A66" s="110"/>
      <c r="B66" s="110"/>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row>
    <row r="67" ht="15.5" customHeight="1" spans="1:26">
      <c r="A67" s="110"/>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row>
    <row r="68" ht="15.5" customHeight="1" spans="1:26">
      <c r="A68" s="110"/>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row>
    <row r="69" ht="15.5" customHeight="1" spans="1:26">
      <c r="A69" s="110"/>
      <c r="B69" s="110"/>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row>
    <row r="70" ht="15.5" customHeight="1" spans="1:26">
      <c r="A70" s="110"/>
      <c r="B70" s="110"/>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row>
    <row r="71" ht="15.5" customHeight="1" spans="1:26">
      <c r="A71" s="110"/>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row>
    <row r="72" ht="15.5" customHeight="1" spans="1:26">
      <c r="A72" s="110"/>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row>
    <row r="73" ht="15.5" customHeight="1" spans="1:26">
      <c r="A73" s="110"/>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row>
    <row r="74" ht="15.5" customHeight="1" spans="1:26">
      <c r="A74" s="110"/>
      <c r="B74" s="110"/>
      <c r="C74" s="110"/>
      <c r="D74" s="110"/>
      <c r="E74" s="110"/>
      <c r="F74" s="110"/>
      <c r="G74" s="110"/>
      <c r="H74" s="110"/>
      <c r="I74" s="110"/>
      <c r="J74" s="110"/>
      <c r="K74" s="110"/>
      <c r="L74" s="110"/>
      <c r="M74" s="110"/>
      <c r="N74" s="110"/>
      <c r="O74" s="110"/>
      <c r="P74" s="110"/>
      <c r="Q74" s="110"/>
      <c r="R74" s="110"/>
      <c r="S74" s="110"/>
      <c r="T74" s="110"/>
      <c r="U74" s="110"/>
      <c r="V74" s="110"/>
      <c r="W74" s="110"/>
      <c r="X74" s="110"/>
      <c r="Y74" s="110"/>
      <c r="Z74" s="110"/>
    </row>
    <row r="75" ht="15.5" customHeight="1" spans="1:26">
      <c r="A75" s="110"/>
      <c r="B75" s="110"/>
      <c r="C75" s="110"/>
      <c r="D75" s="110"/>
      <c r="E75" s="110"/>
      <c r="F75" s="110"/>
      <c r="G75" s="110"/>
      <c r="H75" s="110"/>
      <c r="I75" s="110"/>
      <c r="J75" s="110"/>
      <c r="K75" s="110"/>
      <c r="L75" s="110"/>
      <c r="M75" s="110"/>
      <c r="N75" s="110"/>
      <c r="O75" s="110"/>
      <c r="P75" s="110"/>
      <c r="Q75" s="110"/>
      <c r="R75" s="110"/>
      <c r="S75" s="110"/>
      <c r="T75" s="110"/>
      <c r="U75" s="110"/>
      <c r="V75" s="110"/>
      <c r="W75" s="110"/>
      <c r="X75" s="110"/>
      <c r="Y75" s="110"/>
      <c r="Z75" s="110"/>
    </row>
    <row r="76" ht="15.5" customHeight="1" spans="1:26">
      <c r="A76" s="110"/>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row>
    <row r="77" ht="15.5" customHeight="1" spans="1:26">
      <c r="A77" s="110"/>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row>
    <row r="78" ht="15.5" customHeight="1" spans="1:26">
      <c r="A78" s="110"/>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row>
    <row r="79" ht="15.5" customHeight="1" spans="1:26">
      <c r="A79" s="110"/>
      <c r="B79" s="110"/>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row>
    <row r="80" ht="15.5" customHeight="1" spans="1:26">
      <c r="A80" s="110"/>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row>
    <row r="81" ht="15.5" customHeight="1" spans="1:26">
      <c r="A81" s="110"/>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row>
    <row r="82" ht="15.5" customHeight="1"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row>
    <row r="83" ht="15.5" customHeight="1" spans="1:26">
      <c r="A83" s="110"/>
      <c r="B83" s="110"/>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row>
    <row r="84" ht="15.5" customHeight="1" spans="1:26">
      <c r="A84" s="110"/>
      <c r="B84" s="110"/>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row>
    <row r="85" ht="15.5" customHeight="1" spans="1:26">
      <c r="A85" s="110"/>
      <c r="B85" s="110"/>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row>
    <row r="86" ht="15.5" customHeight="1" spans="1:26">
      <c r="A86" s="110"/>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row>
    <row r="87" ht="15.5" customHeight="1" spans="1:26">
      <c r="A87" s="110"/>
      <c r="B87" s="110"/>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row>
    <row r="88" ht="15.5" customHeight="1" spans="1:26">
      <c r="A88" s="110"/>
      <c r="B88" s="110"/>
      <c r="C88" s="110"/>
      <c r="D88" s="110"/>
      <c r="E88" s="110"/>
      <c r="F88" s="110"/>
      <c r="G88" s="110"/>
      <c r="H88" s="110"/>
      <c r="I88" s="110"/>
      <c r="J88" s="110"/>
      <c r="K88" s="110"/>
      <c r="L88" s="110"/>
      <c r="M88" s="110"/>
      <c r="N88" s="110"/>
      <c r="O88" s="110"/>
      <c r="P88" s="110"/>
      <c r="Q88" s="110"/>
      <c r="R88" s="110"/>
      <c r="S88" s="110"/>
      <c r="T88" s="110"/>
      <c r="U88" s="110"/>
      <c r="V88" s="110"/>
      <c r="W88" s="110"/>
      <c r="X88" s="110"/>
      <c r="Y88" s="110"/>
      <c r="Z88" s="110"/>
    </row>
    <row r="89" ht="15.5" customHeight="1" spans="1:26">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c r="Z89" s="110"/>
    </row>
    <row r="90" ht="15.5" customHeight="1" spans="1:26">
      <c r="A90" s="110"/>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row>
    <row r="91" ht="15.5" customHeight="1" spans="1:26">
      <c r="A91" s="110"/>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row>
    <row r="92" ht="15.5" customHeight="1" spans="1:26">
      <c r="A92" s="110"/>
      <c r="B92" s="110"/>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row>
    <row r="93" ht="15.5" customHeight="1" spans="1:26">
      <c r="A93" s="110"/>
      <c r="B93" s="110"/>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row>
    <row r="94" ht="15.5" customHeight="1" spans="1:26">
      <c r="A94" s="110"/>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row>
    <row r="95" ht="15.5" customHeight="1" spans="1:26">
      <c r="A95" s="110"/>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row>
    <row r="96" ht="15.5" customHeight="1" spans="1:26">
      <c r="A96" s="110"/>
      <c r="B96" s="110"/>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row>
    <row r="97" ht="15.5" customHeight="1" spans="1:26">
      <c r="A97" s="110"/>
      <c r="B97" s="110"/>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row>
    <row r="98" ht="15.5" customHeight="1" spans="1:26">
      <c r="A98" s="110"/>
      <c r="B98" s="110"/>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row>
    <row r="99" ht="15.5" customHeight="1" spans="1:26">
      <c r="A99" s="110"/>
      <c r="B99" s="110"/>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row>
    <row r="100" ht="15.5" customHeight="1" spans="1:26">
      <c r="A100" s="110"/>
      <c r="B100" s="110"/>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row>
    <row r="101" ht="15.5" customHeight="1" spans="1:26">
      <c r="A101" s="110"/>
      <c r="B101" s="110"/>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row>
    <row r="102" ht="15.5" customHeight="1" spans="1:26">
      <c r="A102" s="110"/>
      <c r="B102" s="110"/>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row>
    <row r="103" ht="15.5" customHeight="1" spans="1:26">
      <c r="A103" s="110"/>
      <c r="B103" s="110"/>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row>
    <row r="104" ht="15.5" customHeight="1" spans="1:26">
      <c r="A104" s="110"/>
      <c r="B104" s="110"/>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row>
    <row r="105" ht="15.5" customHeight="1" spans="1:26">
      <c r="A105" s="110"/>
      <c r="B105" s="110"/>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row>
    <row r="106" ht="15.5" customHeight="1" spans="1:26">
      <c r="A106" s="110"/>
      <c r="B106" s="110"/>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row>
    <row r="107" ht="15.5" customHeight="1" spans="1:26">
      <c r="A107" s="110"/>
      <c r="B107" s="110"/>
      <c r="C107" s="110"/>
      <c r="D107" s="110"/>
      <c r="E107" s="110"/>
      <c r="F107" s="110"/>
      <c r="G107" s="110"/>
      <c r="H107" s="110"/>
      <c r="I107" s="110"/>
      <c r="J107" s="110"/>
      <c r="K107" s="110"/>
      <c r="L107" s="110"/>
      <c r="M107" s="110"/>
      <c r="N107" s="110"/>
      <c r="O107" s="110"/>
      <c r="P107" s="110"/>
      <c r="Q107" s="110"/>
      <c r="R107" s="110"/>
      <c r="S107" s="110"/>
      <c r="T107" s="110"/>
      <c r="U107" s="110"/>
      <c r="V107" s="110"/>
      <c r="W107" s="110"/>
      <c r="X107" s="110"/>
      <c r="Y107" s="110"/>
      <c r="Z107" s="110"/>
    </row>
    <row r="108" ht="15.5" customHeight="1" spans="1:26">
      <c r="A108" s="110"/>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row>
    <row r="109" ht="15.5" customHeight="1" spans="1:26">
      <c r="A109" s="110"/>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row>
    <row r="110" ht="15.5" customHeight="1" spans="1:26">
      <c r="A110" s="110"/>
      <c r="B110" s="110"/>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row>
    <row r="111" ht="15.5" customHeight="1" spans="1:26">
      <c r="A111" s="110"/>
      <c r="B111" s="110"/>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row>
    <row r="112" ht="15.5" customHeight="1" spans="1:26">
      <c r="A112" s="110"/>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row>
    <row r="113" ht="15.5" customHeight="1" spans="1:26">
      <c r="A113" s="110"/>
      <c r="B113" s="110"/>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row>
    <row r="114" ht="15.5" customHeight="1" spans="1:26">
      <c r="A114" s="110"/>
      <c r="B114" s="110"/>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row>
    <row r="115" ht="15.5" customHeight="1" spans="1:26">
      <c r="A115" s="110"/>
      <c r="B115" s="110"/>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row>
    <row r="116" ht="15.5" customHeight="1" spans="1:26">
      <c r="A116" s="110"/>
      <c r="B116" s="110"/>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row>
    <row r="117" ht="15.5" customHeight="1" spans="1:26">
      <c r="A117" s="110"/>
      <c r="B117" s="110"/>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row>
    <row r="118" ht="15.5" customHeight="1" spans="1:26">
      <c r="A118" s="110"/>
      <c r="B118" s="110"/>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row>
    <row r="119" ht="15.5" customHeight="1" spans="1:26">
      <c r="A119" s="110"/>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row>
    <row r="120" ht="15.5" customHeight="1" spans="1:26">
      <c r="A120" s="110"/>
      <c r="B120" s="110"/>
      <c r="C120" s="110"/>
      <c r="D120" s="110"/>
      <c r="E120" s="110"/>
      <c r="F120" s="110"/>
      <c r="G120" s="110"/>
      <c r="H120" s="110"/>
      <c r="I120" s="110"/>
      <c r="J120" s="110"/>
      <c r="K120" s="110"/>
      <c r="L120" s="110"/>
      <c r="M120" s="110"/>
      <c r="N120" s="110"/>
      <c r="O120" s="110"/>
      <c r="P120" s="110"/>
      <c r="Q120" s="110"/>
      <c r="R120" s="110"/>
      <c r="S120" s="110"/>
      <c r="T120" s="110"/>
      <c r="U120" s="110"/>
      <c r="V120" s="110"/>
      <c r="W120" s="110"/>
      <c r="X120" s="110"/>
      <c r="Y120" s="110"/>
      <c r="Z120" s="110"/>
    </row>
    <row r="121" ht="15.5" customHeight="1" spans="1:26">
      <c r="A121" s="110"/>
      <c r="B121" s="110"/>
      <c r="C121" s="110"/>
      <c r="D121" s="110"/>
      <c r="E121" s="110"/>
      <c r="F121" s="110"/>
      <c r="G121" s="110"/>
      <c r="H121" s="110"/>
      <c r="I121" s="110"/>
      <c r="J121" s="110"/>
      <c r="K121" s="110"/>
      <c r="L121" s="110"/>
      <c r="M121" s="110"/>
      <c r="N121" s="110"/>
      <c r="O121" s="110"/>
      <c r="P121" s="110"/>
      <c r="Q121" s="110"/>
      <c r="R121" s="110"/>
      <c r="S121" s="110"/>
      <c r="T121" s="110"/>
      <c r="U121" s="110"/>
      <c r="V121" s="110"/>
      <c r="W121" s="110"/>
      <c r="X121" s="110"/>
      <c r="Y121" s="110"/>
      <c r="Z121" s="110"/>
    </row>
    <row r="122" ht="15.5" customHeight="1" spans="1:26">
      <c r="A122" s="110"/>
      <c r="B122" s="110"/>
      <c r="C122" s="110"/>
      <c r="D122" s="110"/>
      <c r="E122" s="110"/>
      <c r="F122" s="110"/>
      <c r="G122" s="110"/>
      <c r="H122" s="110"/>
      <c r="I122" s="110"/>
      <c r="J122" s="110"/>
      <c r="K122" s="110"/>
      <c r="L122" s="110"/>
      <c r="M122" s="110"/>
      <c r="N122" s="110"/>
      <c r="O122" s="110"/>
      <c r="P122" s="110"/>
      <c r="Q122" s="110"/>
      <c r="R122" s="110"/>
      <c r="S122" s="110"/>
      <c r="T122" s="110"/>
      <c r="U122" s="110"/>
      <c r="V122" s="110"/>
      <c r="W122" s="110"/>
      <c r="X122" s="110"/>
      <c r="Y122" s="110"/>
      <c r="Z122" s="110"/>
    </row>
    <row r="123" ht="15.5" customHeight="1" spans="1:26">
      <c r="A123" s="110"/>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row>
    <row r="124" ht="15.5" customHeight="1" spans="1:26">
      <c r="A124" s="110"/>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row>
    <row r="125" ht="15.5" customHeight="1" spans="1:26">
      <c r="A125" s="110"/>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row>
    <row r="126" ht="15.5" customHeight="1" spans="1:26">
      <c r="A126" s="110"/>
      <c r="B126" s="110"/>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row>
    <row r="127" ht="15.5" customHeight="1" spans="1:26">
      <c r="A127" s="110"/>
      <c r="B127" s="110"/>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row>
    <row r="128" ht="15.5" customHeight="1" spans="1:26">
      <c r="A128" s="110"/>
      <c r="B128" s="110"/>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row>
    <row r="129" ht="15.5" customHeight="1" spans="1:26">
      <c r="A129" s="110"/>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row>
    <row r="130" ht="15.5" customHeight="1" spans="1:26">
      <c r="A130" s="110"/>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row>
    <row r="131" ht="15.5" customHeight="1" spans="1:26">
      <c r="A131" s="110"/>
      <c r="B131" s="110"/>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row>
    <row r="132" ht="15.5" customHeight="1" spans="1:26">
      <c r="A132" s="110"/>
      <c r="B132" s="110"/>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row>
    <row r="133" ht="15.5" customHeight="1" spans="1:26">
      <c r="A133" s="110"/>
      <c r="B133" s="110"/>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row>
    <row r="134" ht="15.5" customHeight="1" spans="1:26">
      <c r="A134" s="110"/>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row>
    <row r="135" ht="15.5" customHeight="1" spans="1:26">
      <c r="A135" s="110"/>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row>
    <row r="136" ht="15.5" customHeight="1" spans="1:26">
      <c r="A136" s="110"/>
      <c r="B136" s="110"/>
      <c r="C136" s="110"/>
      <c r="D136" s="110"/>
      <c r="E136" s="110"/>
      <c r="F136" s="110"/>
      <c r="G136" s="110"/>
      <c r="H136" s="110"/>
      <c r="I136" s="110"/>
      <c r="J136" s="110"/>
      <c r="K136" s="110"/>
      <c r="L136" s="110"/>
      <c r="M136" s="110"/>
      <c r="N136" s="110"/>
      <c r="O136" s="110"/>
      <c r="P136" s="110"/>
      <c r="Q136" s="110"/>
      <c r="R136" s="110"/>
      <c r="S136" s="110"/>
      <c r="T136" s="110"/>
      <c r="U136" s="110"/>
      <c r="V136" s="110"/>
      <c r="W136" s="110"/>
      <c r="X136" s="110"/>
      <c r="Y136" s="110"/>
      <c r="Z136" s="110"/>
    </row>
    <row r="137" ht="15.5" customHeight="1" spans="1:26">
      <c r="A137" s="110"/>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row>
    <row r="138" ht="15.5" customHeight="1" spans="1:26">
      <c r="A138" s="110"/>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row>
    <row r="139" ht="15.5" customHeight="1" spans="1:26">
      <c r="A139" s="110"/>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row>
    <row r="140" ht="15.5" customHeight="1" spans="1:26">
      <c r="A140" s="110"/>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row>
    <row r="141" ht="15.5" customHeight="1" spans="1:26">
      <c r="A141" s="110"/>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row>
    <row r="142" ht="15.5" customHeight="1" spans="1:26">
      <c r="A142" s="110"/>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row>
    <row r="143" ht="15.5" customHeight="1" spans="1:26">
      <c r="A143" s="110"/>
      <c r="B143" s="110"/>
      <c r="C143" s="110"/>
      <c r="D143" s="110"/>
      <c r="E143" s="110"/>
      <c r="F143" s="110"/>
      <c r="G143" s="110"/>
      <c r="H143" s="110"/>
      <c r="I143" s="110"/>
      <c r="J143" s="110"/>
      <c r="K143" s="110"/>
      <c r="L143" s="110"/>
      <c r="M143" s="110"/>
      <c r="N143" s="110"/>
      <c r="O143" s="110"/>
      <c r="P143" s="110"/>
      <c r="Q143" s="110"/>
      <c r="R143" s="110"/>
      <c r="S143" s="110"/>
      <c r="T143" s="110"/>
      <c r="U143" s="110"/>
      <c r="V143" s="110"/>
      <c r="W143" s="110"/>
      <c r="X143" s="110"/>
      <c r="Y143" s="110"/>
      <c r="Z143" s="110"/>
    </row>
    <row r="144" ht="15.5" customHeight="1" spans="1:26">
      <c r="A144" s="110"/>
      <c r="B144" s="110"/>
      <c r="C144" s="110"/>
      <c r="D144" s="110"/>
      <c r="E144" s="110"/>
      <c r="F144" s="110"/>
      <c r="G144" s="110"/>
      <c r="H144" s="110"/>
      <c r="I144" s="110"/>
      <c r="J144" s="110"/>
      <c r="K144" s="110"/>
      <c r="L144" s="110"/>
      <c r="M144" s="110"/>
      <c r="N144" s="110"/>
      <c r="O144" s="110"/>
      <c r="P144" s="110"/>
      <c r="Q144" s="110"/>
      <c r="R144" s="110"/>
      <c r="S144" s="110"/>
      <c r="T144" s="110"/>
      <c r="U144" s="110"/>
      <c r="V144" s="110"/>
      <c r="W144" s="110"/>
      <c r="X144" s="110"/>
      <c r="Y144" s="110"/>
      <c r="Z144" s="110"/>
    </row>
    <row r="145" ht="15.5" customHeight="1" spans="1:26">
      <c r="A145" s="110"/>
      <c r="B145" s="110"/>
      <c r="C145" s="110"/>
      <c r="D145" s="110"/>
      <c r="E145" s="110"/>
      <c r="F145" s="110"/>
      <c r="G145" s="110"/>
      <c r="H145" s="110"/>
      <c r="I145" s="110"/>
      <c r="J145" s="110"/>
      <c r="K145" s="110"/>
      <c r="L145" s="110"/>
      <c r="M145" s="110"/>
      <c r="N145" s="110"/>
      <c r="O145" s="110"/>
      <c r="P145" s="110"/>
      <c r="Q145" s="110"/>
      <c r="R145" s="110"/>
      <c r="S145" s="110"/>
      <c r="T145" s="110"/>
      <c r="U145" s="110"/>
      <c r="V145" s="110"/>
      <c r="W145" s="110"/>
      <c r="X145" s="110"/>
      <c r="Y145" s="110"/>
      <c r="Z145" s="110"/>
    </row>
    <row r="146" ht="15.5" customHeight="1" spans="1:26">
      <c r="A146" s="110"/>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row>
    <row r="147" ht="15.5" customHeight="1" spans="1:26">
      <c r="A147" s="110"/>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row>
    <row r="148" ht="15.5" customHeight="1" spans="1:26">
      <c r="A148" s="110"/>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row>
    <row r="149" ht="15.5" customHeight="1" spans="1:26">
      <c r="A149" s="110"/>
      <c r="B149" s="110"/>
      <c r="C149" s="110"/>
      <c r="D149" s="110"/>
      <c r="E149" s="110"/>
      <c r="F149" s="110"/>
      <c r="G149" s="110"/>
      <c r="H149" s="110"/>
      <c r="I149" s="110"/>
      <c r="J149" s="110"/>
      <c r="K149" s="110"/>
      <c r="L149" s="110"/>
      <c r="M149" s="110"/>
      <c r="N149" s="110"/>
      <c r="O149" s="110"/>
      <c r="P149" s="110"/>
      <c r="Q149" s="110"/>
      <c r="R149" s="110"/>
      <c r="S149" s="110"/>
      <c r="T149" s="110"/>
      <c r="U149" s="110"/>
      <c r="V149" s="110"/>
      <c r="W149" s="110"/>
      <c r="X149" s="110"/>
      <c r="Y149" s="110"/>
      <c r="Z149" s="110"/>
    </row>
    <row r="150" ht="15.5" customHeight="1" spans="1:26">
      <c r="A150" s="110"/>
      <c r="B150" s="110"/>
      <c r="C150" s="110"/>
      <c r="D150" s="110"/>
      <c r="E150" s="110"/>
      <c r="F150" s="110"/>
      <c r="G150" s="110"/>
      <c r="H150" s="110"/>
      <c r="I150" s="110"/>
      <c r="J150" s="110"/>
      <c r="K150" s="110"/>
      <c r="L150" s="110"/>
      <c r="M150" s="110"/>
      <c r="N150" s="110"/>
      <c r="O150" s="110"/>
      <c r="P150" s="110"/>
      <c r="Q150" s="110"/>
      <c r="R150" s="110"/>
      <c r="S150" s="110"/>
      <c r="T150" s="110"/>
      <c r="U150" s="110"/>
      <c r="V150" s="110"/>
      <c r="W150" s="110"/>
      <c r="X150" s="110"/>
      <c r="Y150" s="110"/>
      <c r="Z150" s="110"/>
    </row>
    <row r="151" ht="15.5" customHeight="1" spans="1:26">
      <c r="A151" s="110"/>
      <c r="B151" s="110"/>
      <c r="C151" s="110"/>
      <c r="D151" s="110"/>
      <c r="E151" s="110"/>
      <c r="F151" s="110"/>
      <c r="G151" s="110"/>
      <c r="H151" s="110"/>
      <c r="I151" s="110"/>
      <c r="J151" s="110"/>
      <c r="K151" s="110"/>
      <c r="L151" s="110"/>
      <c r="M151" s="110"/>
      <c r="N151" s="110"/>
      <c r="O151" s="110"/>
      <c r="P151" s="110"/>
      <c r="Q151" s="110"/>
      <c r="R151" s="110"/>
      <c r="S151" s="110"/>
      <c r="T151" s="110"/>
      <c r="U151" s="110"/>
      <c r="V151" s="110"/>
      <c r="W151" s="110"/>
      <c r="X151" s="110"/>
      <c r="Y151" s="110"/>
      <c r="Z151" s="110"/>
    </row>
    <row r="152" ht="15.5" customHeight="1" spans="1:26">
      <c r="A152" s="110"/>
      <c r="B152" s="110"/>
      <c r="C152" s="110"/>
      <c r="D152" s="110"/>
      <c r="E152" s="110"/>
      <c r="F152" s="110"/>
      <c r="G152" s="110"/>
      <c r="H152" s="110"/>
      <c r="I152" s="110"/>
      <c r="J152" s="110"/>
      <c r="K152" s="110"/>
      <c r="L152" s="110"/>
      <c r="M152" s="110"/>
      <c r="N152" s="110"/>
      <c r="O152" s="110"/>
      <c r="P152" s="110"/>
      <c r="Q152" s="110"/>
      <c r="R152" s="110"/>
      <c r="S152" s="110"/>
      <c r="T152" s="110"/>
      <c r="U152" s="110"/>
      <c r="V152" s="110"/>
      <c r="W152" s="110"/>
      <c r="X152" s="110"/>
      <c r="Y152" s="110"/>
      <c r="Z152" s="110"/>
    </row>
    <row r="153" ht="15.5" customHeight="1" spans="1:26">
      <c r="A153" s="110"/>
      <c r="B153" s="110"/>
      <c r="C153" s="110"/>
      <c r="D153" s="110"/>
      <c r="E153" s="110"/>
      <c r="F153" s="110"/>
      <c r="G153" s="110"/>
      <c r="H153" s="110"/>
      <c r="I153" s="110"/>
      <c r="J153" s="110"/>
      <c r="K153" s="110"/>
      <c r="L153" s="110"/>
      <c r="M153" s="110"/>
      <c r="N153" s="110"/>
      <c r="O153" s="110"/>
      <c r="P153" s="110"/>
      <c r="Q153" s="110"/>
      <c r="R153" s="110"/>
      <c r="S153" s="110"/>
      <c r="T153" s="110"/>
      <c r="U153" s="110"/>
      <c r="V153" s="110"/>
      <c r="W153" s="110"/>
      <c r="X153" s="110"/>
      <c r="Y153" s="110"/>
      <c r="Z153" s="110"/>
    </row>
    <row r="154" ht="15.5" customHeight="1" spans="1:26">
      <c r="A154" s="110"/>
      <c r="B154" s="110"/>
      <c r="C154" s="110"/>
      <c r="D154" s="110"/>
      <c r="E154" s="110"/>
      <c r="F154" s="110"/>
      <c r="G154" s="110"/>
      <c r="H154" s="110"/>
      <c r="I154" s="110"/>
      <c r="J154" s="110"/>
      <c r="K154" s="110"/>
      <c r="L154" s="110"/>
      <c r="M154" s="110"/>
      <c r="N154" s="110"/>
      <c r="O154" s="110"/>
      <c r="P154" s="110"/>
      <c r="Q154" s="110"/>
      <c r="R154" s="110"/>
      <c r="S154" s="110"/>
      <c r="T154" s="110"/>
      <c r="U154" s="110"/>
      <c r="V154" s="110"/>
      <c r="W154" s="110"/>
      <c r="X154" s="110"/>
      <c r="Y154" s="110"/>
      <c r="Z154" s="110"/>
    </row>
    <row r="155" ht="15.5" customHeight="1" spans="1:26">
      <c r="A155" s="110"/>
      <c r="B155" s="110"/>
      <c r="C155" s="110"/>
      <c r="D155" s="110"/>
      <c r="E155" s="110"/>
      <c r="F155" s="110"/>
      <c r="G155" s="110"/>
      <c r="H155" s="110"/>
      <c r="I155" s="110"/>
      <c r="J155" s="110"/>
      <c r="K155" s="110"/>
      <c r="L155" s="110"/>
      <c r="M155" s="110"/>
      <c r="N155" s="110"/>
      <c r="O155" s="110"/>
      <c r="P155" s="110"/>
      <c r="Q155" s="110"/>
      <c r="R155" s="110"/>
      <c r="S155" s="110"/>
      <c r="T155" s="110"/>
      <c r="U155" s="110"/>
      <c r="V155" s="110"/>
      <c r="W155" s="110"/>
      <c r="X155" s="110"/>
      <c r="Y155" s="110"/>
      <c r="Z155" s="110"/>
    </row>
    <row r="156" ht="15.5" customHeight="1" spans="1:26">
      <c r="A156" s="110"/>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row>
    <row r="157" ht="15.5" customHeight="1" spans="1:26">
      <c r="A157" s="110"/>
      <c r="B157" s="110"/>
      <c r="C157" s="110"/>
      <c r="D157" s="110"/>
      <c r="E157" s="110"/>
      <c r="F157" s="110"/>
      <c r="G157" s="110"/>
      <c r="H157" s="110"/>
      <c r="I157" s="110"/>
      <c r="J157" s="110"/>
      <c r="K157" s="110"/>
      <c r="L157" s="110"/>
      <c r="M157" s="110"/>
      <c r="N157" s="110"/>
      <c r="O157" s="110"/>
      <c r="P157" s="110"/>
      <c r="Q157" s="110"/>
      <c r="R157" s="110"/>
      <c r="S157" s="110"/>
      <c r="T157" s="110"/>
      <c r="U157" s="110"/>
      <c r="V157" s="110"/>
      <c r="W157" s="110"/>
      <c r="X157" s="110"/>
      <c r="Y157" s="110"/>
      <c r="Z157" s="110"/>
    </row>
    <row r="158" ht="15.5" customHeight="1" spans="1:26">
      <c r="A158" s="110"/>
      <c r="B158" s="110"/>
      <c r="C158" s="110"/>
      <c r="D158" s="110"/>
      <c r="E158" s="110"/>
      <c r="F158" s="110"/>
      <c r="G158" s="110"/>
      <c r="H158" s="110"/>
      <c r="I158" s="110"/>
      <c r="J158" s="110"/>
      <c r="K158" s="110"/>
      <c r="L158" s="110"/>
      <c r="M158" s="110"/>
      <c r="N158" s="110"/>
      <c r="O158" s="110"/>
      <c r="P158" s="110"/>
      <c r="Q158" s="110"/>
      <c r="R158" s="110"/>
      <c r="S158" s="110"/>
      <c r="T158" s="110"/>
      <c r="U158" s="110"/>
      <c r="V158" s="110"/>
      <c r="W158" s="110"/>
      <c r="X158" s="110"/>
      <c r="Y158" s="110"/>
      <c r="Z158" s="110"/>
    </row>
    <row r="159" ht="15.5" customHeight="1" spans="1:26">
      <c r="A159" s="110"/>
      <c r="B159" s="110"/>
      <c r="C159" s="110"/>
      <c r="D159" s="110"/>
      <c r="E159" s="110"/>
      <c r="F159" s="110"/>
      <c r="G159" s="110"/>
      <c r="H159" s="110"/>
      <c r="I159" s="110"/>
      <c r="J159" s="110"/>
      <c r="K159" s="110"/>
      <c r="L159" s="110"/>
      <c r="M159" s="110"/>
      <c r="N159" s="110"/>
      <c r="O159" s="110"/>
      <c r="P159" s="110"/>
      <c r="Q159" s="110"/>
      <c r="R159" s="110"/>
      <c r="S159" s="110"/>
      <c r="T159" s="110"/>
      <c r="U159" s="110"/>
      <c r="V159" s="110"/>
      <c r="W159" s="110"/>
      <c r="X159" s="110"/>
      <c r="Y159" s="110"/>
      <c r="Z159" s="110"/>
    </row>
    <row r="160" ht="15.5" customHeight="1" spans="1:26">
      <c r="A160" s="110"/>
      <c r="B160" s="110"/>
      <c r="C160" s="110"/>
      <c r="D160" s="110"/>
      <c r="E160" s="110"/>
      <c r="F160" s="110"/>
      <c r="G160" s="110"/>
      <c r="H160" s="110"/>
      <c r="I160" s="110"/>
      <c r="J160" s="110"/>
      <c r="K160" s="110"/>
      <c r="L160" s="110"/>
      <c r="M160" s="110"/>
      <c r="N160" s="110"/>
      <c r="O160" s="110"/>
      <c r="P160" s="110"/>
      <c r="Q160" s="110"/>
      <c r="R160" s="110"/>
      <c r="S160" s="110"/>
      <c r="T160" s="110"/>
      <c r="U160" s="110"/>
      <c r="V160" s="110"/>
      <c r="W160" s="110"/>
      <c r="X160" s="110"/>
      <c r="Y160" s="110"/>
      <c r="Z160" s="110"/>
    </row>
    <row r="161" ht="15.5" customHeight="1" spans="1:26">
      <c r="A161" s="110"/>
      <c r="B161" s="110"/>
      <c r="C161" s="110"/>
      <c r="D161" s="110"/>
      <c r="E161" s="110"/>
      <c r="F161" s="110"/>
      <c r="G161" s="110"/>
      <c r="H161" s="110"/>
      <c r="I161" s="110"/>
      <c r="J161" s="110"/>
      <c r="K161" s="110"/>
      <c r="L161" s="110"/>
      <c r="M161" s="110"/>
      <c r="N161" s="110"/>
      <c r="O161" s="110"/>
      <c r="P161" s="110"/>
      <c r="Q161" s="110"/>
      <c r="R161" s="110"/>
      <c r="S161" s="110"/>
      <c r="T161" s="110"/>
      <c r="U161" s="110"/>
      <c r="V161" s="110"/>
      <c r="W161" s="110"/>
      <c r="X161" s="110"/>
      <c r="Y161" s="110"/>
      <c r="Z161" s="110"/>
    </row>
    <row r="162" ht="15.5" customHeight="1" spans="1:26">
      <c r="A162" s="110"/>
      <c r="B162" s="110"/>
      <c r="C162" s="110"/>
      <c r="D162" s="110"/>
      <c r="E162" s="110"/>
      <c r="F162" s="110"/>
      <c r="G162" s="110"/>
      <c r="H162" s="110"/>
      <c r="I162" s="110"/>
      <c r="J162" s="110"/>
      <c r="K162" s="110"/>
      <c r="L162" s="110"/>
      <c r="M162" s="110"/>
      <c r="N162" s="110"/>
      <c r="O162" s="110"/>
      <c r="P162" s="110"/>
      <c r="Q162" s="110"/>
      <c r="R162" s="110"/>
      <c r="S162" s="110"/>
      <c r="T162" s="110"/>
      <c r="U162" s="110"/>
      <c r="V162" s="110"/>
      <c r="W162" s="110"/>
      <c r="X162" s="110"/>
      <c r="Y162" s="110"/>
      <c r="Z162" s="110"/>
    </row>
    <row r="163" ht="15.5" customHeight="1" spans="1:26">
      <c r="A163" s="110"/>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row>
    <row r="164" ht="15.5" customHeight="1" spans="1:26">
      <c r="A164" s="110"/>
      <c r="B164" s="110"/>
      <c r="C164" s="110"/>
      <c r="D164" s="110"/>
      <c r="E164" s="110"/>
      <c r="F164" s="110"/>
      <c r="G164" s="110"/>
      <c r="H164" s="110"/>
      <c r="I164" s="110"/>
      <c r="J164" s="110"/>
      <c r="K164" s="110"/>
      <c r="L164" s="110"/>
      <c r="M164" s="110"/>
      <c r="N164" s="110"/>
      <c r="O164" s="110"/>
      <c r="P164" s="110"/>
      <c r="Q164" s="110"/>
      <c r="R164" s="110"/>
      <c r="S164" s="110"/>
      <c r="T164" s="110"/>
      <c r="U164" s="110"/>
      <c r="V164" s="110"/>
      <c r="W164" s="110"/>
      <c r="X164" s="110"/>
      <c r="Y164" s="110"/>
      <c r="Z164" s="110"/>
    </row>
    <row r="165" ht="15.5" customHeight="1" spans="1:26">
      <c r="A165" s="110"/>
      <c r="B165" s="110"/>
      <c r="C165" s="110"/>
      <c r="D165" s="110"/>
      <c r="E165" s="110"/>
      <c r="F165" s="110"/>
      <c r="G165" s="110"/>
      <c r="H165" s="110"/>
      <c r="I165" s="110"/>
      <c r="J165" s="110"/>
      <c r="K165" s="110"/>
      <c r="L165" s="110"/>
      <c r="M165" s="110"/>
      <c r="N165" s="110"/>
      <c r="O165" s="110"/>
      <c r="P165" s="110"/>
      <c r="Q165" s="110"/>
      <c r="R165" s="110"/>
      <c r="S165" s="110"/>
      <c r="T165" s="110"/>
      <c r="U165" s="110"/>
      <c r="V165" s="110"/>
      <c r="W165" s="110"/>
      <c r="X165" s="110"/>
      <c r="Y165" s="110"/>
      <c r="Z165" s="110"/>
    </row>
    <row r="166" ht="15.5" customHeight="1" spans="1:26">
      <c r="A166" s="110"/>
      <c r="B166" s="110"/>
      <c r="C166" s="110"/>
      <c r="D166" s="110"/>
      <c r="E166" s="110"/>
      <c r="F166" s="110"/>
      <c r="G166" s="110"/>
      <c r="H166" s="110"/>
      <c r="I166" s="110"/>
      <c r="J166" s="110"/>
      <c r="K166" s="110"/>
      <c r="L166" s="110"/>
      <c r="M166" s="110"/>
      <c r="N166" s="110"/>
      <c r="O166" s="110"/>
      <c r="P166" s="110"/>
      <c r="Q166" s="110"/>
      <c r="R166" s="110"/>
      <c r="S166" s="110"/>
      <c r="T166" s="110"/>
      <c r="U166" s="110"/>
      <c r="V166" s="110"/>
      <c r="W166" s="110"/>
      <c r="X166" s="110"/>
      <c r="Y166" s="110"/>
      <c r="Z166" s="110"/>
    </row>
    <row r="167" ht="15.5" customHeight="1" spans="1:26">
      <c r="A167" s="110"/>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row>
    <row r="168" ht="15.5" customHeight="1" spans="1:26">
      <c r="A168" s="110"/>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row>
    <row r="169" ht="15.5" customHeight="1" spans="1:26">
      <c r="A169" s="110"/>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row>
    <row r="170" ht="15.5" customHeight="1" spans="1:26">
      <c r="A170" s="110"/>
      <c r="B170" s="110"/>
      <c r="C170" s="110"/>
      <c r="D170" s="110"/>
      <c r="E170" s="110"/>
      <c r="F170" s="110"/>
      <c r="G170" s="110"/>
      <c r="H170" s="110"/>
      <c r="I170" s="110"/>
      <c r="J170" s="110"/>
      <c r="K170" s="110"/>
      <c r="L170" s="110"/>
      <c r="M170" s="110"/>
      <c r="N170" s="110"/>
      <c r="O170" s="110"/>
      <c r="P170" s="110"/>
      <c r="Q170" s="110"/>
      <c r="R170" s="110"/>
      <c r="S170" s="110"/>
      <c r="T170" s="110"/>
      <c r="U170" s="110"/>
      <c r="V170" s="110"/>
      <c r="W170" s="110"/>
      <c r="X170" s="110"/>
      <c r="Y170" s="110"/>
      <c r="Z170" s="110"/>
    </row>
    <row r="171" ht="15.5" customHeight="1" spans="1:26">
      <c r="A171" s="110"/>
      <c r="B171" s="110"/>
      <c r="C171" s="110"/>
      <c r="D171" s="110"/>
      <c r="E171" s="110"/>
      <c r="F171" s="110"/>
      <c r="G171" s="110"/>
      <c r="H171" s="110"/>
      <c r="I171" s="110"/>
      <c r="J171" s="110"/>
      <c r="K171" s="110"/>
      <c r="L171" s="110"/>
      <c r="M171" s="110"/>
      <c r="N171" s="110"/>
      <c r="O171" s="110"/>
      <c r="P171" s="110"/>
      <c r="Q171" s="110"/>
      <c r="R171" s="110"/>
      <c r="S171" s="110"/>
      <c r="T171" s="110"/>
      <c r="U171" s="110"/>
      <c r="V171" s="110"/>
      <c r="W171" s="110"/>
      <c r="X171" s="110"/>
      <c r="Y171" s="110"/>
      <c r="Z171" s="110"/>
    </row>
    <row r="172" ht="15.5" customHeight="1" spans="1:26">
      <c r="A172" s="110"/>
      <c r="B172" s="110"/>
      <c r="C172" s="110"/>
      <c r="D172" s="110"/>
      <c r="E172" s="110"/>
      <c r="F172" s="110"/>
      <c r="G172" s="110"/>
      <c r="H172" s="110"/>
      <c r="I172" s="110"/>
      <c r="J172" s="110"/>
      <c r="K172" s="110"/>
      <c r="L172" s="110"/>
      <c r="M172" s="110"/>
      <c r="N172" s="110"/>
      <c r="O172" s="110"/>
      <c r="P172" s="110"/>
      <c r="Q172" s="110"/>
      <c r="R172" s="110"/>
      <c r="S172" s="110"/>
      <c r="T172" s="110"/>
      <c r="U172" s="110"/>
      <c r="V172" s="110"/>
      <c r="W172" s="110"/>
      <c r="X172" s="110"/>
      <c r="Y172" s="110"/>
      <c r="Z172" s="110"/>
    </row>
    <row r="173" ht="15.5" customHeight="1" spans="1:26">
      <c r="A173" s="110"/>
      <c r="B173" s="110"/>
      <c r="C173" s="110"/>
      <c r="D173" s="110"/>
      <c r="E173" s="110"/>
      <c r="F173" s="110"/>
      <c r="G173" s="110"/>
      <c r="H173" s="110"/>
      <c r="I173" s="110"/>
      <c r="J173" s="110"/>
      <c r="K173" s="110"/>
      <c r="L173" s="110"/>
      <c r="M173" s="110"/>
      <c r="N173" s="110"/>
      <c r="O173" s="110"/>
      <c r="P173" s="110"/>
      <c r="Q173" s="110"/>
      <c r="R173" s="110"/>
      <c r="S173" s="110"/>
      <c r="T173" s="110"/>
      <c r="U173" s="110"/>
      <c r="V173" s="110"/>
      <c r="W173" s="110"/>
      <c r="X173" s="110"/>
      <c r="Y173" s="110"/>
      <c r="Z173" s="110"/>
    </row>
    <row r="174" ht="15.5" customHeight="1" spans="1:26">
      <c r="A174" s="110"/>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row>
    <row r="175" ht="15.5" customHeight="1" spans="1:26">
      <c r="A175" s="110"/>
      <c r="B175" s="110"/>
      <c r="C175" s="110"/>
      <c r="D175" s="110"/>
      <c r="E175" s="110"/>
      <c r="F175" s="110"/>
      <c r="G175" s="110"/>
      <c r="H175" s="110"/>
      <c r="I175" s="110"/>
      <c r="J175" s="110"/>
      <c r="K175" s="110"/>
      <c r="L175" s="110"/>
      <c r="M175" s="110"/>
      <c r="N175" s="110"/>
      <c r="O175" s="110"/>
      <c r="P175" s="110"/>
      <c r="Q175" s="110"/>
      <c r="R175" s="110"/>
      <c r="S175" s="110"/>
      <c r="T175" s="110"/>
      <c r="U175" s="110"/>
      <c r="V175" s="110"/>
      <c r="W175" s="110"/>
      <c r="X175" s="110"/>
      <c r="Y175" s="110"/>
      <c r="Z175" s="110"/>
    </row>
    <row r="176" ht="15.5" customHeight="1" spans="1:26">
      <c r="A176" s="110"/>
      <c r="B176" s="110"/>
      <c r="C176" s="110"/>
      <c r="D176" s="110"/>
      <c r="E176" s="110"/>
      <c r="F176" s="110"/>
      <c r="G176" s="110"/>
      <c r="H176" s="110"/>
      <c r="I176" s="110"/>
      <c r="J176" s="110"/>
      <c r="K176" s="110"/>
      <c r="L176" s="110"/>
      <c r="M176" s="110"/>
      <c r="N176" s="110"/>
      <c r="O176" s="110"/>
      <c r="P176" s="110"/>
      <c r="Q176" s="110"/>
      <c r="R176" s="110"/>
      <c r="S176" s="110"/>
      <c r="T176" s="110"/>
      <c r="U176" s="110"/>
      <c r="V176" s="110"/>
      <c r="W176" s="110"/>
      <c r="X176" s="110"/>
      <c r="Y176" s="110"/>
      <c r="Z176" s="110"/>
    </row>
    <row r="177" ht="15.5" customHeight="1" spans="1:26">
      <c r="A177" s="110"/>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row>
    <row r="178" ht="15.5" customHeight="1" spans="1:26">
      <c r="A178" s="110"/>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row>
    <row r="179" ht="15.5" customHeight="1" spans="1:26">
      <c r="A179" s="110"/>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row>
    <row r="180" ht="15.5" customHeight="1" spans="1:26">
      <c r="A180" s="110"/>
      <c r="B180" s="110"/>
      <c r="C180" s="110"/>
      <c r="D180" s="110"/>
      <c r="E180" s="110"/>
      <c r="F180" s="110"/>
      <c r="G180" s="110"/>
      <c r="H180" s="110"/>
      <c r="I180" s="110"/>
      <c r="J180" s="110"/>
      <c r="K180" s="110"/>
      <c r="L180" s="110"/>
      <c r="M180" s="110"/>
      <c r="N180" s="110"/>
      <c r="O180" s="110"/>
      <c r="P180" s="110"/>
      <c r="Q180" s="110"/>
      <c r="R180" s="110"/>
      <c r="S180" s="110"/>
      <c r="T180" s="110"/>
      <c r="U180" s="110"/>
      <c r="V180" s="110"/>
      <c r="W180" s="110"/>
      <c r="X180" s="110"/>
      <c r="Y180" s="110"/>
      <c r="Z180" s="110"/>
    </row>
    <row r="181" ht="15.5" customHeight="1" spans="1:26">
      <c r="A181" s="110"/>
      <c r="B181" s="110"/>
      <c r="C181" s="110"/>
      <c r="D181" s="110"/>
      <c r="E181" s="110"/>
      <c r="F181" s="110"/>
      <c r="G181" s="110"/>
      <c r="H181" s="110"/>
      <c r="I181" s="110"/>
      <c r="J181" s="110"/>
      <c r="K181" s="110"/>
      <c r="L181" s="110"/>
      <c r="M181" s="110"/>
      <c r="N181" s="110"/>
      <c r="O181" s="110"/>
      <c r="P181" s="110"/>
      <c r="Q181" s="110"/>
      <c r="R181" s="110"/>
      <c r="S181" s="110"/>
      <c r="T181" s="110"/>
      <c r="U181" s="110"/>
      <c r="V181" s="110"/>
      <c r="W181" s="110"/>
      <c r="X181" s="110"/>
      <c r="Y181" s="110"/>
      <c r="Z181" s="110"/>
    </row>
    <row r="182" ht="15.5" customHeight="1" spans="1:26">
      <c r="A182" s="110"/>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row>
    <row r="183" ht="15.5" customHeight="1" spans="1:26">
      <c r="A183" s="110"/>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row>
    <row r="184" ht="15.5" customHeight="1" spans="1:26">
      <c r="A184" s="110"/>
      <c r="B184" s="110"/>
      <c r="C184" s="110"/>
      <c r="D184" s="110"/>
      <c r="E184" s="110"/>
      <c r="F184" s="110"/>
      <c r="G184" s="110"/>
      <c r="H184" s="110"/>
      <c r="I184" s="110"/>
      <c r="J184" s="110"/>
      <c r="K184" s="110"/>
      <c r="L184" s="110"/>
      <c r="M184" s="110"/>
      <c r="N184" s="110"/>
      <c r="O184" s="110"/>
      <c r="P184" s="110"/>
      <c r="Q184" s="110"/>
      <c r="R184" s="110"/>
      <c r="S184" s="110"/>
      <c r="T184" s="110"/>
      <c r="U184" s="110"/>
      <c r="V184" s="110"/>
      <c r="W184" s="110"/>
      <c r="X184" s="110"/>
      <c r="Y184" s="110"/>
      <c r="Z184" s="110"/>
    </row>
    <row r="185" ht="15.5" customHeight="1" spans="1:26">
      <c r="A185" s="110"/>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row>
    <row r="186" ht="15.5" customHeight="1" spans="1:26">
      <c r="A186" s="110"/>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row>
    <row r="187" ht="15.5" customHeight="1" spans="1:26">
      <c r="A187" s="110"/>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row>
    <row r="188" ht="15.5" customHeight="1" spans="1:26">
      <c r="A188" s="110"/>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row>
    <row r="189" ht="15.5" customHeight="1" spans="1:26">
      <c r="A189" s="110"/>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row>
    <row r="190" ht="15.5" customHeight="1" spans="1:26">
      <c r="A190" s="110"/>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row>
    <row r="191" ht="15.5" customHeight="1" spans="1:26">
      <c r="A191" s="110"/>
      <c r="B191" s="110"/>
      <c r="C191" s="110"/>
      <c r="D191" s="110"/>
      <c r="E191" s="110"/>
      <c r="F191" s="110"/>
      <c r="G191" s="110"/>
      <c r="H191" s="110"/>
      <c r="I191" s="110"/>
      <c r="J191" s="110"/>
      <c r="K191" s="110"/>
      <c r="L191" s="110"/>
      <c r="M191" s="110"/>
      <c r="N191" s="110"/>
      <c r="O191" s="110"/>
      <c r="P191" s="110"/>
      <c r="Q191" s="110"/>
      <c r="R191" s="110"/>
      <c r="S191" s="110"/>
      <c r="T191" s="110"/>
      <c r="U191" s="110"/>
      <c r="V191" s="110"/>
      <c r="W191" s="110"/>
      <c r="X191" s="110"/>
      <c r="Y191" s="110"/>
      <c r="Z191" s="110"/>
    </row>
    <row r="192" ht="15.5" customHeight="1" spans="1:26">
      <c r="A192" s="110"/>
      <c r="B192" s="110"/>
      <c r="C192" s="110"/>
      <c r="D192" s="110"/>
      <c r="E192" s="110"/>
      <c r="F192" s="110"/>
      <c r="G192" s="110"/>
      <c r="H192" s="110"/>
      <c r="I192" s="110"/>
      <c r="J192" s="110"/>
      <c r="K192" s="110"/>
      <c r="L192" s="110"/>
      <c r="M192" s="110"/>
      <c r="N192" s="110"/>
      <c r="O192" s="110"/>
      <c r="P192" s="110"/>
      <c r="Q192" s="110"/>
      <c r="R192" s="110"/>
      <c r="S192" s="110"/>
      <c r="T192" s="110"/>
      <c r="U192" s="110"/>
      <c r="V192" s="110"/>
      <c r="W192" s="110"/>
      <c r="X192" s="110"/>
      <c r="Y192" s="110"/>
      <c r="Z192" s="110"/>
    </row>
    <row r="193" ht="15.5" customHeight="1" spans="1:26">
      <c r="A193" s="110"/>
      <c r="B193" s="110"/>
      <c r="C193" s="110"/>
      <c r="D193" s="110"/>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row>
    <row r="194" ht="15.5" customHeight="1" spans="1:26">
      <c r="A194" s="110"/>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row>
    <row r="195" ht="15.5" customHeight="1" spans="1:26">
      <c r="A195" s="110"/>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row>
    <row r="196" ht="15.5" customHeight="1" spans="1:26">
      <c r="A196" s="110"/>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row>
    <row r="197" ht="15.5" customHeight="1" spans="1:26">
      <c r="A197" s="110"/>
      <c r="B197" s="110"/>
      <c r="C197" s="110"/>
      <c r="D197" s="110"/>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row>
    <row r="198" ht="15.5" customHeight="1" spans="1:26">
      <c r="A198" s="110"/>
      <c r="B198" s="110"/>
      <c r="C198" s="110"/>
      <c r="D198" s="110"/>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row>
    <row r="199" ht="15.5" customHeight="1" spans="1:26">
      <c r="A199" s="110"/>
      <c r="B199" s="110"/>
      <c r="C199" s="110"/>
      <c r="D199" s="110"/>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row>
    <row r="200" ht="15.5" customHeight="1" spans="1:26">
      <c r="A200" s="110"/>
      <c r="B200" s="110"/>
      <c r="C200" s="110"/>
      <c r="D200" s="110"/>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row>
    <row r="201" ht="15.5" customHeight="1" spans="1:26">
      <c r="A201" s="110"/>
      <c r="B201" s="110"/>
      <c r="C201" s="110"/>
      <c r="D201" s="110"/>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row>
    <row r="202" ht="15.5" customHeight="1" spans="1:26">
      <c r="A202" s="110"/>
      <c r="B202" s="110"/>
      <c r="C202" s="110"/>
      <c r="D202" s="110"/>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row>
    <row r="203" ht="15.5" customHeight="1" spans="1:26">
      <c r="A203" s="110"/>
      <c r="B203" s="110"/>
      <c r="C203" s="110"/>
      <c r="D203" s="110"/>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row>
    <row r="204" ht="15.5" customHeight="1" spans="1:26">
      <c r="A204" s="110"/>
      <c r="B204" s="110"/>
      <c r="C204" s="110"/>
      <c r="D204" s="110"/>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row>
    <row r="205" ht="15.5" customHeight="1" spans="1:26">
      <c r="A205" s="110"/>
      <c r="B205" s="110"/>
      <c r="C205" s="110"/>
      <c r="D205" s="110"/>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row>
    <row r="206" ht="15.5" customHeight="1" spans="1:26">
      <c r="A206" s="110"/>
      <c r="B206" s="110"/>
      <c r="C206" s="110"/>
      <c r="D206" s="110"/>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row>
    <row r="207" ht="15.5" customHeight="1" spans="1:26">
      <c r="A207" s="110"/>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row>
    <row r="208" ht="15.5" customHeight="1" spans="1:26">
      <c r="A208" s="110"/>
      <c r="B208" s="110"/>
      <c r="C208" s="110"/>
      <c r="D208" s="110"/>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row>
    <row r="209" ht="15.5" customHeight="1" spans="1:26">
      <c r="A209" s="110"/>
      <c r="B209" s="110"/>
      <c r="C209" s="110"/>
      <c r="D209" s="110"/>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row>
    <row r="210" ht="15.5" customHeight="1" spans="1:26">
      <c r="A210" s="110"/>
      <c r="B210" s="110"/>
      <c r="C210" s="110"/>
      <c r="D210" s="110"/>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row>
    <row r="211" ht="15.5" customHeight="1" spans="1:26">
      <c r="A211" s="110"/>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row>
    <row r="212" ht="15.5" customHeight="1" spans="1:26">
      <c r="A212" s="110"/>
      <c r="B212" s="110"/>
      <c r="C212" s="110"/>
      <c r="D212" s="110"/>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row>
    <row r="213" ht="15.5" customHeight="1" spans="1:26">
      <c r="A213" s="110"/>
      <c r="B213" s="110"/>
      <c r="C213" s="110"/>
      <c r="D213" s="110"/>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row>
    <row r="214" ht="15.5" customHeight="1" spans="1:26">
      <c r="A214" s="110"/>
      <c r="B214" s="110"/>
      <c r="C214" s="110"/>
      <c r="D214" s="110"/>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row>
    <row r="215" ht="15.5" customHeight="1" spans="1:26">
      <c r="A215" s="110"/>
      <c r="B215" s="110"/>
      <c r="C215" s="110"/>
      <c r="D215" s="110"/>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row>
    <row r="216" ht="15.5" customHeight="1" spans="1:26">
      <c r="A216" s="110"/>
      <c r="B216" s="110"/>
      <c r="C216" s="110"/>
      <c r="D216" s="110"/>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row>
    <row r="217" ht="15.5" customHeight="1" spans="1:26">
      <c r="A217" s="110"/>
      <c r="B217" s="110"/>
      <c r="C217" s="110"/>
      <c r="D217" s="110"/>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row>
    <row r="218" ht="15.5" customHeight="1" spans="1:26">
      <c r="A218" s="110"/>
      <c r="B218" s="110"/>
      <c r="C218" s="110"/>
      <c r="D218" s="110"/>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row>
    <row r="219" ht="15.5" customHeight="1" spans="1:26">
      <c r="A219" s="110"/>
      <c r="B219" s="110"/>
      <c r="C219" s="110"/>
      <c r="D219" s="110"/>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row>
    <row r="220" ht="15.5" customHeight="1" spans="1:26">
      <c r="A220" s="110"/>
      <c r="B220" s="110"/>
      <c r="C220" s="110"/>
      <c r="D220" s="110"/>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row>
    <row r="221" ht="15.5" customHeight="1" spans="1:26">
      <c r="A221" s="110"/>
      <c r="B221" s="110"/>
      <c r="C221" s="110"/>
      <c r="D221" s="110"/>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row>
    <row r="222" ht="15.5" customHeight="1" spans="1:26">
      <c r="A222" s="110"/>
      <c r="B222" s="110"/>
      <c r="C222" s="110"/>
      <c r="D222" s="110"/>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row>
    <row r="223" ht="15.5" customHeight="1" spans="1:26">
      <c r="A223" s="110"/>
      <c r="B223" s="110"/>
      <c r="C223" s="110"/>
      <c r="D223" s="110"/>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row>
    <row r="224" ht="15.5" customHeight="1" spans="1:26">
      <c r="A224" s="110"/>
      <c r="B224" s="110"/>
      <c r="C224" s="110"/>
      <c r="D224" s="110"/>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row>
    <row r="225" ht="15.5" customHeight="1" spans="1:26">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row>
    <row r="226" ht="15.5" customHeight="1" spans="1:26">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row>
    <row r="227" ht="15.5" customHeight="1" spans="1:26">
      <c r="A227" s="110"/>
      <c r="B227" s="110"/>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row>
    <row r="228" ht="15.5" customHeight="1" spans="1:26">
      <c r="A228" s="110"/>
      <c r="B228" s="110"/>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row>
    <row r="229" ht="15.5" customHeight="1" spans="1:26">
      <c r="A229" s="110"/>
      <c r="B229" s="110"/>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row>
    <row r="230" ht="15.5" customHeight="1" spans="1:26">
      <c r="A230" s="110"/>
      <c r="B230" s="110"/>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row>
    <row r="231" ht="15.5" customHeight="1" spans="1:26">
      <c r="A231" s="110"/>
      <c r="B231" s="110"/>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row>
    <row r="232" ht="15.5" customHeight="1" spans="1:26">
      <c r="A232" s="110"/>
      <c r="B232" s="110"/>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row>
    <row r="233" ht="15.5" customHeight="1" spans="1:26">
      <c r="A233" s="110"/>
      <c r="B233" s="110"/>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row>
    <row r="234" ht="15.5" customHeight="1" spans="1:26">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row>
    <row r="235" ht="15.5" customHeight="1" spans="1:26">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row>
    <row r="236" ht="15.5" customHeight="1" spans="1:26">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row>
    <row r="237" ht="15.5" customHeight="1" spans="1:26">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row>
    <row r="238" ht="15.5" customHeight="1" spans="1:26">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row>
    <row r="239" ht="15.5" customHeight="1" spans="1:26">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row>
    <row r="240" ht="15.5" customHeight="1" spans="1:26">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row>
    <row r="241" ht="15.5" customHeight="1" spans="1:26">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row>
    <row r="242" ht="15.5" customHeight="1" spans="1:26">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row>
    <row r="243" ht="15.5" customHeight="1" spans="1:26">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row>
    <row r="244" ht="15.5" customHeight="1" spans="1:26">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row>
    <row r="245" ht="15.5" customHeight="1" spans="1:26">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row>
    <row r="246" ht="15.5" customHeight="1" spans="1:26">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row>
    <row r="247" ht="15.5" customHeight="1" spans="1:26">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row>
    <row r="248" ht="15.5" customHeight="1" spans="1:26">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row>
    <row r="249" ht="15.5" customHeight="1" spans="1:26">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row>
    <row r="250" ht="15.5" customHeight="1" spans="1:26">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row>
    <row r="251" ht="15.5" customHeight="1" spans="1:26">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row>
    <row r="252" ht="15.5" customHeight="1" spans="1:26">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row>
    <row r="253" ht="15.5" customHeight="1" spans="1:26">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row>
    <row r="254" ht="15.5" customHeight="1" spans="1:26">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row>
    <row r="255" ht="15.5" customHeight="1" spans="1:26">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row>
    <row r="256" ht="15.5" customHeight="1" spans="1:26">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row>
    <row r="257" ht="15.5" customHeight="1" spans="1:26">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row>
    <row r="258" ht="15.5" customHeight="1" spans="1:26">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row>
    <row r="259" ht="15.5" customHeight="1" spans="1:26">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row>
    <row r="260" ht="15.5" customHeight="1" spans="1:26">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row>
    <row r="261" ht="15.5" customHeight="1" spans="1:26">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row>
    <row r="262" ht="15.5" customHeight="1" spans="1:26">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row>
    <row r="263" ht="15.5" customHeight="1" spans="1:26">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row>
    <row r="264" ht="15.5" customHeight="1" spans="1:26">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row>
    <row r="265" ht="15.5" customHeight="1" spans="1:26">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row>
    <row r="266" ht="15.5" customHeight="1" spans="1:26">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row>
    <row r="267" ht="15.5" customHeight="1" spans="1:26">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row>
    <row r="268" ht="15.5" customHeight="1" spans="1:26">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row>
    <row r="269" ht="15.5" customHeight="1" spans="1:26">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row>
    <row r="270" ht="15.5" customHeight="1" spans="1:26">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row>
    <row r="271" ht="15.5" customHeight="1" spans="1:26">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row>
    <row r="272" ht="15.5" customHeight="1" spans="1:26">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row>
    <row r="273" ht="15.5" customHeight="1" spans="1:26">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row>
    <row r="274" ht="15.5" customHeight="1" spans="1:26">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row>
    <row r="275" ht="15.5" customHeight="1" spans="1:26">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row>
    <row r="276" ht="15.5" customHeight="1" spans="1:26">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row>
    <row r="277" ht="15.5" customHeight="1" spans="1:26">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row>
    <row r="278" ht="15.5" customHeight="1" spans="1:26">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row>
    <row r="279" ht="15.5" customHeight="1" spans="1:26">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row>
    <row r="280" ht="15.5" customHeight="1" spans="1:26">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row>
    <row r="281" ht="15.5" customHeight="1" spans="1:26">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row>
    <row r="282" ht="15.5" customHeight="1" spans="1:26">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row>
    <row r="283" ht="15.5" customHeight="1" spans="1:26">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row>
    <row r="284" ht="15.5" customHeight="1" spans="1:26">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row>
    <row r="285" ht="15.5" customHeight="1" spans="1:26">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row>
    <row r="286" ht="15.5" customHeight="1" spans="1:26">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row>
    <row r="287" ht="15.5" customHeight="1" spans="1:26">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row>
    <row r="288" ht="15.5" customHeight="1" spans="1:26">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row>
    <row r="289" ht="15.5" customHeight="1" spans="1:26">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row>
    <row r="290" ht="15.5" customHeight="1" spans="1:26">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row>
    <row r="291" ht="15.5" customHeight="1" spans="1:26">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row>
    <row r="292" ht="15.5" customHeight="1" spans="1:26">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row>
    <row r="293" ht="15.5" customHeight="1" spans="1:26">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row>
    <row r="294" ht="15.5" customHeight="1" spans="1:26">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row>
    <row r="295" ht="15.5" customHeight="1" spans="1:26">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row>
    <row r="296" ht="15.5" customHeight="1" spans="1:26">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row>
    <row r="297" ht="15.5" customHeight="1" spans="1:26">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row>
    <row r="298" ht="15.5" customHeight="1" spans="1:26">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row>
    <row r="299" ht="15.5" customHeight="1" spans="1:26">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row>
    <row r="300" ht="15.5" customHeight="1" spans="1:26">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row>
    <row r="301" ht="15.5" customHeight="1" spans="1:26">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row>
    <row r="302" ht="15.5" customHeight="1" spans="1:26">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row>
    <row r="303" ht="15.5" customHeight="1" spans="1:26">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row>
    <row r="304" ht="15.5" customHeight="1" spans="1:26">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row>
    <row r="305" ht="15.5" customHeight="1" spans="1:26">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row>
    <row r="306" ht="15.5" customHeight="1" spans="1:26">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row>
    <row r="307" ht="15.5" customHeight="1" spans="1:26">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row>
    <row r="308" ht="15.5" customHeight="1" spans="1:26">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row>
    <row r="309" ht="15.5" customHeight="1" spans="1:26">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row>
    <row r="310" ht="15.5" customHeight="1" spans="1:26">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row>
    <row r="311" ht="15.5" customHeight="1" spans="1:26">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row>
    <row r="312" ht="15.5" customHeight="1" spans="1:26">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row>
    <row r="313" ht="15.5" customHeight="1" spans="1:26">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row>
    <row r="314" ht="15.5" customHeight="1" spans="1:26">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row>
    <row r="315" ht="15.5" customHeight="1" spans="1:26">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row>
    <row r="316" ht="15.5" customHeight="1" spans="1:26">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row>
    <row r="317" ht="15.5" customHeight="1" spans="1:26">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row>
    <row r="318" ht="15.5" customHeight="1" spans="1:26">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row>
    <row r="319" ht="15.5" customHeight="1" spans="1:26">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row>
    <row r="320" ht="15.5" customHeight="1" spans="1:26">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row>
    <row r="321" ht="15.5" customHeight="1" spans="1:26">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row>
    <row r="322" ht="15.5" customHeight="1" spans="1:26">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row>
    <row r="323" ht="15.5" customHeight="1" spans="1:26">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row>
    <row r="324" ht="15.5" customHeight="1" spans="1:26">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row>
    <row r="325" ht="15.5" customHeight="1" spans="1:26">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row>
    <row r="326" ht="15.5" customHeight="1" spans="1:26">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row>
    <row r="327" ht="15.5" customHeight="1" spans="1:26">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row>
    <row r="328" ht="15.5" customHeight="1" spans="1:26">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row>
    <row r="329" ht="15.5" customHeight="1" spans="1:26">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row>
    <row r="330" ht="15.5" customHeight="1" spans="1:26">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row>
    <row r="331" ht="15.5" customHeight="1" spans="1:26">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row>
    <row r="332" ht="15.5" customHeight="1" spans="1:26">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row>
    <row r="333" ht="15.5" customHeight="1" spans="1:26">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row>
    <row r="334" ht="15.5" customHeight="1" spans="1:26">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row>
    <row r="335" ht="15.5" customHeight="1" spans="1:26">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row>
    <row r="336" ht="15.5" customHeight="1" spans="1:26">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row>
    <row r="337" ht="15.5" customHeight="1" spans="1:26">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row>
    <row r="338" ht="15.5" customHeight="1" spans="1:26">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row>
    <row r="339" ht="15.5" customHeight="1" spans="1:26">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row>
    <row r="340" ht="15.5" customHeight="1" spans="1:26">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row>
    <row r="341" ht="15.5" customHeight="1" spans="1:26">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row>
    <row r="342" ht="15.5" customHeight="1" spans="1:26">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row>
    <row r="343" ht="15.5" customHeight="1" spans="1:26">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row>
    <row r="344" ht="15.5" customHeight="1" spans="1:26">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row>
    <row r="345" ht="15.5" customHeight="1" spans="1:26">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row>
    <row r="346" ht="15.5" customHeight="1" spans="1:26">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row>
    <row r="347" ht="15.5" customHeight="1" spans="1:26">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row>
    <row r="348" ht="15.5" customHeight="1" spans="1:26">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row>
    <row r="349" ht="15.5" customHeight="1" spans="1:26">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row>
    <row r="350" ht="15.5" customHeight="1" spans="1:26">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row>
    <row r="351" ht="15.5" customHeight="1" spans="1:26">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row>
    <row r="352" ht="15.5" customHeight="1" spans="1:26">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row>
    <row r="353" ht="15.5" customHeight="1" spans="1:26">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row>
    <row r="354" ht="15.5" customHeight="1" spans="1:26">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row>
    <row r="355" ht="15.5" customHeight="1" spans="1:26">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row>
    <row r="356" ht="15.5" customHeight="1" spans="1:26">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row>
    <row r="357" ht="15.5" customHeight="1" spans="1:26">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row>
    <row r="358" ht="15.5" customHeight="1" spans="1:26">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row>
    <row r="359" ht="15.5" customHeight="1" spans="1:26">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row>
    <row r="360" ht="15.5" customHeight="1" spans="1:26">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row>
    <row r="361" ht="15.5" customHeight="1" spans="1:26">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row>
    <row r="362" ht="15.5" customHeight="1" spans="1:26">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row>
    <row r="363" ht="15.5" customHeight="1" spans="1:26">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row>
    <row r="364" ht="15.5" customHeight="1" spans="1:26">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row>
    <row r="365" ht="15.5" customHeight="1" spans="1:26">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row>
    <row r="366" ht="15.5" customHeight="1" spans="1:26">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row>
    <row r="367" ht="15.5" customHeight="1" spans="1:26">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row>
    <row r="368" ht="15.5" customHeight="1" spans="1:26">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row>
    <row r="369" ht="15.5" customHeight="1" spans="1:26">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row>
    <row r="370" ht="15.5" customHeight="1" spans="1:26">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row>
    <row r="371" ht="15.5" customHeight="1" spans="1:26">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row>
    <row r="372" ht="15.5" customHeight="1" spans="1:26">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row>
    <row r="373" ht="15.5" customHeight="1" spans="1:26">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row>
    <row r="374" ht="15.5" customHeight="1" spans="1:26">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row>
    <row r="375" ht="15.5" customHeight="1" spans="1:26">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row>
    <row r="376" ht="15.5" customHeight="1" spans="1:26">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row>
    <row r="377" ht="15.5" customHeight="1" spans="1:26">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row>
    <row r="378" ht="15.5" customHeight="1" spans="1:26">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row>
    <row r="379" ht="15.5" customHeight="1" spans="1:26">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row>
    <row r="380" ht="15.5" customHeight="1" spans="1:26">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row>
    <row r="381" ht="15.5" customHeight="1" spans="1:26">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row>
    <row r="382" ht="15.5" customHeight="1" spans="1:26">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row>
    <row r="383" ht="15.5" customHeight="1" spans="1:26">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row>
    <row r="384" ht="15.5" customHeight="1" spans="1:26">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row>
    <row r="385" ht="15.5" customHeight="1" spans="1:26">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row>
    <row r="386" ht="15.5" customHeight="1" spans="1:26">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row>
    <row r="387" ht="15.5" customHeight="1" spans="1:26">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row>
    <row r="388" ht="15.5" customHeight="1" spans="1:26">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row>
    <row r="389" ht="15.5" customHeight="1" spans="1:26">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row>
    <row r="390" ht="15.5" customHeight="1" spans="1:26">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row>
    <row r="391" ht="15.5" customHeight="1" spans="1:26">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row>
    <row r="392" ht="15.5" customHeight="1" spans="1:26">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row>
    <row r="393" ht="15.5" customHeight="1" spans="1:26">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row>
    <row r="394" ht="15.5" customHeight="1" spans="1:26">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row>
    <row r="395" ht="15.5" customHeight="1" spans="1:26">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row>
    <row r="396" ht="15.5" customHeight="1" spans="1:26">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row>
    <row r="397" ht="15.5" customHeight="1" spans="1:26">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row>
    <row r="398" ht="15.5" customHeight="1" spans="1:26">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row>
    <row r="399" ht="15.5" customHeight="1" spans="1:26">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row>
    <row r="400" ht="15.5" customHeight="1" spans="1:26">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row>
    <row r="401" ht="15.5" customHeight="1" spans="1:26">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row>
    <row r="402" ht="15.5" customHeight="1" spans="1:26">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row>
    <row r="403" ht="15.5" customHeight="1" spans="1:26">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row>
    <row r="404" ht="15.5" customHeight="1" spans="1:26">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row>
    <row r="405" ht="15.5" customHeight="1" spans="1:26">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row>
    <row r="406" ht="15.5" customHeight="1" spans="1:26">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row>
    <row r="407" ht="15.5" customHeight="1" spans="1:26">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row>
    <row r="408" ht="15.5" customHeight="1" spans="1:26">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row>
    <row r="409" ht="15.5" customHeight="1" spans="1:26">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row>
    <row r="410" ht="15.5" customHeight="1" spans="1:26">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row>
    <row r="411" ht="15.5" customHeight="1" spans="1:26">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row>
    <row r="412" ht="15.5" customHeight="1" spans="1:26">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row>
    <row r="413" ht="15.5" customHeight="1" spans="1:26">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row>
    <row r="414" ht="15.5" customHeight="1" spans="1:26">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row>
    <row r="415" ht="15.5" customHeight="1" spans="1:26">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row>
    <row r="416" ht="15.5" customHeight="1" spans="1:26">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row>
    <row r="417" ht="15.5" customHeight="1" spans="1:26">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row>
    <row r="418" ht="15.5" customHeight="1" spans="1:26">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row>
    <row r="419" ht="15.5" customHeight="1" spans="1:26">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row>
    <row r="420" ht="15.5" customHeight="1" spans="1:26">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row>
    <row r="421" ht="15.5" customHeight="1" spans="1:26">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row>
    <row r="422" ht="15.5" customHeight="1" spans="1:26">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row>
    <row r="423" ht="15.5" customHeight="1" spans="1:26">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row>
    <row r="424" ht="15.5" customHeight="1" spans="1:26">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row>
    <row r="425" ht="15.5" customHeight="1" spans="1:26">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row>
    <row r="426" ht="15.5" customHeight="1" spans="1:26">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row>
    <row r="427" ht="15.5" customHeight="1" spans="1:26">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row>
    <row r="428" ht="15.5" customHeight="1" spans="1:26">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row>
    <row r="429" ht="15.5" customHeight="1" spans="1:26">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row>
    <row r="430" ht="15.5" customHeight="1" spans="1:26">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row>
    <row r="431" ht="15.5" customHeight="1" spans="1:26">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row>
    <row r="432" ht="15.5" customHeight="1" spans="1:26">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row>
    <row r="433" ht="15.5" customHeight="1" spans="1:26">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row>
    <row r="434" ht="15.5" customHeight="1" spans="1:26">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row>
    <row r="435" ht="15.5" customHeight="1" spans="1:26">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row>
    <row r="436" ht="15.5" customHeight="1" spans="1:26">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row>
    <row r="437" ht="15.5" customHeight="1" spans="1:26">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row>
    <row r="438" ht="15.5" customHeight="1" spans="1:26">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row>
    <row r="439" ht="15.5" customHeight="1" spans="1:26">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row>
    <row r="440" ht="15.5" customHeight="1" spans="1:26">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row>
    <row r="441" ht="15.5" customHeight="1" spans="1:26">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row>
    <row r="442" ht="15.5" customHeight="1" spans="1:26">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row>
    <row r="443" ht="15.5" customHeight="1" spans="1:26">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row>
    <row r="444" ht="15.5" customHeight="1" spans="1:26">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row>
    <row r="445" ht="15.5" customHeight="1" spans="1:26">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row>
    <row r="446" ht="15.5" customHeight="1" spans="1:26">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row>
    <row r="447" ht="15.5" customHeight="1" spans="1:26">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row>
    <row r="448" ht="15.5" customHeight="1" spans="1:26">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row>
    <row r="449" ht="15.5" customHeight="1" spans="1:26">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row>
    <row r="450" ht="15.5" customHeight="1" spans="1:26">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row>
    <row r="451" ht="15.5" customHeight="1" spans="1:26">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row>
    <row r="452" ht="15.5" customHeight="1" spans="1:26">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row>
    <row r="453" ht="15.5" customHeight="1" spans="1:26">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row>
    <row r="454" ht="15.5" customHeight="1" spans="1:26">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row>
    <row r="455" ht="15.5" customHeight="1" spans="1:26">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row>
    <row r="456" ht="15.5" customHeight="1" spans="1:26">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row>
    <row r="457" ht="15.5" customHeight="1" spans="1:26">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row>
    <row r="458" ht="15.5" customHeight="1" spans="1:26">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row>
    <row r="459" ht="15.5" customHeight="1" spans="1:26">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row>
    <row r="460" ht="15.5" customHeight="1" spans="1:26">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row>
    <row r="461" ht="15.5" customHeight="1" spans="1:26">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row>
    <row r="462" ht="15.5" customHeight="1" spans="1:26">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row>
    <row r="463" ht="15.5" customHeight="1" spans="1:26">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row>
    <row r="464" ht="15.5" customHeight="1" spans="1:26">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row>
    <row r="465" ht="15.5" customHeight="1" spans="1:26">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row>
    <row r="466" ht="15.5" customHeight="1" spans="1:26">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row>
    <row r="467" ht="15.5" customHeight="1" spans="1:26">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row>
    <row r="468" ht="15.5" customHeight="1" spans="1:26">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row>
    <row r="469" ht="15.5" customHeight="1" spans="1:26">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row>
    <row r="470" ht="15.5" customHeight="1" spans="1:26">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row>
    <row r="471" ht="15.5" customHeight="1" spans="1:26">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row>
    <row r="472" ht="15.5" customHeight="1" spans="1:26">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row>
    <row r="473" ht="15.5" customHeight="1" spans="1:26">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row>
    <row r="474" ht="15.5" customHeight="1" spans="1:26">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row>
    <row r="475" ht="15.5" customHeight="1" spans="1:26">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row>
    <row r="476" ht="15.5" customHeight="1" spans="1:26">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row>
    <row r="477" ht="15.5" customHeight="1" spans="1:26">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row>
    <row r="478" ht="15.5" customHeight="1" spans="1:26">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row>
    <row r="479" ht="15.5" customHeight="1" spans="1:26">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row>
    <row r="480" ht="15.5" customHeight="1" spans="1:26">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row>
    <row r="481" ht="15.5" customHeight="1" spans="1:26">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row>
    <row r="482" ht="15.5" customHeight="1" spans="1:26">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row>
    <row r="483" ht="15.5" customHeight="1" spans="1:26">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row>
    <row r="484" ht="15.5" customHeight="1" spans="1:26">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row>
    <row r="485" ht="15.5" customHeight="1" spans="1:26">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row>
    <row r="486" ht="15.5" customHeight="1" spans="1:26">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row>
    <row r="487" ht="15.5" customHeight="1" spans="1:26">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row>
    <row r="488" ht="15.5" customHeight="1" spans="1:26">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row>
    <row r="489" ht="15.5" customHeight="1" spans="1:26">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row>
    <row r="490" ht="15.5" customHeight="1" spans="1:26">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row>
    <row r="491" ht="15.5" customHeight="1" spans="1:26">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row>
    <row r="492" ht="15.5" customHeight="1" spans="1:26">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row>
    <row r="493" ht="15.5" customHeight="1" spans="1:26">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row>
    <row r="494" ht="15.5" customHeight="1" spans="1:26">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row>
    <row r="495" ht="15.5" customHeight="1" spans="1:26">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row>
    <row r="496" ht="15.5" customHeight="1" spans="1:26">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row>
    <row r="497" ht="15.5" customHeight="1" spans="1:26">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row>
    <row r="498" ht="15.5" customHeight="1" spans="1:26">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row>
    <row r="499" ht="15.5" customHeight="1" spans="1:26">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row>
    <row r="500" ht="15.5" customHeight="1" spans="1:26">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row>
    <row r="501" ht="15.5" customHeight="1" spans="1:26">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row>
    <row r="502" ht="15.5" customHeight="1" spans="1:26">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row>
    <row r="503" ht="15.5" customHeight="1" spans="1:26">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row>
    <row r="504" ht="15.5" customHeight="1" spans="1:26">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row>
    <row r="505" ht="15.5" customHeight="1" spans="1:26">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row>
    <row r="506" ht="15.5" customHeight="1" spans="1:26">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row>
    <row r="507" ht="15.5" customHeight="1" spans="1:26">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row>
    <row r="508" ht="15.5" customHeight="1" spans="1:26">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row>
    <row r="509" ht="15.5" customHeight="1" spans="1:26">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row>
    <row r="510" ht="15.5" customHeight="1" spans="1:26">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row>
    <row r="511" ht="15.5" customHeight="1" spans="1:26">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row>
    <row r="512" ht="15.5" customHeight="1" spans="1:26">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row>
    <row r="513" ht="15.5" customHeight="1" spans="1:26">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row>
    <row r="514" ht="15.5" customHeight="1" spans="1:26">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row>
    <row r="515" ht="15.5" customHeight="1" spans="1:26">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row>
    <row r="516" ht="15.5" customHeight="1" spans="1:26">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row>
    <row r="517" ht="15.5" customHeight="1" spans="1:26">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row>
    <row r="518" ht="15.5" customHeight="1" spans="1:26">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row>
    <row r="519" ht="15.5" customHeight="1" spans="1:26">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row>
    <row r="520" ht="15.5" customHeight="1" spans="1:26">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row>
    <row r="521" ht="15.5" customHeight="1" spans="1:26">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row>
    <row r="522" ht="15.5" customHeight="1" spans="1:26">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row>
    <row r="523" ht="15.5" customHeight="1" spans="1:26">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row>
    <row r="524" ht="15.5" customHeight="1" spans="1:26">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row>
    <row r="525" ht="15.5" customHeight="1" spans="1:26">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row>
    <row r="526" ht="15.5" customHeight="1" spans="1:26">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row>
    <row r="527" ht="15.5" customHeight="1" spans="1:26">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row>
    <row r="528" ht="15.5" customHeight="1" spans="1:26">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row>
    <row r="529" ht="15.5" customHeight="1" spans="1:26">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row>
    <row r="530" ht="15.5" customHeight="1" spans="1:26">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row>
    <row r="531" ht="15.5" customHeight="1" spans="1:26">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row>
    <row r="532" ht="15.5" customHeight="1" spans="1:26">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row>
    <row r="533" ht="15.5" customHeight="1" spans="1:26">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row>
    <row r="534" ht="15.5" customHeight="1" spans="1:26">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row>
    <row r="535" ht="15.5" customHeight="1" spans="1:26">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row>
    <row r="536" ht="15.5" customHeight="1" spans="1:26">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row>
    <row r="537" ht="15.5" customHeight="1" spans="1:26">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row>
    <row r="538" ht="15.5" customHeight="1" spans="1:26">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row>
    <row r="539" ht="15.5" customHeight="1" spans="1:26">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row>
    <row r="540" ht="15.5" customHeight="1" spans="1:26">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row>
    <row r="541" ht="15.5" customHeight="1" spans="1:26">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row>
    <row r="542" ht="15.5" customHeight="1" spans="1:26">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row>
    <row r="543" ht="15.5" customHeight="1" spans="1:26">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row>
    <row r="544" ht="15.5" customHeight="1" spans="1:26">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row>
    <row r="545" ht="15.5" customHeight="1" spans="1:26">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row>
    <row r="546" ht="15.5" customHeight="1" spans="1:26">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row>
    <row r="547" ht="15.5" customHeight="1" spans="1:26">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row>
    <row r="548" ht="15.5" customHeight="1" spans="1:26">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row>
    <row r="549" ht="15.5" customHeight="1" spans="1:26">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row>
    <row r="550" ht="15.5" customHeight="1" spans="1:26">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row>
    <row r="551" ht="15.5" customHeight="1" spans="1:26">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row>
    <row r="552" ht="15.5" customHeight="1" spans="1:26">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row>
    <row r="553" ht="15.5" customHeight="1" spans="1:26">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row>
    <row r="554" ht="15.5" customHeight="1" spans="1:26">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row>
    <row r="555" ht="15.5" customHeight="1" spans="1:26">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row>
    <row r="556" ht="15.5" customHeight="1" spans="1:26">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row>
    <row r="557" ht="15.5" customHeight="1" spans="1:26">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row>
    <row r="558" ht="15.5" customHeight="1" spans="1:26">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row>
    <row r="559" ht="15.5" customHeight="1" spans="1:26">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row>
    <row r="560" ht="15.5" customHeight="1" spans="1:26">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row>
    <row r="561" ht="15.5" customHeight="1" spans="1:26">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row>
    <row r="562" ht="15.5" customHeight="1" spans="1:26">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row>
    <row r="563" ht="15.5" customHeight="1" spans="1:26">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row>
    <row r="564" ht="15.5" customHeight="1" spans="1:26">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row>
    <row r="565" ht="15.5" customHeight="1" spans="1:26">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row>
    <row r="566" ht="15.5" customHeight="1" spans="1:26">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row>
    <row r="567" ht="15.5" customHeight="1" spans="1:26">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row>
    <row r="568" ht="15.5" customHeight="1" spans="1:26">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row>
    <row r="569" ht="15.5" customHeight="1" spans="1:26">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row>
    <row r="570" ht="15.5" customHeight="1" spans="1:26">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row>
    <row r="571" ht="15.5" customHeight="1" spans="1:26">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row>
    <row r="572" ht="15.5" customHeight="1" spans="1:26">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row>
    <row r="573" ht="15.5" customHeight="1" spans="1:26">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row>
    <row r="574" ht="15.5" customHeight="1" spans="1:26">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row>
    <row r="575" ht="15.5" customHeight="1" spans="1:26">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row>
    <row r="576" ht="15.5" customHeight="1" spans="1:26">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row>
    <row r="577" ht="15.5" customHeight="1" spans="1:26">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row>
    <row r="578" ht="15.5" customHeight="1" spans="1:26">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row>
    <row r="579" ht="15.5" customHeight="1" spans="1:26">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row>
    <row r="580" ht="15.5" customHeight="1" spans="1:26">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row>
    <row r="581" ht="15.5" customHeight="1" spans="1:26">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row>
    <row r="582" ht="15.5" customHeight="1" spans="1:26">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row>
    <row r="583" ht="15.5" customHeight="1" spans="1:26">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row>
    <row r="584" ht="15.5" customHeight="1" spans="1:26">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row>
    <row r="585" ht="15.5" customHeight="1" spans="1:26">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row>
    <row r="586" ht="15.5" customHeight="1" spans="1:26">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row>
    <row r="587" ht="15.5" customHeight="1" spans="1:26">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row>
    <row r="588" ht="15.5" customHeight="1" spans="1:26">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row>
    <row r="589" ht="15.5" customHeight="1" spans="1:26">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row>
    <row r="590" ht="15.5" customHeight="1" spans="1:26">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row>
    <row r="591" ht="15.5" customHeight="1" spans="1:26">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row>
    <row r="592" ht="15.5" customHeight="1" spans="1:26">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row>
    <row r="593" ht="15.5" customHeight="1" spans="1:26">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row>
    <row r="594" ht="15.5" customHeight="1" spans="1:26">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row>
    <row r="595" ht="15.5" customHeight="1" spans="1:26">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row>
    <row r="596" ht="15.5" customHeight="1" spans="1:26">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row>
    <row r="597" ht="15.5" customHeight="1" spans="1:26">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row>
    <row r="598" ht="15.5" customHeight="1" spans="1:26">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row>
    <row r="599" ht="15.5" customHeight="1" spans="1:26">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row>
    <row r="600" ht="15.5" customHeight="1" spans="1:26">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row>
    <row r="601" ht="15.5" customHeight="1" spans="1:26">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row>
    <row r="602" ht="15.5" customHeight="1" spans="1:26">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row>
    <row r="603" ht="15.5" customHeight="1" spans="1:26">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row>
    <row r="604" ht="15.5" customHeight="1" spans="1:26">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row>
    <row r="605" ht="15.5" customHeight="1" spans="1:26">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row>
    <row r="606" ht="15.5" customHeight="1" spans="1:26">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row>
    <row r="607" ht="15.5" customHeight="1" spans="1:26">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row>
    <row r="608" ht="15.5" customHeight="1" spans="1:26">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row>
    <row r="609" ht="15.5" customHeight="1" spans="1:26">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row>
    <row r="610" ht="15.5" customHeight="1" spans="1:26">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row>
    <row r="611" ht="15.5" customHeight="1" spans="1:26">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row>
    <row r="612" ht="15.5" customHeight="1" spans="1:26">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row>
    <row r="613" ht="15.5" customHeight="1" spans="1:26">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row>
    <row r="614" ht="15.5" customHeight="1" spans="1:26">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row>
    <row r="615" ht="15.5" customHeight="1" spans="1:26">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row>
    <row r="616" ht="15.5" customHeight="1" spans="1:26">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row>
    <row r="617" ht="15.5" customHeight="1" spans="1:26">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row>
    <row r="618" ht="15.5" customHeight="1" spans="1:26">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row>
    <row r="619" ht="15.5" customHeight="1" spans="1:26">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row>
    <row r="620" ht="15.5" customHeight="1" spans="1:26">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row>
    <row r="621" ht="15.5" customHeight="1" spans="1:26">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row>
    <row r="622" ht="15.5" customHeight="1" spans="1:26">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row>
    <row r="623" ht="15.5" customHeight="1" spans="1:26">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row>
    <row r="624" ht="15.5" customHeight="1" spans="1:26">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row>
    <row r="625" ht="15.5" customHeight="1" spans="1:26">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row>
    <row r="626" ht="15.5" customHeight="1" spans="1:26">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row>
    <row r="627" ht="15.5" customHeight="1" spans="1:26">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row>
    <row r="628" ht="15.5" customHeight="1" spans="1:26">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row>
    <row r="629" ht="15.5" customHeight="1" spans="1:26">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row>
    <row r="630" ht="15.5" customHeight="1" spans="1:26">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row>
    <row r="631" ht="15.5" customHeight="1" spans="1:26">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row>
    <row r="632" ht="15.5" customHeight="1" spans="1:26">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row>
    <row r="633" ht="15.5" customHeight="1" spans="1:26">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row>
    <row r="634" ht="15.5" customHeight="1" spans="1:26">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row>
    <row r="635" ht="15.5" customHeight="1" spans="1:26">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row>
    <row r="636" ht="15.5" customHeight="1" spans="1:26">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row>
    <row r="637" ht="15.5" customHeight="1" spans="1:26">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row>
    <row r="638" ht="15.5" customHeight="1" spans="1:26">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row>
    <row r="639" ht="15.5" customHeight="1" spans="1:26">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row>
    <row r="640" ht="15.5" customHeight="1" spans="1:26">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row>
    <row r="641" ht="15.5" customHeight="1" spans="1:26">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row>
    <row r="642" ht="15.5" customHeight="1" spans="1:26">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row>
    <row r="643" ht="15.5" customHeight="1" spans="1:26">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row>
    <row r="644" ht="15.5" customHeight="1" spans="1:26">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row>
    <row r="645" ht="15.5" customHeight="1" spans="1:26">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row>
    <row r="646" ht="15.5" customHeight="1" spans="1:26">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row>
    <row r="647" ht="15.5" customHeight="1" spans="1:26">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row>
    <row r="648" ht="15.5" customHeight="1" spans="1:26">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row>
    <row r="649" ht="15.5" customHeight="1" spans="1:26">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row>
    <row r="650" ht="15.5" customHeight="1" spans="1:26">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row>
    <row r="651" ht="15.5" customHeight="1" spans="1:26">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row>
    <row r="652" ht="15.5" customHeight="1" spans="1:26">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row>
    <row r="653" ht="15.5" customHeight="1" spans="1:26">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row>
    <row r="654" ht="15.5" customHeight="1" spans="1:26">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row>
    <row r="655" ht="15.5" customHeight="1" spans="1:26">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row>
    <row r="656" ht="15.5" customHeight="1" spans="1:26">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row>
    <row r="657" ht="15.5" customHeight="1" spans="1:26">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row>
    <row r="658" ht="15.5" customHeight="1" spans="1:26">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row>
    <row r="659" ht="15.5" customHeight="1" spans="1:26">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row>
    <row r="660" ht="15.5" customHeight="1" spans="1:26">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row>
    <row r="661" ht="15.5" customHeight="1" spans="1:26">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row>
    <row r="662" ht="15.5" customHeight="1" spans="1:26">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row>
    <row r="663" ht="15.5" customHeight="1" spans="1:26">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row>
    <row r="664" ht="15.5" customHeight="1" spans="1:26">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row>
    <row r="665" ht="15.5" customHeight="1" spans="1:26">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row>
    <row r="666" ht="15.5" customHeight="1" spans="1:26">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row>
    <row r="667" ht="15.5" customHeight="1" spans="1:26">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row>
    <row r="668" ht="15.5" customHeight="1" spans="1:26">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row>
    <row r="669" ht="15.5" customHeight="1" spans="1:26">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row>
    <row r="670" ht="15.5" customHeight="1" spans="1:26">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row>
    <row r="671" ht="15.5" customHeight="1" spans="1:26">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row>
    <row r="672" ht="15.5" customHeight="1" spans="1:26">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row>
    <row r="673" ht="15.5" customHeight="1" spans="1:26">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row>
    <row r="674" ht="15.5" customHeight="1" spans="1:26">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row>
    <row r="675" ht="15.5" customHeight="1" spans="1:26">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row>
    <row r="676" ht="15.5" customHeight="1" spans="1:26">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row>
    <row r="677" ht="15.5" customHeight="1" spans="1:26">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row>
    <row r="678" ht="15.5" customHeight="1" spans="1:26">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row>
    <row r="679" ht="15.5" customHeight="1" spans="1:26">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row>
    <row r="680" ht="15.5" customHeight="1" spans="1:26">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row>
    <row r="681" ht="15.5" customHeight="1" spans="1:26">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row>
    <row r="682" ht="15.5" customHeight="1" spans="1:26">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row>
    <row r="683" ht="15.5" customHeight="1" spans="1:26">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row>
    <row r="684" ht="15.5" customHeight="1" spans="1:26">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row>
    <row r="685" ht="15.5" customHeight="1" spans="1:26">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row>
    <row r="686" ht="15.5" customHeight="1" spans="1:26">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row>
    <row r="687" ht="15.5" customHeight="1" spans="1:26">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row>
    <row r="688" ht="15.5" customHeight="1" spans="1:26">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row>
    <row r="689" ht="15.5" customHeight="1" spans="1:26">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row>
    <row r="690" ht="15.5" customHeight="1" spans="1:26">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row>
    <row r="691" ht="15.5" customHeight="1" spans="1:26">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row>
    <row r="692" ht="15.5" customHeight="1" spans="1:26">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row>
    <row r="693" ht="15.5" customHeight="1" spans="1:26">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row>
    <row r="694" ht="15.5" customHeight="1" spans="1:26">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row>
    <row r="695" ht="15.5" customHeight="1" spans="1:26">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row>
    <row r="696" ht="15.5" customHeight="1" spans="1:26">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row>
    <row r="697" ht="15.5" customHeight="1" spans="1:26">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row>
    <row r="698" ht="15.5" customHeight="1" spans="1:26">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row>
    <row r="699" ht="15.5" customHeight="1" spans="1:26">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row>
    <row r="700" ht="15.5" customHeight="1" spans="1:26">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row>
    <row r="701" ht="15.5" customHeight="1" spans="1:26">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row>
    <row r="702" ht="15.5" customHeight="1" spans="1:26">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row>
    <row r="703" ht="15.5" customHeight="1" spans="1:26">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row>
    <row r="704" ht="15.5" customHeight="1" spans="1:26">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row>
    <row r="705" ht="15.5" customHeight="1" spans="1:26">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row>
    <row r="706" ht="15.5" customHeight="1" spans="1:26">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row>
    <row r="707" ht="15.5" customHeight="1" spans="1:26">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row>
    <row r="708" ht="15.5" customHeight="1" spans="1:26">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row>
    <row r="709" ht="15.5" customHeight="1" spans="1:26">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row>
    <row r="710" ht="15.5" customHeight="1" spans="1:26">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row>
    <row r="711" ht="15.5" customHeight="1" spans="1:26">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row>
    <row r="712" ht="15.5" customHeight="1" spans="1:26">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row>
    <row r="713" ht="15.5" customHeight="1" spans="1:26">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row>
    <row r="714" ht="15.5" customHeight="1" spans="1:26">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row>
    <row r="715" ht="15.5" customHeight="1" spans="1:26">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row>
    <row r="716" ht="15.5" customHeight="1" spans="1:26">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row>
    <row r="717" ht="15.5" customHeight="1" spans="1:26">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row>
    <row r="718" ht="15.5" customHeight="1" spans="1:26">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row>
    <row r="719" ht="15.5" customHeight="1" spans="1:26">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row>
    <row r="720" ht="15.5" customHeight="1" spans="1:26">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row>
    <row r="721" ht="15.5" customHeight="1" spans="1:26">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row>
    <row r="722" ht="15.5" customHeight="1" spans="1:26">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row>
    <row r="723" ht="15.5" customHeight="1" spans="1:26">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row>
    <row r="724" ht="15.5" customHeight="1" spans="1:26">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row>
    <row r="725" ht="15.5" customHeight="1" spans="1:26">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row>
    <row r="726" ht="15.5" customHeight="1" spans="1:26">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row>
    <row r="727" ht="15.5" customHeight="1" spans="1:26">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row>
    <row r="728" ht="15.5" customHeight="1" spans="1:26">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row>
    <row r="729" ht="15.5" customHeight="1" spans="1:26">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row>
    <row r="730" ht="15.5" customHeight="1" spans="1:26">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row>
    <row r="731" ht="15.5" customHeight="1" spans="1:26">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row>
    <row r="732" ht="15.5" customHeight="1" spans="1:26">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row>
    <row r="733" ht="15.5" customHeight="1" spans="1:26">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row>
    <row r="734" ht="15.5" customHeight="1" spans="1:26">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row>
    <row r="735" ht="15.5" customHeight="1" spans="1:26">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row>
    <row r="736" ht="15.5" customHeight="1" spans="1:26">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row>
    <row r="737" ht="15.5" customHeight="1" spans="1:26">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row>
    <row r="738" ht="15.5" customHeight="1" spans="1:26">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row>
    <row r="739" ht="15.5" customHeight="1" spans="1:26">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row>
    <row r="740" ht="15.5" customHeight="1" spans="1:26">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row>
    <row r="741" ht="15.5" customHeight="1" spans="1:26">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row>
    <row r="742" ht="15.5" customHeight="1" spans="1:26">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row>
    <row r="743" ht="15.5" customHeight="1" spans="1:26">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row>
    <row r="744" ht="15.5" customHeight="1" spans="1:26">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row>
    <row r="745" ht="15.5" customHeight="1" spans="1:26">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row>
    <row r="746" ht="15.5" customHeight="1" spans="1:26">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row>
    <row r="747" ht="15.5" customHeight="1" spans="1:26">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row>
    <row r="748" ht="15.5" customHeight="1" spans="1:26">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row>
    <row r="749" ht="15.5" customHeight="1" spans="1:26">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row>
    <row r="750" ht="15.5" customHeight="1" spans="1:26">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row>
    <row r="751" ht="15.5" customHeight="1" spans="1:26">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row>
    <row r="752" ht="15.5" customHeight="1" spans="1:26">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row>
    <row r="753" ht="15.5" customHeight="1" spans="1:26">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row>
    <row r="754" ht="15.5" customHeight="1" spans="1:26">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row>
    <row r="755" ht="15.5" customHeight="1" spans="1:26">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row>
    <row r="756" ht="15.5" customHeight="1" spans="1:26">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row>
    <row r="757" ht="15.5" customHeight="1" spans="1:26">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row>
    <row r="758" ht="15.5" customHeight="1" spans="1:26">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row>
    <row r="759" ht="15.5" customHeight="1" spans="1:26">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row>
    <row r="760" ht="15.5" customHeight="1" spans="1:26">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row>
    <row r="761" ht="15.5" customHeight="1" spans="1:26">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row>
    <row r="762" ht="15.5" customHeight="1" spans="1:26">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row>
    <row r="763" ht="15.5" customHeight="1" spans="1:26">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row>
    <row r="764" ht="15.5" customHeight="1" spans="1:26">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row>
    <row r="765" ht="15.5" customHeight="1" spans="1:26">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row>
    <row r="766" ht="15.5" customHeight="1" spans="1:26">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row>
    <row r="767" ht="15.5" customHeight="1" spans="1:26">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row>
    <row r="768" ht="15.5" customHeight="1" spans="1:26">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row>
    <row r="769" ht="15.5" customHeight="1" spans="1:26">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row>
    <row r="770" ht="15.5" customHeight="1" spans="1:26">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row>
    <row r="771" ht="15.5" customHeight="1" spans="1:26">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row>
    <row r="772" ht="15.5" customHeight="1" spans="1:26">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row>
    <row r="773" ht="15.5" customHeight="1" spans="1:26">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row>
    <row r="774" ht="15.5" customHeight="1" spans="1:26">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row>
    <row r="775" ht="15.5" customHeight="1" spans="1:26">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row>
    <row r="776" ht="15.5" customHeight="1" spans="1:26">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row>
    <row r="777" ht="15.5" customHeight="1" spans="1:26">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row>
    <row r="778" ht="15.5" customHeight="1" spans="1:26">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row>
    <row r="779" ht="15.5" customHeight="1" spans="1:26">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row>
    <row r="780" ht="15.5" customHeight="1" spans="1:26">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row>
    <row r="781" ht="15.5" customHeight="1" spans="1:26">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row>
    <row r="782" ht="15.5" customHeight="1" spans="1:26">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row>
    <row r="783" ht="15.5" customHeight="1" spans="1:26">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row>
    <row r="784" ht="15.5" customHeight="1" spans="1:26">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row>
    <row r="785" ht="15.5" customHeight="1" spans="1:26">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row>
    <row r="786" ht="15.5" customHeight="1" spans="1:26">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row>
    <row r="787" ht="15.5" customHeight="1" spans="1:26">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row>
    <row r="788" ht="15.5" customHeight="1" spans="1:26">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row>
    <row r="789" ht="15.5" customHeight="1" spans="1:26">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row>
    <row r="790" ht="15.5" customHeight="1" spans="1:26">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row>
    <row r="791" ht="15.5" customHeight="1" spans="1:26">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row>
    <row r="792" ht="15.5" customHeight="1" spans="1:26">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row>
    <row r="793" ht="15.5" customHeight="1" spans="1:26">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row>
    <row r="794" ht="15.5" customHeight="1" spans="1:26">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row>
    <row r="795" ht="15.5" customHeight="1" spans="1:26">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row>
    <row r="796" ht="15.5" customHeight="1" spans="1:26">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row>
    <row r="797" ht="15.5" customHeight="1" spans="1:26">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row>
    <row r="798" ht="15.5" customHeight="1" spans="1:26">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row>
    <row r="799" ht="15.5" customHeight="1" spans="1:26">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row>
    <row r="800" ht="15.5" customHeight="1" spans="1:26">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row>
    <row r="801" ht="15.5" customHeight="1" spans="1:26">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row>
    <row r="802" ht="15.5" customHeight="1" spans="1:26">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row>
    <row r="803" ht="15.5" customHeight="1" spans="1:26">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row>
    <row r="804" ht="15.5" customHeight="1" spans="1:26">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row>
    <row r="805" ht="15.5" customHeight="1" spans="1:26">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row>
    <row r="806" ht="15.5" customHeight="1" spans="1:26">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row>
    <row r="807" ht="15.5" customHeight="1" spans="1:26">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row>
    <row r="808" ht="15.5" customHeight="1" spans="1:26">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row>
    <row r="809" ht="15.5" customHeight="1" spans="1:26">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row>
    <row r="810" ht="15.5" customHeight="1" spans="1:26">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row>
    <row r="811" ht="15.5" customHeight="1" spans="1:26">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row>
    <row r="812" ht="15.5" customHeight="1" spans="1:26">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row>
    <row r="813" ht="15.5" customHeight="1" spans="1:26">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row>
    <row r="814" ht="15.5" customHeight="1" spans="1:26">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row>
    <row r="815" ht="15.5" customHeight="1" spans="1:26">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row>
    <row r="816" ht="15.5" customHeight="1" spans="1:26">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row>
    <row r="817" ht="15.5" customHeight="1" spans="1:26">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row>
    <row r="818" ht="15.5" customHeight="1" spans="1:26">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row>
    <row r="819" ht="15.5" customHeight="1" spans="1:26">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row>
    <row r="820" ht="15.5" customHeight="1" spans="1:26">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row>
    <row r="821" ht="15.5" customHeight="1" spans="1:26">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row>
    <row r="822" ht="15.5" customHeight="1" spans="1:26">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row>
    <row r="823" ht="15.5" customHeight="1" spans="1:26">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row>
    <row r="824" ht="15.5" customHeight="1" spans="1:26">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row>
    <row r="825" ht="15.5" customHeight="1" spans="1:26">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row>
    <row r="826" ht="15.5" customHeight="1" spans="1:26">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row>
    <row r="827" ht="15.5" customHeight="1" spans="1:26">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row>
    <row r="828" ht="15.5" customHeight="1" spans="1:26">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row>
    <row r="829" ht="15.5" customHeight="1" spans="1:26">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row>
    <row r="830" ht="15.5" customHeight="1" spans="1:26">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row>
    <row r="831" ht="15.5" customHeight="1" spans="1:26">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row>
    <row r="832" ht="15.5" customHeight="1" spans="1:26">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row>
    <row r="833" ht="15.5" customHeight="1" spans="1:26">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row>
    <row r="834" ht="15.5" customHeight="1" spans="1:26">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row>
    <row r="835" ht="15.5" customHeight="1" spans="1:26">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row>
    <row r="836" ht="15.5" customHeight="1" spans="1:26">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row>
    <row r="837" ht="15.5" customHeight="1" spans="1:26">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row>
    <row r="838" ht="15.5" customHeight="1" spans="1:26">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row>
    <row r="839" ht="15.5" customHeight="1" spans="1:26">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row>
    <row r="840" ht="15.5" customHeight="1" spans="1:26">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row>
    <row r="841" ht="15.5" customHeight="1" spans="1:26">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row>
    <row r="842" ht="15.5" customHeight="1" spans="1:26">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row>
    <row r="843" ht="15.5" customHeight="1" spans="1:26">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row>
    <row r="844" ht="15.5" customHeight="1" spans="1:26">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row>
    <row r="845" ht="15.5" customHeight="1" spans="1:26">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row>
    <row r="846" ht="15.5" customHeight="1" spans="1:26">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row>
    <row r="847" ht="15.5" customHeight="1" spans="1:26">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row>
    <row r="848" ht="15.5" customHeight="1" spans="1:26">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row>
    <row r="849" ht="15.5" customHeight="1" spans="1:26">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row>
    <row r="850" ht="15.5" customHeight="1" spans="1:26">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row>
    <row r="851" ht="15.5" customHeight="1" spans="1:26">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row>
    <row r="852" ht="15.5" customHeight="1" spans="1:26">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row>
    <row r="853" ht="15.5" customHeight="1" spans="1:26">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row>
    <row r="854" ht="15.5" customHeight="1" spans="1:26">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row>
    <row r="855" ht="15.5" customHeight="1" spans="1:26">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row>
    <row r="856" ht="15.5" customHeight="1" spans="1:26">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row>
    <row r="857" ht="15.5" customHeight="1" spans="1:26">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row>
    <row r="858" ht="15.5" customHeight="1" spans="1:26">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row>
    <row r="859" ht="15.5" customHeight="1" spans="1:26">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row>
    <row r="860" ht="15.5" customHeight="1" spans="1:26">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row>
    <row r="861" ht="15.5" customHeight="1" spans="1:26">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row>
    <row r="862" ht="15.5" customHeight="1" spans="1:26">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row>
    <row r="863" ht="15.5" customHeight="1" spans="1:26">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row>
    <row r="864" ht="15.5" customHeight="1" spans="1:26">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row>
    <row r="865" ht="15.5" customHeight="1" spans="1:26">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row>
    <row r="866" ht="15.5" customHeight="1" spans="1:26">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row>
    <row r="867" ht="15.5" customHeight="1" spans="1:26">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row>
    <row r="868" ht="15.5" customHeight="1" spans="1:26">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row>
    <row r="869" ht="15.5" customHeight="1" spans="1:26">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row>
    <row r="870" ht="15.5" customHeight="1" spans="1:26">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row>
    <row r="871" ht="15.5" customHeight="1" spans="1:26">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row>
    <row r="872" ht="15.5" customHeight="1" spans="1:26">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row>
    <row r="873" ht="15.5" customHeight="1" spans="1:26">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row>
    <row r="874" ht="15.5" customHeight="1" spans="1:26">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row>
    <row r="875" ht="15.5" customHeight="1" spans="1:26">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row>
    <row r="876" ht="15.5" customHeight="1" spans="1:26">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row>
    <row r="877" ht="15.5" customHeight="1" spans="1:26">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row>
    <row r="878" ht="15.5" customHeight="1" spans="1:26">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row>
    <row r="879" ht="15.5" customHeight="1" spans="1:26">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row>
    <row r="880" ht="15.5" customHeight="1" spans="1:26">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row>
    <row r="881" ht="15.5" customHeight="1" spans="1:26">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row>
    <row r="882" ht="15.5" customHeight="1" spans="1:26">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row>
    <row r="883" ht="15.5" customHeight="1" spans="1:26">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row>
    <row r="884" ht="15.5" customHeight="1" spans="1:26">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row>
    <row r="885" ht="15.5" customHeight="1" spans="1:26">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row>
    <row r="886" ht="15.5" customHeight="1" spans="1:26">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row>
    <row r="887" ht="15.5" customHeight="1" spans="1:26">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row>
    <row r="888" ht="15.5" customHeight="1" spans="1:26">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row>
    <row r="889" ht="15.5" customHeight="1" spans="1:26">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row>
    <row r="890" ht="15.5" customHeight="1" spans="1:26">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row>
    <row r="891" ht="15.5" customHeight="1" spans="1:26">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row>
    <row r="892" ht="15.5" customHeight="1" spans="1:26">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row>
    <row r="893" ht="15.5" customHeight="1" spans="1:26">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row>
    <row r="894" ht="15.5" customHeight="1" spans="1:26">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row>
    <row r="895" ht="15.5" customHeight="1" spans="1:26">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row>
    <row r="896" ht="15.5" customHeight="1" spans="1:26">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row>
    <row r="897" ht="15.5" customHeight="1" spans="1:26">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row>
    <row r="898" ht="15.5" customHeight="1" spans="1:26">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row>
    <row r="899" ht="15.5" customHeight="1" spans="1:26">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row>
    <row r="900" ht="15.5" customHeight="1" spans="1:26">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row>
    <row r="901" ht="15.5" customHeight="1" spans="1:26">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row>
    <row r="902" ht="15.5" customHeight="1" spans="1:26">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row>
    <row r="903" ht="15.5" customHeight="1" spans="1:26">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row>
    <row r="904" ht="15.5" customHeight="1" spans="1:26">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row>
    <row r="905" ht="15.5" customHeight="1" spans="1:26">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row>
    <row r="906" ht="15.5" customHeight="1" spans="1:26">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row>
    <row r="907" ht="15.5" customHeight="1" spans="1:26">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row>
    <row r="908" ht="15.5" customHeight="1" spans="1:26">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row>
    <row r="909" ht="15.5" customHeight="1" spans="1:26">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row>
    <row r="910" ht="15.5" customHeight="1" spans="1:26">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row>
    <row r="911" ht="15.5" customHeight="1" spans="1:26">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row>
    <row r="912" ht="15.5" customHeight="1" spans="1:26">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row>
    <row r="913" ht="15.5" customHeight="1" spans="1:26">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row>
    <row r="914" ht="15.5" customHeight="1" spans="1:26">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row>
    <row r="915" ht="15.5" customHeight="1" spans="1:26">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row>
    <row r="916" ht="15.5" customHeight="1" spans="1:26">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row>
    <row r="917" ht="15.5" customHeight="1" spans="1:26">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row>
    <row r="918" ht="15.5" customHeight="1" spans="1:26">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row>
    <row r="919" ht="15.5" customHeight="1" spans="1:26">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row>
    <row r="920" ht="15.5" customHeight="1" spans="1:26">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row>
    <row r="921" ht="15.5" customHeight="1" spans="1:26">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row>
    <row r="922" ht="15.5" customHeight="1" spans="1:26">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row>
    <row r="923" ht="15.5" customHeight="1" spans="1:26">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row>
    <row r="924" ht="15.5" customHeight="1" spans="1:26">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row>
    <row r="925" ht="15.5" customHeight="1" spans="1:26">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row>
    <row r="926" ht="15.5" customHeight="1" spans="1:26">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row>
    <row r="927" ht="15.5" customHeight="1" spans="1:26">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row>
    <row r="928" ht="15.5" customHeight="1" spans="1:26">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row>
    <row r="929" ht="15.5" customHeight="1" spans="1:26">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row>
    <row r="930" ht="15.5" customHeight="1" spans="1:26">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row>
    <row r="931" ht="15.5" customHeight="1" spans="1:26">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row>
    <row r="932" ht="15.5" customHeight="1" spans="1:26">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row>
    <row r="933" ht="15.5" customHeight="1" spans="1:26">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row>
    <row r="934" ht="15.5" customHeight="1" spans="1:26">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row>
    <row r="935" ht="15.5" customHeight="1" spans="1:26">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row>
    <row r="936" ht="15.5" customHeight="1" spans="1:26">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row>
    <row r="937" ht="15.5" customHeight="1" spans="1:26">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row>
    <row r="938" ht="15.5" customHeight="1" spans="1:26">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row>
    <row r="939" ht="15.5" customHeight="1" spans="1:26">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row>
    <row r="940" ht="15.5" customHeight="1" spans="1:26">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row>
    <row r="941" ht="15.5" customHeight="1" spans="1:26">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row>
    <row r="942" ht="15.5" customHeight="1" spans="1:26">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row>
    <row r="943" ht="15.5" customHeight="1" spans="1:26">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row>
    <row r="944" ht="15.5" customHeight="1" spans="1:26">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row>
    <row r="945" ht="15.5" customHeight="1" spans="1:26">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row>
    <row r="946" ht="15.5" customHeight="1" spans="1:26">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row>
    <row r="947" ht="15.5" customHeight="1" spans="1:26">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row>
    <row r="948" ht="15.5" customHeight="1" spans="1:26">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row>
    <row r="949" ht="15.5" customHeight="1" spans="1:26">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row>
    <row r="950" ht="15.5" customHeight="1" spans="1:26">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row>
    <row r="951" ht="15.5" customHeight="1" spans="1:26">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row>
    <row r="952" ht="15.5" customHeight="1" spans="1:26">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row>
    <row r="953" ht="15.5" customHeight="1" spans="1:26">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row>
    <row r="954" ht="15.5" customHeight="1" spans="1:26">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row>
    <row r="955" ht="15.5" customHeight="1" spans="1:26">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row>
    <row r="956" ht="15.5" customHeight="1" spans="1:26">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row>
    <row r="957" ht="15.5" customHeight="1" spans="1:26">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row>
    <row r="958" ht="15.5" customHeight="1" spans="1:26">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row>
    <row r="959" ht="15.5" customHeight="1" spans="1:26">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row>
    <row r="960" ht="15.5" customHeight="1" spans="1:26">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row>
    <row r="961" ht="15.5" customHeight="1" spans="1:26">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row>
    <row r="962" ht="15.5" customHeight="1" spans="1:26">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row>
    <row r="963" ht="15.5" customHeight="1" spans="1:26">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row>
    <row r="964" ht="15.5" customHeight="1" spans="1:26">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row>
    <row r="965" ht="15.5" customHeight="1" spans="1:26">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row>
    <row r="966" ht="15.5" customHeight="1" spans="1:26">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row>
    <row r="967" ht="15.5" customHeight="1" spans="1:26">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row>
    <row r="968" ht="15.5" customHeight="1" spans="1:26">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row>
    <row r="969" ht="15.5" customHeight="1" spans="1:26">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row>
    <row r="970" ht="15.5" customHeight="1" spans="1:26">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row>
    <row r="971" ht="15.5" customHeight="1" spans="1:26">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row>
    <row r="972" ht="15.5" customHeight="1" spans="1:26">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row>
    <row r="973" ht="15.5" customHeight="1" spans="1:26">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row>
    <row r="974" ht="15.5" customHeight="1" spans="1:26">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row>
    <row r="975" ht="15.5" customHeight="1" spans="1:26">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row>
    <row r="976" ht="15.5" customHeight="1" spans="1:26">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row>
    <row r="977" ht="15.5" customHeight="1" spans="1:26">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row>
    <row r="978" ht="15.5" customHeight="1" spans="1:26">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row>
    <row r="979" ht="15.5" customHeight="1" spans="1:26">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row>
    <row r="980" ht="15.5" customHeight="1" spans="1:26">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row>
    <row r="981" ht="15.5" customHeight="1" spans="1:26">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row>
    <row r="982" ht="15.5" customHeight="1" spans="1:26">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row>
    <row r="983" ht="15.5" customHeight="1" spans="1:26">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row>
    <row r="984" ht="15.5" customHeight="1" spans="1:26">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row>
    <row r="985" ht="15.5" customHeight="1" spans="1:26">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row>
    <row r="986" ht="15.5" customHeight="1" spans="1:26">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row>
    <row r="987" ht="15.5" customHeight="1" spans="1:26">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row>
    <row r="988" ht="15.5" customHeight="1" spans="1:26">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row>
    <row r="989" ht="15.5" customHeight="1" spans="1:26">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row>
    <row r="990" ht="15.5" customHeight="1" spans="1:26">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row>
    <row r="991" ht="15.5" customHeight="1" spans="1:26">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row>
    <row r="992" ht="15.5" customHeight="1" spans="1:26">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row>
    <row r="993" ht="15.5" customHeight="1" spans="1:26">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row>
    <row r="994" ht="15.5" customHeight="1" spans="1:26">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row>
    <row r="995" ht="15.5" customHeight="1" spans="1:26">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row>
    <row r="996" ht="15.5" customHeight="1" spans="1:26">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row>
    <row r="997" ht="15.5" customHeight="1" spans="1:26">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row>
    <row r="998" ht="15.5" customHeight="1" spans="1:26">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row>
    <row r="999" ht="15.5" customHeight="1" spans="1:26">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row>
    <row r="1000" ht="15.5" customHeight="1" spans="1:26">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row>
  </sheetData>
  <pageMargins left="0.7" right="0.7" top="0.75" bottom="0.75" header="0" footer="0"/>
  <pageSetup paperSize="1" orientation="landscape" useFirstPageNumber="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08000"/>
  </sheetPr>
  <dimension ref="A1:Z1000"/>
  <sheetViews>
    <sheetView showGridLines="0" workbookViewId="0">
      <selection activeCell="A1" sqref="A1"/>
    </sheetView>
  </sheetViews>
  <sheetFormatPr defaultColWidth="14.4406779661017" defaultRowHeight="15.05" customHeight="1"/>
  <cols>
    <col min="1" max="1" width="32.1101694915254" customWidth="1"/>
    <col min="2" max="2" width="11.4406779661017" customWidth="1"/>
    <col min="3" max="3" width="16.4406779661017" customWidth="1"/>
    <col min="4" max="4" width="9.11016949152542" customWidth="1"/>
    <col min="5" max="5" width="43.4406779661017" customWidth="1"/>
    <col min="6" max="6" width="55" customWidth="1"/>
    <col min="7" max="26" width="9.11016949152542" customWidth="1"/>
  </cols>
  <sheetData>
    <row r="1" ht="15.5" customHeight="1" spans="1:26">
      <c r="A1" s="74"/>
      <c r="B1" s="75"/>
      <c r="C1" s="75"/>
      <c r="D1" s="75"/>
      <c r="E1" s="75"/>
      <c r="F1" s="75"/>
      <c r="G1" s="75"/>
      <c r="H1" s="75"/>
      <c r="I1" s="75"/>
      <c r="J1" s="75"/>
      <c r="K1" s="75"/>
      <c r="L1" s="75"/>
      <c r="M1" s="75"/>
      <c r="N1" s="75"/>
      <c r="O1" s="75"/>
      <c r="P1" s="75"/>
      <c r="Q1" s="75"/>
      <c r="R1" s="75"/>
      <c r="S1" s="75"/>
      <c r="T1" s="75"/>
      <c r="U1" s="75"/>
      <c r="V1" s="75"/>
      <c r="W1" s="75"/>
      <c r="X1" s="75"/>
      <c r="Y1" s="75"/>
      <c r="Z1" s="75"/>
    </row>
    <row r="2" ht="75.8" customHeight="1" spans="1:26">
      <c r="A2" s="76"/>
      <c r="B2" s="77" t="s">
        <v>45</v>
      </c>
      <c r="C2" s="34"/>
      <c r="D2" s="34"/>
      <c r="E2" s="34"/>
      <c r="F2" s="31"/>
      <c r="G2" s="78"/>
      <c r="H2" s="78"/>
      <c r="I2" s="78"/>
      <c r="J2" s="78"/>
      <c r="K2" s="78"/>
      <c r="L2" s="78"/>
      <c r="M2" s="78"/>
      <c r="N2" s="78"/>
      <c r="O2" s="78"/>
      <c r="P2" s="78"/>
      <c r="Q2" s="78"/>
      <c r="R2" s="78"/>
      <c r="S2" s="78"/>
      <c r="T2" s="78"/>
      <c r="U2" s="78"/>
      <c r="V2" s="78"/>
      <c r="W2" s="78"/>
      <c r="X2" s="78"/>
      <c r="Y2" s="78"/>
      <c r="Z2" s="78"/>
    </row>
    <row r="3" ht="15.5" customHeight="1" spans="1:26">
      <c r="A3" s="79"/>
      <c r="B3" s="80"/>
      <c r="C3" s="75"/>
      <c r="D3" s="75"/>
      <c r="E3" s="24"/>
      <c r="F3" s="75"/>
      <c r="G3" s="75"/>
      <c r="H3" s="75"/>
      <c r="I3" s="75"/>
      <c r="J3" s="75"/>
      <c r="K3" s="75"/>
      <c r="L3" s="75"/>
      <c r="M3" s="75"/>
      <c r="N3" s="75"/>
      <c r="O3" s="75"/>
      <c r="P3" s="75"/>
      <c r="Q3" s="75"/>
      <c r="R3" s="75"/>
      <c r="S3" s="75"/>
      <c r="T3" s="75"/>
      <c r="U3" s="75"/>
      <c r="V3" s="75"/>
      <c r="W3" s="75"/>
      <c r="X3" s="75"/>
      <c r="Y3" s="75"/>
      <c r="Z3" s="75"/>
    </row>
    <row r="4" ht="15.5" customHeight="1" spans="1:26">
      <c r="A4" s="81" t="s">
        <v>46</v>
      </c>
      <c r="B4" s="82" t="s">
        <v>47</v>
      </c>
      <c r="C4" s="34"/>
      <c r="D4" s="31"/>
      <c r="E4" s="81" t="s">
        <v>48</v>
      </c>
      <c r="F4" s="83" t="s">
        <v>49</v>
      </c>
      <c r="G4" s="75"/>
      <c r="H4" s="75"/>
      <c r="I4" s="75"/>
      <c r="J4" s="75"/>
      <c r="K4" s="75"/>
      <c r="L4" s="75"/>
      <c r="M4" s="75"/>
      <c r="N4" s="75"/>
      <c r="O4" s="75"/>
      <c r="P4" s="75"/>
      <c r="Q4" s="75"/>
      <c r="R4" s="75"/>
      <c r="S4" s="75"/>
      <c r="T4" s="75"/>
      <c r="U4" s="75"/>
      <c r="V4" s="75"/>
      <c r="W4" s="75"/>
      <c r="X4" s="75"/>
      <c r="Y4" s="75"/>
      <c r="Z4" s="75"/>
    </row>
    <row r="5" ht="15.5" customHeight="1" spans="1:26">
      <c r="A5" s="81" t="s">
        <v>50</v>
      </c>
      <c r="B5" s="82" t="s">
        <v>51</v>
      </c>
      <c r="C5" s="34"/>
      <c r="D5" s="31"/>
      <c r="E5" s="81" t="s">
        <v>52</v>
      </c>
      <c r="F5" s="84">
        <v>46175</v>
      </c>
      <c r="G5" s="75"/>
      <c r="H5" s="75"/>
      <c r="I5" s="75"/>
      <c r="J5" s="75"/>
      <c r="K5" s="75"/>
      <c r="L5" s="75"/>
      <c r="M5" s="75"/>
      <c r="N5" s="75"/>
      <c r="O5" s="75"/>
      <c r="P5" s="75"/>
      <c r="Q5" s="75"/>
      <c r="R5" s="75"/>
      <c r="S5" s="75"/>
      <c r="T5" s="75"/>
      <c r="U5" s="75"/>
      <c r="V5" s="75"/>
      <c r="W5" s="75"/>
      <c r="X5" s="75"/>
      <c r="Y5" s="75"/>
      <c r="Z5" s="75"/>
    </row>
    <row r="6" ht="15.75" customHeight="1" spans="1:26">
      <c r="A6" s="35" t="s">
        <v>53</v>
      </c>
      <c r="B6" s="85" t="str">
        <f>B5&amp;"_"&amp;"Unit &amp; API Test Report"&amp;"_"&amp;"v0.1"</f>
        <v>SU26SE102_Unit &amp; API Test Report_v0.1</v>
      </c>
      <c r="C6" s="34"/>
      <c r="D6" s="31"/>
      <c r="E6" s="81" t="s">
        <v>54</v>
      </c>
      <c r="F6" s="84" t="s">
        <v>55</v>
      </c>
      <c r="G6" s="75"/>
      <c r="H6" s="75"/>
      <c r="I6" s="75"/>
      <c r="J6" s="75"/>
      <c r="K6" s="75"/>
      <c r="L6" s="75"/>
      <c r="M6" s="75"/>
      <c r="N6" s="75"/>
      <c r="O6" s="75"/>
      <c r="P6" s="75"/>
      <c r="Q6" s="75"/>
      <c r="R6" s="75"/>
      <c r="S6" s="75"/>
      <c r="T6" s="75"/>
      <c r="U6" s="75"/>
      <c r="V6" s="75"/>
      <c r="W6" s="75"/>
      <c r="X6" s="75"/>
      <c r="Y6" s="75"/>
      <c r="Z6" s="75"/>
    </row>
    <row r="7" ht="15.5" customHeight="1" spans="1:26">
      <c r="A7" s="86"/>
      <c r="B7" s="80"/>
      <c r="C7" s="75"/>
      <c r="D7" s="75"/>
      <c r="E7" s="87"/>
      <c r="F7" s="80"/>
      <c r="G7" s="75"/>
      <c r="H7" s="75"/>
      <c r="I7" s="75"/>
      <c r="J7" s="75"/>
      <c r="K7" s="75"/>
      <c r="L7" s="75"/>
      <c r="M7" s="75"/>
      <c r="N7" s="75"/>
      <c r="O7" s="75"/>
      <c r="P7" s="75"/>
      <c r="Q7" s="75"/>
      <c r="R7" s="75"/>
      <c r="S7" s="75"/>
      <c r="T7" s="75"/>
      <c r="U7" s="75"/>
      <c r="V7" s="75"/>
      <c r="W7" s="75"/>
      <c r="X7" s="75"/>
      <c r="Y7" s="75"/>
      <c r="Z7" s="75"/>
    </row>
    <row r="8" ht="15.5" customHeight="1" spans="1:26">
      <c r="A8" s="75"/>
      <c r="B8" s="75"/>
      <c r="C8" s="75"/>
      <c r="D8" s="75"/>
      <c r="E8" s="75"/>
      <c r="F8" s="75"/>
      <c r="G8" s="75"/>
      <c r="H8" s="75"/>
      <c r="I8" s="75"/>
      <c r="J8" s="75"/>
      <c r="K8" s="75"/>
      <c r="L8" s="75"/>
      <c r="M8" s="75"/>
      <c r="N8" s="75"/>
      <c r="O8" s="75"/>
      <c r="P8" s="75"/>
      <c r="Q8" s="75"/>
      <c r="R8" s="75"/>
      <c r="S8" s="75"/>
      <c r="T8" s="75"/>
      <c r="U8" s="75"/>
      <c r="V8" s="75"/>
      <c r="W8" s="75"/>
      <c r="X8" s="75"/>
      <c r="Y8" s="75"/>
      <c r="Z8" s="75"/>
    </row>
    <row r="9" ht="15.5" customHeight="1" spans="1:26">
      <c r="A9" s="88" t="s">
        <v>56</v>
      </c>
      <c r="B9" s="75"/>
      <c r="C9" s="75"/>
      <c r="D9" s="75"/>
      <c r="E9" s="75"/>
      <c r="F9" s="75"/>
      <c r="G9" s="75"/>
      <c r="H9" s="75"/>
      <c r="I9" s="75"/>
      <c r="J9" s="75"/>
      <c r="K9" s="75"/>
      <c r="L9" s="75"/>
      <c r="M9" s="75"/>
      <c r="N9" s="75"/>
      <c r="O9" s="75"/>
      <c r="P9" s="75"/>
      <c r="Q9" s="75"/>
      <c r="R9" s="75"/>
      <c r="S9" s="75"/>
      <c r="T9" s="75"/>
      <c r="U9" s="75"/>
      <c r="V9" s="75"/>
      <c r="W9" s="75"/>
      <c r="X9" s="75"/>
      <c r="Y9" s="75"/>
      <c r="Z9" s="75"/>
    </row>
    <row r="10" ht="15.5" customHeight="1" spans="1:26">
      <c r="A10" s="89" t="s">
        <v>57</v>
      </c>
      <c r="B10" s="90" t="s">
        <v>54</v>
      </c>
      <c r="C10" s="90" t="s">
        <v>58</v>
      </c>
      <c r="D10" s="90" t="s">
        <v>59</v>
      </c>
      <c r="E10" s="90" t="s">
        <v>60</v>
      </c>
      <c r="F10" s="91" t="s">
        <v>61</v>
      </c>
      <c r="G10" s="92"/>
      <c r="H10" s="92"/>
      <c r="I10" s="92"/>
      <c r="J10" s="92"/>
      <c r="K10" s="92"/>
      <c r="L10" s="92"/>
      <c r="M10" s="92"/>
      <c r="N10" s="92"/>
      <c r="O10" s="92"/>
      <c r="P10" s="92"/>
      <c r="Q10" s="92"/>
      <c r="R10" s="92"/>
      <c r="S10" s="92"/>
      <c r="T10" s="92"/>
      <c r="U10" s="92"/>
      <c r="V10" s="92"/>
      <c r="W10" s="92"/>
      <c r="X10" s="92"/>
      <c r="Y10" s="92"/>
      <c r="Z10" s="92"/>
    </row>
    <row r="11" ht="31" customHeight="1" spans="1:26">
      <c r="A11" s="93">
        <v>46175</v>
      </c>
      <c r="B11" s="94" t="s">
        <v>62</v>
      </c>
      <c r="C11" s="95"/>
      <c r="D11" s="95" t="s">
        <v>63</v>
      </c>
      <c r="E11" s="96" t="s">
        <v>64</v>
      </c>
      <c r="F11" s="97"/>
      <c r="G11" s="98"/>
      <c r="H11" s="98"/>
      <c r="I11" s="98"/>
      <c r="J11" s="98"/>
      <c r="K11" s="98"/>
      <c r="L11" s="98"/>
      <c r="M11" s="98"/>
      <c r="N11" s="98"/>
      <c r="O11" s="98"/>
      <c r="P11" s="98"/>
      <c r="Q11" s="98"/>
      <c r="R11" s="98"/>
      <c r="S11" s="98"/>
      <c r="T11" s="98"/>
      <c r="U11" s="98"/>
      <c r="V11" s="98"/>
      <c r="W11" s="98"/>
      <c r="X11" s="98"/>
      <c r="Y11" s="98"/>
      <c r="Z11" s="98"/>
    </row>
    <row r="12" ht="21.8" customHeight="1" spans="1:26">
      <c r="A12" s="93">
        <v>46250</v>
      </c>
      <c r="B12" s="94" t="s">
        <v>65</v>
      </c>
      <c r="C12" s="95" t="s">
        <v>66</v>
      </c>
      <c r="D12" s="95" t="s">
        <v>67</v>
      </c>
      <c r="E12" s="96" t="s">
        <v>68</v>
      </c>
      <c r="F12" s="97" t="s">
        <v>69</v>
      </c>
    </row>
    <row r="13" ht="19.5" customHeight="1" spans="1:26">
      <c r="A13" s="99"/>
      <c r="B13" s="94"/>
      <c r="C13" s="95"/>
      <c r="D13" s="95"/>
      <c r="E13" s="95"/>
      <c r="F13" s="100"/>
      <c r="G13" s="98"/>
      <c r="H13" s="98"/>
      <c r="I13" s="98"/>
      <c r="J13" s="98"/>
      <c r="K13" s="98"/>
      <c r="L13" s="98"/>
      <c r="M13" s="98"/>
      <c r="N13" s="98"/>
      <c r="O13" s="98"/>
      <c r="P13" s="98"/>
      <c r="Q13" s="98"/>
      <c r="R13" s="98"/>
      <c r="S13" s="98"/>
      <c r="T13" s="98"/>
      <c r="U13" s="98"/>
      <c r="V13" s="98"/>
      <c r="W13" s="98"/>
      <c r="X13" s="98"/>
      <c r="Y13" s="98"/>
      <c r="Z13" s="98"/>
    </row>
    <row r="14" ht="21.8" customHeight="1" spans="1:26">
      <c r="A14" s="99"/>
      <c r="B14" s="94"/>
      <c r="C14" s="95"/>
      <c r="D14" s="95"/>
      <c r="E14" s="95"/>
      <c r="F14" s="100"/>
      <c r="G14" s="98"/>
      <c r="H14" s="98"/>
      <c r="I14" s="98"/>
      <c r="J14" s="98"/>
      <c r="K14" s="98"/>
      <c r="L14" s="98"/>
      <c r="M14" s="98"/>
      <c r="N14" s="98"/>
      <c r="O14" s="98"/>
      <c r="P14" s="98"/>
      <c r="Q14" s="98"/>
      <c r="R14" s="98"/>
      <c r="S14" s="98"/>
      <c r="T14" s="98"/>
      <c r="U14" s="98"/>
      <c r="V14" s="98"/>
      <c r="W14" s="98"/>
      <c r="X14" s="98"/>
      <c r="Y14" s="98"/>
      <c r="Z14" s="98"/>
    </row>
    <row r="15" ht="19.5" customHeight="1" spans="1:26">
      <c r="A15" s="99"/>
      <c r="B15" s="94"/>
      <c r="C15" s="95"/>
      <c r="D15" s="95"/>
      <c r="E15" s="95"/>
      <c r="F15" s="100"/>
      <c r="G15" s="98"/>
      <c r="H15" s="98"/>
      <c r="I15" s="98"/>
      <c r="J15" s="98"/>
      <c r="K15" s="98"/>
      <c r="L15" s="98"/>
      <c r="M15" s="98"/>
      <c r="N15" s="98"/>
      <c r="O15" s="98"/>
      <c r="P15" s="98"/>
      <c r="Q15" s="98"/>
      <c r="R15" s="98"/>
      <c r="S15" s="98"/>
      <c r="T15" s="98"/>
      <c r="U15" s="98"/>
      <c r="V15" s="98"/>
      <c r="W15" s="98"/>
      <c r="X15" s="98"/>
      <c r="Y15" s="98"/>
      <c r="Z15" s="98"/>
    </row>
    <row r="16" ht="21.8" customHeight="1" spans="1:26">
      <c r="A16" s="99"/>
      <c r="B16" s="94"/>
      <c r="C16" s="95"/>
      <c r="D16" s="95"/>
      <c r="E16" s="95"/>
      <c r="F16" s="100"/>
      <c r="G16" s="98"/>
      <c r="H16" s="98"/>
      <c r="I16" s="98"/>
      <c r="J16" s="98"/>
      <c r="K16" s="98"/>
      <c r="L16" s="98"/>
      <c r="M16" s="98"/>
      <c r="N16" s="98"/>
      <c r="O16" s="98"/>
      <c r="P16" s="98"/>
      <c r="Q16" s="98"/>
      <c r="R16" s="98"/>
      <c r="S16" s="98"/>
      <c r="T16" s="98"/>
      <c r="U16" s="98"/>
      <c r="V16" s="98"/>
      <c r="W16" s="98"/>
      <c r="X16" s="98"/>
      <c r="Y16" s="98"/>
      <c r="Z16" s="98"/>
    </row>
    <row r="17" ht="19.5" customHeight="1" spans="1:26">
      <c r="A17" s="101"/>
      <c r="B17" s="102"/>
      <c r="C17" s="103"/>
      <c r="D17" s="103"/>
      <c r="E17" s="103"/>
      <c r="F17" s="104"/>
      <c r="G17" s="98"/>
      <c r="H17" s="98"/>
      <c r="I17" s="98"/>
      <c r="J17" s="98"/>
      <c r="K17" s="98"/>
      <c r="L17" s="98"/>
      <c r="M17" s="98"/>
      <c r="N17" s="98"/>
      <c r="O17" s="98"/>
      <c r="P17" s="98"/>
      <c r="Q17" s="98"/>
      <c r="R17" s="98"/>
      <c r="S17" s="98"/>
      <c r="T17" s="98"/>
      <c r="U17" s="98"/>
      <c r="V17" s="98"/>
      <c r="W17" s="98"/>
      <c r="X17" s="98"/>
      <c r="Y17" s="98"/>
      <c r="Z17" s="98"/>
    </row>
    <row r="18" ht="15.5" customHeight="1" spans="1:26">
      <c r="A18" s="74"/>
      <c r="B18" s="75"/>
      <c r="C18" s="75"/>
      <c r="D18" s="75"/>
      <c r="E18" s="75"/>
      <c r="F18" s="75"/>
      <c r="G18" s="75"/>
      <c r="H18" s="75"/>
      <c r="I18" s="75"/>
      <c r="J18" s="75"/>
      <c r="K18" s="75"/>
      <c r="L18" s="75"/>
      <c r="M18" s="75"/>
      <c r="N18" s="75"/>
      <c r="O18" s="75"/>
      <c r="P18" s="75"/>
      <c r="Q18" s="75"/>
      <c r="R18" s="75"/>
      <c r="S18" s="75"/>
      <c r="T18" s="75"/>
      <c r="U18" s="75"/>
      <c r="V18" s="75"/>
      <c r="W18" s="75"/>
      <c r="X18" s="75"/>
      <c r="Y18" s="75"/>
      <c r="Z18" s="75"/>
    </row>
    <row r="19" ht="15.5" customHeight="1" spans="1:26">
      <c r="A19" s="74"/>
      <c r="B19" s="75"/>
      <c r="C19" s="75"/>
      <c r="D19" s="75"/>
      <c r="E19" s="75"/>
      <c r="F19" s="75"/>
      <c r="G19" s="75"/>
      <c r="H19" s="75"/>
      <c r="I19" s="75"/>
      <c r="J19" s="75"/>
      <c r="K19" s="75"/>
      <c r="L19" s="75"/>
      <c r="M19" s="75"/>
      <c r="N19" s="75"/>
      <c r="O19" s="75"/>
      <c r="P19" s="75"/>
      <c r="Q19" s="75"/>
      <c r="R19" s="75"/>
      <c r="S19" s="75"/>
      <c r="T19" s="75"/>
      <c r="U19" s="75"/>
      <c r="V19" s="75"/>
      <c r="W19" s="75"/>
      <c r="X19" s="75"/>
      <c r="Y19" s="75"/>
      <c r="Z19" s="75"/>
    </row>
    <row r="20" ht="15.5" customHeight="1" spans="1:26">
      <c r="A20" s="74"/>
      <c r="B20" s="75"/>
      <c r="C20" s="75"/>
      <c r="D20" s="75"/>
      <c r="E20" s="75"/>
      <c r="F20" s="75"/>
      <c r="G20" s="75"/>
      <c r="H20" s="75"/>
      <c r="I20" s="75"/>
      <c r="J20" s="75"/>
      <c r="K20" s="75"/>
      <c r="L20" s="75"/>
      <c r="M20" s="75"/>
      <c r="N20" s="75"/>
      <c r="O20" s="75"/>
      <c r="P20" s="75"/>
      <c r="Q20" s="75"/>
      <c r="R20" s="75"/>
      <c r="S20" s="75"/>
      <c r="T20" s="75"/>
      <c r="U20" s="75"/>
      <c r="V20" s="75"/>
      <c r="W20" s="75"/>
      <c r="X20" s="75"/>
      <c r="Y20" s="75"/>
      <c r="Z20" s="75"/>
    </row>
    <row r="21" ht="15.5" customHeight="1" spans="1:26">
      <c r="A21" s="74"/>
      <c r="B21" s="75"/>
      <c r="C21" s="75"/>
      <c r="D21" s="75"/>
      <c r="E21" s="75"/>
      <c r="F21" s="75"/>
      <c r="G21" s="75"/>
      <c r="H21" s="75"/>
      <c r="I21" s="75"/>
      <c r="J21" s="75"/>
      <c r="K21" s="75"/>
      <c r="L21" s="75"/>
      <c r="M21" s="75"/>
      <c r="N21" s="75"/>
      <c r="O21" s="75"/>
      <c r="P21" s="75"/>
      <c r="Q21" s="75"/>
      <c r="R21" s="75"/>
      <c r="S21" s="75"/>
      <c r="T21" s="75"/>
      <c r="U21" s="75"/>
      <c r="V21" s="75"/>
      <c r="W21" s="75"/>
      <c r="X21" s="75"/>
      <c r="Y21" s="75"/>
      <c r="Z21" s="75"/>
    </row>
    <row r="22" ht="15.5" customHeight="1" spans="1:26">
      <c r="A22" s="74"/>
      <c r="B22" s="75"/>
      <c r="C22" s="75"/>
      <c r="D22" s="75"/>
      <c r="E22" s="75"/>
      <c r="F22" s="75"/>
      <c r="G22" s="75"/>
      <c r="H22" s="75"/>
      <c r="I22" s="75"/>
      <c r="J22" s="75"/>
      <c r="K22" s="75"/>
      <c r="L22" s="75"/>
      <c r="M22" s="75"/>
      <c r="N22" s="75"/>
      <c r="O22" s="75"/>
      <c r="P22" s="75"/>
      <c r="Q22" s="75"/>
      <c r="R22" s="75"/>
      <c r="S22" s="75"/>
      <c r="T22" s="75"/>
      <c r="U22" s="75"/>
      <c r="V22" s="75"/>
      <c r="W22" s="75"/>
      <c r="X22" s="75"/>
      <c r="Y22" s="75"/>
      <c r="Z22" s="75"/>
    </row>
    <row r="23" ht="15.5" customHeight="1" spans="1:26">
      <c r="A23" s="74"/>
      <c r="B23" s="75"/>
      <c r="C23" s="75"/>
      <c r="D23" s="75"/>
      <c r="E23" s="75"/>
      <c r="F23" s="75"/>
      <c r="G23" s="75"/>
      <c r="H23" s="75"/>
      <c r="I23" s="75"/>
      <c r="J23" s="75"/>
      <c r="K23" s="75"/>
      <c r="L23" s="75"/>
      <c r="M23" s="75"/>
      <c r="N23" s="75"/>
      <c r="O23" s="75"/>
      <c r="P23" s="75"/>
      <c r="Q23" s="75"/>
      <c r="R23" s="75"/>
      <c r="S23" s="75"/>
      <c r="T23" s="75"/>
      <c r="U23" s="75"/>
      <c r="V23" s="75"/>
      <c r="W23" s="75"/>
      <c r="X23" s="75"/>
      <c r="Y23" s="75"/>
      <c r="Z23" s="75"/>
    </row>
    <row r="24" ht="15.5" customHeight="1" spans="1:26">
      <c r="A24" s="74"/>
      <c r="B24" s="75"/>
      <c r="C24" s="75"/>
      <c r="D24" s="75"/>
      <c r="E24" s="75"/>
      <c r="F24" s="75"/>
      <c r="G24" s="75"/>
      <c r="H24" s="75"/>
      <c r="I24" s="75"/>
      <c r="J24" s="75"/>
      <c r="K24" s="75"/>
      <c r="L24" s="75"/>
      <c r="M24" s="75"/>
      <c r="N24" s="75"/>
      <c r="O24" s="75"/>
      <c r="P24" s="75"/>
      <c r="Q24" s="75"/>
      <c r="R24" s="75"/>
      <c r="S24" s="75"/>
      <c r="T24" s="75"/>
      <c r="U24" s="75"/>
      <c r="V24" s="75"/>
      <c r="W24" s="75"/>
      <c r="X24" s="75"/>
      <c r="Y24" s="75"/>
      <c r="Z24" s="75"/>
    </row>
    <row r="25" ht="15.5" customHeight="1" spans="1:26">
      <c r="A25" s="74"/>
      <c r="B25" s="75"/>
      <c r="C25" s="75"/>
      <c r="D25" s="75"/>
      <c r="E25" s="75"/>
      <c r="F25" s="75"/>
      <c r="G25" s="75"/>
      <c r="H25" s="75"/>
      <c r="I25" s="75"/>
      <c r="J25" s="75"/>
      <c r="K25" s="75"/>
      <c r="L25" s="75"/>
      <c r="M25" s="75"/>
      <c r="N25" s="75"/>
      <c r="O25" s="75"/>
      <c r="P25" s="75"/>
      <c r="Q25" s="75"/>
      <c r="R25" s="75"/>
      <c r="S25" s="75"/>
      <c r="T25" s="75"/>
      <c r="U25" s="75"/>
      <c r="V25" s="75"/>
      <c r="W25" s="75"/>
      <c r="X25" s="75"/>
      <c r="Y25" s="75"/>
      <c r="Z25" s="75"/>
    </row>
    <row r="26" ht="15.5" customHeight="1" spans="1:26">
      <c r="A26" s="74"/>
      <c r="B26" s="75"/>
      <c r="C26" s="75"/>
      <c r="D26" s="75"/>
      <c r="E26" s="75"/>
      <c r="F26" s="75"/>
      <c r="G26" s="75"/>
      <c r="H26" s="75"/>
      <c r="I26" s="75"/>
      <c r="J26" s="75"/>
      <c r="K26" s="75"/>
      <c r="L26" s="75"/>
      <c r="M26" s="75"/>
      <c r="N26" s="75"/>
      <c r="O26" s="75"/>
      <c r="P26" s="75"/>
      <c r="Q26" s="75"/>
      <c r="R26" s="75"/>
      <c r="S26" s="75"/>
      <c r="T26" s="75"/>
      <c r="U26" s="75"/>
      <c r="V26" s="75"/>
      <c r="W26" s="75"/>
      <c r="X26" s="75"/>
      <c r="Y26" s="75"/>
      <c r="Z26" s="75"/>
    </row>
    <row r="27" ht="15.5" customHeight="1" spans="1:26">
      <c r="A27" s="74"/>
      <c r="B27" s="75"/>
      <c r="C27" s="75"/>
      <c r="D27" s="75"/>
      <c r="E27" s="75"/>
      <c r="F27" s="75"/>
      <c r="G27" s="75"/>
      <c r="H27" s="75"/>
      <c r="I27" s="75"/>
      <c r="J27" s="75"/>
      <c r="K27" s="75"/>
      <c r="L27" s="75"/>
      <c r="M27" s="75"/>
      <c r="N27" s="75"/>
      <c r="O27" s="75"/>
      <c r="P27" s="75"/>
      <c r="Q27" s="75"/>
      <c r="R27" s="75"/>
      <c r="S27" s="75"/>
      <c r="T27" s="75"/>
      <c r="U27" s="75"/>
      <c r="V27" s="75"/>
      <c r="W27" s="75"/>
      <c r="X27" s="75"/>
      <c r="Y27" s="75"/>
      <c r="Z27" s="75"/>
    </row>
    <row r="28" ht="15.5" customHeight="1" spans="1:26">
      <c r="A28" s="74"/>
      <c r="B28" s="75"/>
      <c r="C28" s="75"/>
      <c r="D28" s="75"/>
      <c r="E28" s="75"/>
      <c r="F28" s="75"/>
      <c r="G28" s="75"/>
      <c r="H28" s="75"/>
      <c r="I28" s="75"/>
      <c r="J28" s="75"/>
      <c r="K28" s="75"/>
      <c r="L28" s="75"/>
      <c r="M28" s="75"/>
      <c r="N28" s="75"/>
      <c r="O28" s="75"/>
      <c r="P28" s="75"/>
      <c r="Q28" s="75"/>
      <c r="R28" s="75"/>
      <c r="S28" s="75"/>
      <c r="T28" s="75"/>
      <c r="U28" s="75"/>
      <c r="V28" s="75"/>
      <c r="W28" s="75"/>
      <c r="X28" s="75"/>
      <c r="Y28" s="75"/>
      <c r="Z28" s="75"/>
    </row>
    <row r="29" ht="15.5" customHeight="1" spans="1:26">
      <c r="A29" s="74"/>
      <c r="B29" s="75"/>
      <c r="C29" s="75"/>
      <c r="D29" s="75"/>
      <c r="E29" s="75"/>
      <c r="F29" s="75"/>
      <c r="G29" s="75"/>
      <c r="H29" s="75"/>
      <c r="I29" s="75"/>
      <c r="J29" s="75"/>
      <c r="K29" s="75"/>
      <c r="L29" s="75"/>
      <c r="M29" s="75"/>
      <c r="N29" s="75"/>
      <c r="O29" s="75"/>
      <c r="P29" s="75"/>
      <c r="Q29" s="75"/>
      <c r="R29" s="75"/>
      <c r="S29" s="75"/>
      <c r="T29" s="75"/>
      <c r="U29" s="75"/>
      <c r="V29" s="75"/>
      <c r="W29" s="75"/>
      <c r="X29" s="75"/>
      <c r="Y29" s="75"/>
      <c r="Z29" s="75"/>
    </row>
    <row r="30" ht="15.5" customHeight="1" spans="1:26">
      <c r="A30" s="74"/>
      <c r="B30" s="75"/>
      <c r="C30" s="75"/>
      <c r="D30" s="75"/>
      <c r="E30" s="75"/>
      <c r="F30" s="75"/>
      <c r="G30" s="75"/>
      <c r="H30" s="75"/>
      <c r="I30" s="75"/>
      <c r="J30" s="75"/>
      <c r="K30" s="75"/>
      <c r="L30" s="75"/>
      <c r="M30" s="75"/>
      <c r="N30" s="75"/>
      <c r="O30" s="75"/>
      <c r="P30" s="75"/>
      <c r="Q30" s="75"/>
      <c r="R30" s="75"/>
      <c r="S30" s="75"/>
      <c r="T30" s="75"/>
      <c r="U30" s="75"/>
      <c r="V30" s="75"/>
      <c r="W30" s="75"/>
      <c r="X30" s="75"/>
      <c r="Y30" s="75"/>
      <c r="Z30" s="75"/>
    </row>
    <row r="31" ht="15.5" customHeight="1" spans="1:26">
      <c r="A31" s="74"/>
      <c r="B31" s="75"/>
      <c r="C31" s="75"/>
      <c r="D31" s="75"/>
      <c r="E31" s="75"/>
      <c r="F31" s="75"/>
      <c r="G31" s="75"/>
      <c r="H31" s="75"/>
      <c r="I31" s="75"/>
      <c r="J31" s="75"/>
      <c r="K31" s="75"/>
      <c r="L31" s="75"/>
      <c r="M31" s="75"/>
      <c r="N31" s="75"/>
      <c r="O31" s="75"/>
      <c r="P31" s="75"/>
      <c r="Q31" s="75"/>
      <c r="R31" s="75"/>
      <c r="S31" s="75"/>
      <c r="T31" s="75"/>
      <c r="U31" s="75"/>
      <c r="V31" s="75"/>
      <c r="W31" s="75"/>
      <c r="X31" s="75"/>
      <c r="Y31" s="75"/>
      <c r="Z31" s="75"/>
    </row>
    <row r="32" ht="15.5" customHeight="1" spans="1:26">
      <c r="A32" s="74"/>
      <c r="B32" s="75"/>
      <c r="C32" s="75"/>
      <c r="D32" s="75"/>
      <c r="E32" s="75"/>
      <c r="F32" s="75"/>
      <c r="G32" s="75"/>
      <c r="H32" s="75"/>
      <c r="I32" s="75"/>
      <c r="J32" s="75"/>
      <c r="K32" s="75"/>
      <c r="L32" s="75"/>
      <c r="M32" s="75"/>
      <c r="N32" s="75"/>
      <c r="O32" s="75"/>
      <c r="P32" s="75"/>
      <c r="Q32" s="75"/>
      <c r="R32" s="75"/>
      <c r="S32" s="75"/>
      <c r="T32" s="75"/>
      <c r="U32" s="75"/>
      <c r="V32" s="75"/>
      <c r="W32" s="75"/>
      <c r="X32" s="75"/>
      <c r="Y32" s="75"/>
      <c r="Z32" s="75"/>
    </row>
    <row r="33" ht="15.5" customHeight="1" spans="1:26">
      <c r="A33" s="74"/>
      <c r="B33" s="75"/>
      <c r="C33" s="75"/>
      <c r="D33" s="75"/>
      <c r="E33" s="75"/>
      <c r="F33" s="75"/>
      <c r="G33" s="75"/>
      <c r="H33" s="75"/>
      <c r="I33" s="75"/>
      <c r="J33" s="75"/>
      <c r="K33" s="75"/>
      <c r="L33" s="75"/>
      <c r="M33" s="75"/>
      <c r="N33" s="75"/>
      <c r="O33" s="75"/>
      <c r="P33" s="75"/>
      <c r="Q33" s="75"/>
      <c r="R33" s="75"/>
      <c r="S33" s="75"/>
      <c r="T33" s="75"/>
      <c r="U33" s="75"/>
      <c r="V33" s="75"/>
      <c r="W33" s="75"/>
      <c r="X33" s="75"/>
      <c r="Y33" s="75"/>
      <c r="Z33" s="75"/>
    </row>
    <row r="34" ht="15.5" customHeight="1" spans="1:26">
      <c r="A34" s="74"/>
      <c r="B34" s="75"/>
      <c r="C34" s="75"/>
      <c r="D34" s="75"/>
      <c r="E34" s="75"/>
      <c r="F34" s="75"/>
      <c r="G34" s="75"/>
      <c r="H34" s="75"/>
      <c r="I34" s="75"/>
      <c r="J34" s="75"/>
      <c r="K34" s="75"/>
      <c r="L34" s="75"/>
      <c r="M34" s="75"/>
      <c r="N34" s="75"/>
      <c r="O34" s="75"/>
      <c r="P34" s="75"/>
      <c r="Q34" s="75"/>
      <c r="R34" s="75"/>
      <c r="S34" s="75"/>
      <c r="T34" s="75"/>
      <c r="U34" s="75"/>
      <c r="V34" s="75"/>
      <c r="W34" s="75"/>
      <c r="X34" s="75"/>
      <c r="Y34" s="75"/>
      <c r="Z34" s="75"/>
    </row>
    <row r="35" ht="15.5" customHeight="1" spans="1:26">
      <c r="A35" s="74"/>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ht="15.5" customHeight="1" spans="1:26">
      <c r="A36" s="74"/>
      <c r="B36" s="75"/>
      <c r="C36" s="75"/>
      <c r="D36" s="75"/>
      <c r="E36" s="75"/>
      <c r="F36" s="75"/>
      <c r="G36" s="75"/>
      <c r="H36" s="75"/>
      <c r="I36" s="75"/>
      <c r="J36" s="75"/>
      <c r="K36" s="75"/>
      <c r="L36" s="75"/>
      <c r="M36" s="75"/>
      <c r="N36" s="75"/>
      <c r="O36" s="75"/>
      <c r="P36" s="75"/>
      <c r="Q36" s="75"/>
      <c r="R36" s="75"/>
      <c r="S36" s="75"/>
      <c r="T36" s="75"/>
      <c r="U36" s="75"/>
      <c r="V36" s="75"/>
      <c r="W36" s="75"/>
      <c r="X36" s="75"/>
      <c r="Y36" s="75"/>
      <c r="Z36" s="75"/>
    </row>
    <row r="37" ht="15.5" customHeight="1" spans="1:26">
      <c r="A37" s="74"/>
      <c r="B37" s="75"/>
      <c r="C37" s="75"/>
      <c r="D37" s="75"/>
      <c r="E37" s="75"/>
      <c r="F37" s="75"/>
      <c r="G37" s="75"/>
      <c r="H37" s="75"/>
      <c r="I37" s="75"/>
      <c r="J37" s="75"/>
      <c r="K37" s="75"/>
      <c r="L37" s="75"/>
      <c r="M37" s="75"/>
      <c r="N37" s="75"/>
      <c r="O37" s="75"/>
      <c r="P37" s="75"/>
      <c r="Q37" s="75"/>
      <c r="R37" s="75"/>
      <c r="S37" s="75"/>
      <c r="T37" s="75"/>
      <c r="U37" s="75"/>
      <c r="V37" s="75"/>
      <c r="W37" s="75"/>
      <c r="X37" s="75"/>
      <c r="Y37" s="75"/>
      <c r="Z37" s="75"/>
    </row>
    <row r="38" ht="15.5" customHeight="1" spans="1:26">
      <c r="A38" s="74"/>
      <c r="B38" s="75"/>
      <c r="C38" s="75"/>
      <c r="D38" s="75"/>
      <c r="E38" s="75"/>
      <c r="F38" s="75"/>
      <c r="G38" s="75"/>
      <c r="H38" s="75"/>
      <c r="I38" s="75"/>
      <c r="J38" s="75"/>
      <c r="K38" s="75"/>
      <c r="L38" s="75"/>
      <c r="M38" s="75"/>
      <c r="N38" s="75"/>
      <c r="O38" s="75"/>
      <c r="P38" s="75"/>
      <c r="Q38" s="75"/>
      <c r="R38" s="75"/>
      <c r="S38" s="75"/>
      <c r="T38" s="75"/>
      <c r="U38" s="75"/>
      <c r="V38" s="75"/>
      <c r="W38" s="75"/>
      <c r="X38" s="75"/>
      <c r="Y38" s="75"/>
      <c r="Z38" s="75"/>
    </row>
    <row r="39" ht="15.5" customHeight="1" spans="1:26">
      <c r="A39" s="74"/>
      <c r="B39" s="75"/>
      <c r="C39" s="75"/>
      <c r="D39" s="75"/>
      <c r="E39" s="75"/>
      <c r="F39" s="75"/>
      <c r="G39" s="75"/>
      <c r="H39" s="75"/>
      <c r="I39" s="75"/>
      <c r="J39" s="75"/>
      <c r="K39" s="75"/>
      <c r="L39" s="75"/>
      <c r="M39" s="75"/>
      <c r="N39" s="75"/>
      <c r="O39" s="75"/>
      <c r="P39" s="75"/>
      <c r="Q39" s="75"/>
      <c r="R39" s="75"/>
      <c r="S39" s="75"/>
      <c r="T39" s="75"/>
      <c r="U39" s="75"/>
      <c r="V39" s="75"/>
      <c r="W39" s="75"/>
      <c r="X39" s="75"/>
      <c r="Y39" s="75"/>
      <c r="Z39" s="75"/>
    </row>
    <row r="40" ht="15.5" customHeight="1" spans="1:26">
      <c r="A40" s="74"/>
      <c r="B40" s="75"/>
      <c r="C40" s="75"/>
      <c r="D40" s="75"/>
      <c r="E40" s="75"/>
      <c r="F40" s="75"/>
      <c r="G40" s="75"/>
      <c r="H40" s="75"/>
      <c r="I40" s="75"/>
      <c r="J40" s="75"/>
      <c r="K40" s="75"/>
      <c r="L40" s="75"/>
      <c r="M40" s="75"/>
      <c r="N40" s="75"/>
      <c r="O40" s="75"/>
      <c r="P40" s="75"/>
      <c r="Q40" s="75"/>
      <c r="R40" s="75"/>
      <c r="S40" s="75"/>
      <c r="T40" s="75"/>
      <c r="U40" s="75"/>
      <c r="V40" s="75"/>
      <c r="W40" s="75"/>
      <c r="X40" s="75"/>
      <c r="Y40" s="75"/>
      <c r="Z40" s="75"/>
    </row>
    <row r="41" ht="15.5" customHeight="1" spans="1:26">
      <c r="A41" s="74"/>
      <c r="B41" s="75"/>
      <c r="C41" s="75"/>
      <c r="D41" s="75"/>
      <c r="E41" s="75"/>
      <c r="F41" s="75"/>
      <c r="G41" s="75"/>
      <c r="H41" s="75"/>
      <c r="I41" s="75"/>
      <c r="J41" s="75"/>
      <c r="K41" s="75"/>
      <c r="L41" s="75"/>
      <c r="M41" s="75"/>
      <c r="N41" s="75"/>
      <c r="O41" s="75"/>
      <c r="P41" s="75"/>
      <c r="Q41" s="75"/>
      <c r="R41" s="75"/>
      <c r="S41" s="75"/>
      <c r="T41" s="75"/>
      <c r="U41" s="75"/>
      <c r="V41" s="75"/>
      <c r="W41" s="75"/>
      <c r="X41" s="75"/>
      <c r="Y41" s="75"/>
      <c r="Z41" s="75"/>
    </row>
    <row r="42" ht="15.5" customHeight="1" spans="1:26">
      <c r="A42" s="74"/>
      <c r="B42" s="75"/>
      <c r="C42" s="75"/>
      <c r="D42" s="75"/>
      <c r="E42" s="75"/>
      <c r="F42" s="75"/>
      <c r="G42" s="75"/>
      <c r="H42" s="75"/>
      <c r="I42" s="75"/>
      <c r="J42" s="75"/>
      <c r="K42" s="75"/>
      <c r="L42" s="75"/>
      <c r="M42" s="75"/>
      <c r="N42" s="75"/>
      <c r="O42" s="75"/>
      <c r="P42" s="75"/>
      <c r="Q42" s="75"/>
      <c r="R42" s="75"/>
      <c r="S42" s="75"/>
      <c r="T42" s="75"/>
      <c r="U42" s="75"/>
      <c r="V42" s="75"/>
      <c r="W42" s="75"/>
      <c r="X42" s="75"/>
      <c r="Y42" s="75"/>
      <c r="Z42" s="75"/>
    </row>
    <row r="43" ht="15.5" customHeight="1" spans="1:26">
      <c r="A43" s="74"/>
      <c r="B43" s="75"/>
      <c r="C43" s="75"/>
      <c r="D43" s="75"/>
      <c r="E43" s="75"/>
      <c r="F43" s="75"/>
      <c r="G43" s="75"/>
      <c r="H43" s="75"/>
      <c r="I43" s="75"/>
      <c r="J43" s="75"/>
      <c r="K43" s="75"/>
      <c r="L43" s="75"/>
      <c r="M43" s="75"/>
      <c r="N43" s="75"/>
      <c r="O43" s="75"/>
      <c r="P43" s="75"/>
      <c r="Q43" s="75"/>
      <c r="R43" s="75"/>
      <c r="S43" s="75"/>
      <c r="T43" s="75"/>
      <c r="U43" s="75"/>
      <c r="V43" s="75"/>
      <c r="W43" s="75"/>
      <c r="X43" s="75"/>
      <c r="Y43" s="75"/>
      <c r="Z43" s="75"/>
    </row>
    <row r="44" ht="15.5" customHeight="1" spans="1:26">
      <c r="A44" s="74"/>
      <c r="B44" s="75"/>
      <c r="C44" s="75"/>
      <c r="D44" s="75"/>
      <c r="E44" s="75"/>
      <c r="F44" s="75"/>
      <c r="G44" s="75"/>
      <c r="H44" s="75"/>
      <c r="I44" s="75"/>
      <c r="J44" s="75"/>
      <c r="K44" s="75"/>
      <c r="L44" s="75"/>
      <c r="M44" s="75"/>
      <c r="N44" s="75"/>
      <c r="O44" s="75"/>
      <c r="P44" s="75"/>
      <c r="Q44" s="75"/>
      <c r="R44" s="75"/>
      <c r="S44" s="75"/>
      <c r="T44" s="75"/>
      <c r="U44" s="75"/>
      <c r="V44" s="75"/>
      <c r="W44" s="75"/>
      <c r="X44" s="75"/>
      <c r="Y44" s="75"/>
      <c r="Z44" s="75"/>
    </row>
    <row r="45" ht="15.5" customHeight="1" spans="1:26">
      <c r="A45" s="74"/>
      <c r="B45" s="75"/>
      <c r="C45" s="75"/>
      <c r="D45" s="75"/>
      <c r="E45" s="75"/>
      <c r="F45" s="75"/>
      <c r="G45" s="75"/>
      <c r="H45" s="75"/>
      <c r="I45" s="75"/>
      <c r="J45" s="75"/>
      <c r="K45" s="75"/>
      <c r="L45" s="75"/>
      <c r="M45" s="75"/>
      <c r="N45" s="75"/>
      <c r="O45" s="75"/>
      <c r="P45" s="75"/>
      <c r="Q45" s="75"/>
      <c r="R45" s="75"/>
      <c r="S45" s="75"/>
      <c r="T45" s="75"/>
      <c r="U45" s="75"/>
      <c r="V45" s="75"/>
      <c r="W45" s="75"/>
      <c r="X45" s="75"/>
      <c r="Y45" s="75"/>
      <c r="Z45" s="75"/>
    </row>
    <row r="46" ht="15.5" customHeight="1" spans="1:26">
      <c r="A46" s="74"/>
      <c r="B46" s="75"/>
      <c r="C46" s="75"/>
      <c r="D46" s="75"/>
      <c r="E46" s="75"/>
      <c r="F46" s="75"/>
      <c r="G46" s="75"/>
      <c r="H46" s="75"/>
      <c r="I46" s="75"/>
      <c r="J46" s="75"/>
      <c r="K46" s="75"/>
      <c r="L46" s="75"/>
      <c r="M46" s="75"/>
      <c r="N46" s="75"/>
      <c r="O46" s="75"/>
      <c r="P46" s="75"/>
      <c r="Q46" s="75"/>
      <c r="R46" s="75"/>
      <c r="S46" s="75"/>
      <c r="T46" s="75"/>
      <c r="U46" s="75"/>
      <c r="V46" s="75"/>
      <c r="W46" s="75"/>
      <c r="X46" s="75"/>
      <c r="Y46" s="75"/>
      <c r="Z46" s="75"/>
    </row>
    <row r="47" ht="15.5" customHeight="1" spans="1:26">
      <c r="A47" s="74"/>
      <c r="B47" s="75"/>
      <c r="C47" s="75"/>
      <c r="D47" s="75"/>
      <c r="E47" s="75"/>
      <c r="F47" s="75"/>
      <c r="G47" s="75"/>
      <c r="H47" s="75"/>
      <c r="I47" s="75"/>
      <c r="J47" s="75"/>
      <c r="K47" s="75"/>
      <c r="L47" s="75"/>
      <c r="M47" s="75"/>
      <c r="N47" s="75"/>
      <c r="O47" s="75"/>
      <c r="P47" s="75"/>
      <c r="Q47" s="75"/>
      <c r="R47" s="75"/>
      <c r="S47" s="75"/>
      <c r="T47" s="75"/>
      <c r="U47" s="75"/>
      <c r="V47" s="75"/>
      <c r="W47" s="75"/>
      <c r="X47" s="75"/>
      <c r="Y47" s="75"/>
      <c r="Z47" s="75"/>
    </row>
    <row r="48" ht="15.5" customHeight="1" spans="1:26">
      <c r="A48" s="74"/>
      <c r="B48" s="75"/>
      <c r="C48" s="75"/>
      <c r="D48" s="75"/>
      <c r="E48" s="75"/>
      <c r="F48" s="75"/>
      <c r="G48" s="75"/>
      <c r="H48" s="75"/>
      <c r="I48" s="75"/>
      <c r="J48" s="75"/>
      <c r="K48" s="75"/>
      <c r="L48" s="75"/>
      <c r="M48" s="75"/>
      <c r="N48" s="75"/>
      <c r="O48" s="75"/>
      <c r="P48" s="75"/>
      <c r="Q48" s="75"/>
      <c r="R48" s="75"/>
      <c r="S48" s="75"/>
      <c r="T48" s="75"/>
      <c r="U48" s="75"/>
      <c r="V48" s="75"/>
      <c r="W48" s="75"/>
      <c r="X48" s="75"/>
      <c r="Y48" s="75"/>
      <c r="Z48" s="75"/>
    </row>
    <row r="49" ht="15.5" customHeight="1" spans="1:26">
      <c r="A49" s="74"/>
      <c r="B49" s="75"/>
      <c r="C49" s="75"/>
      <c r="D49" s="75"/>
      <c r="E49" s="75"/>
      <c r="F49" s="75"/>
      <c r="G49" s="75"/>
      <c r="H49" s="75"/>
      <c r="I49" s="75"/>
      <c r="J49" s="75"/>
      <c r="K49" s="75"/>
      <c r="L49" s="75"/>
      <c r="M49" s="75"/>
      <c r="N49" s="75"/>
      <c r="O49" s="75"/>
      <c r="P49" s="75"/>
      <c r="Q49" s="75"/>
      <c r="R49" s="75"/>
      <c r="S49" s="75"/>
      <c r="T49" s="75"/>
      <c r="U49" s="75"/>
      <c r="V49" s="75"/>
      <c r="W49" s="75"/>
      <c r="X49" s="75"/>
      <c r="Y49" s="75"/>
      <c r="Z49" s="75"/>
    </row>
    <row r="50" ht="15.5" customHeight="1" spans="1:26">
      <c r="A50" s="74"/>
      <c r="B50" s="75"/>
      <c r="C50" s="75"/>
      <c r="D50" s="75"/>
      <c r="E50" s="75"/>
      <c r="F50" s="75"/>
      <c r="G50" s="75"/>
      <c r="H50" s="75"/>
      <c r="I50" s="75"/>
      <c r="J50" s="75"/>
      <c r="K50" s="75"/>
      <c r="L50" s="75"/>
      <c r="M50" s="75"/>
      <c r="N50" s="75"/>
      <c r="O50" s="75"/>
      <c r="P50" s="75"/>
      <c r="Q50" s="75"/>
      <c r="R50" s="75"/>
      <c r="S50" s="75"/>
      <c r="T50" s="75"/>
      <c r="U50" s="75"/>
      <c r="V50" s="75"/>
      <c r="W50" s="75"/>
      <c r="X50" s="75"/>
      <c r="Y50" s="75"/>
      <c r="Z50" s="75"/>
    </row>
    <row r="51" ht="15.5" customHeight="1" spans="1:26">
      <c r="A51" s="74"/>
      <c r="B51" s="75"/>
      <c r="C51" s="75"/>
      <c r="D51" s="75"/>
      <c r="E51" s="75"/>
      <c r="F51" s="75"/>
      <c r="G51" s="75"/>
      <c r="H51" s="75"/>
      <c r="I51" s="75"/>
      <c r="J51" s="75"/>
      <c r="K51" s="75"/>
      <c r="L51" s="75"/>
      <c r="M51" s="75"/>
      <c r="N51" s="75"/>
      <c r="O51" s="75"/>
      <c r="P51" s="75"/>
      <c r="Q51" s="75"/>
      <c r="R51" s="75"/>
      <c r="S51" s="75"/>
      <c r="T51" s="75"/>
      <c r="U51" s="75"/>
      <c r="V51" s="75"/>
      <c r="W51" s="75"/>
      <c r="X51" s="75"/>
      <c r="Y51" s="75"/>
      <c r="Z51" s="75"/>
    </row>
    <row r="52" ht="15.5" customHeight="1" spans="1:26">
      <c r="A52" s="74"/>
      <c r="B52" s="75"/>
      <c r="C52" s="75"/>
      <c r="D52" s="75"/>
      <c r="E52" s="75"/>
      <c r="F52" s="75"/>
      <c r="G52" s="75"/>
      <c r="H52" s="75"/>
      <c r="I52" s="75"/>
      <c r="J52" s="75"/>
      <c r="K52" s="75"/>
      <c r="L52" s="75"/>
      <c r="M52" s="75"/>
      <c r="N52" s="75"/>
      <c r="O52" s="75"/>
      <c r="P52" s="75"/>
      <c r="Q52" s="75"/>
      <c r="R52" s="75"/>
      <c r="S52" s="75"/>
      <c r="T52" s="75"/>
      <c r="U52" s="75"/>
      <c r="V52" s="75"/>
      <c r="W52" s="75"/>
      <c r="X52" s="75"/>
      <c r="Y52" s="75"/>
      <c r="Z52" s="75"/>
    </row>
    <row r="53" ht="15.5" customHeight="1" spans="1:26">
      <c r="A53" s="74"/>
      <c r="B53" s="75"/>
      <c r="C53" s="75"/>
      <c r="D53" s="75"/>
      <c r="E53" s="75"/>
      <c r="F53" s="75"/>
      <c r="G53" s="75"/>
      <c r="H53" s="75"/>
      <c r="I53" s="75"/>
      <c r="J53" s="75"/>
      <c r="K53" s="75"/>
      <c r="L53" s="75"/>
      <c r="M53" s="75"/>
      <c r="N53" s="75"/>
      <c r="O53" s="75"/>
      <c r="P53" s="75"/>
      <c r="Q53" s="75"/>
      <c r="R53" s="75"/>
      <c r="S53" s="75"/>
      <c r="T53" s="75"/>
      <c r="U53" s="75"/>
      <c r="V53" s="75"/>
      <c r="W53" s="75"/>
      <c r="X53" s="75"/>
      <c r="Y53" s="75"/>
      <c r="Z53" s="75"/>
    </row>
    <row r="54" ht="15.5" customHeight="1" spans="1:26">
      <c r="A54" s="74"/>
      <c r="B54" s="75"/>
      <c r="C54" s="75"/>
      <c r="D54" s="75"/>
      <c r="E54" s="75"/>
      <c r="F54" s="75"/>
      <c r="G54" s="75"/>
      <c r="H54" s="75"/>
      <c r="I54" s="75"/>
      <c r="J54" s="75"/>
      <c r="K54" s="75"/>
      <c r="L54" s="75"/>
      <c r="M54" s="75"/>
      <c r="N54" s="75"/>
      <c r="O54" s="75"/>
      <c r="P54" s="75"/>
      <c r="Q54" s="75"/>
      <c r="R54" s="75"/>
      <c r="S54" s="75"/>
      <c r="T54" s="75"/>
      <c r="U54" s="75"/>
      <c r="V54" s="75"/>
      <c r="W54" s="75"/>
      <c r="X54" s="75"/>
      <c r="Y54" s="75"/>
      <c r="Z54" s="75"/>
    </row>
    <row r="55" ht="15.5" customHeight="1" spans="1:26">
      <c r="A55" s="74"/>
      <c r="B55" s="75"/>
      <c r="C55" s="75"/>
      <c r="D55" s="75"/>
      <c r="E55" s="75"/>
      <c r="F55" s="75"/>
      <c r="G55" s="75"/>
      <c r="H55" s="75"/>
      <c r="I55" s="75"/>
      <c r="J55" s="75"/>
      <c r="K55" s="75"/>
      <c r="L55" s="75"/>
      <c r="M55" s="75"/>
      <c r="N55" s="75"/>
      <c r="O55" s="75"/>
      <c r="P55" s="75"/>
      <c r="Q55" s="75"/>
      <c r="R55" s="75"/>
      <c r="S55" s="75"/>
      <c r="T55" s="75"/>
      <c r="U55" s="75"/>
      <c r="V55" s="75"/>
      <c r="W55" s="75"/>
      <c r="X55" s="75"/>
      <c r="Y55" s="75"/>
      <c r="Z55" s="75"/>
    </row>
    <row r="56" ht="15.5" customHeight="1" spans="1:26">
      <c r="A56" s="74"/>
      <c r="B56" s="75"/>
      <c r="C56" s="75"/>
      <c r="D56" s="75"/>
      <c r="E56" s="75"/>
      <c r="F56" s="75"/>
      <c r="G56" s="75"/>
      <c r="H56" s="75"/>
      <c r="I56" s="75"/>
      <c r="J56" s="75"/>
      <c r="K56" s="75"/>
      <c r="L56" s="75"/>
      <c r="M56" s="75"/>
      <c r="N56" s="75"/>
      <c r="O56" s="75"/>
      <c r="P56" s="75"/>
      <c r="Q56" s="75"/>
      <c r="R56" s="75"/>
      <c r="S56" s="75"/>
      <c r="T56" s="75"/>
      <c r="U56" s="75"/>
      <c r="V56" s="75"/>
      <c r="W56" s="75"/>
      <c r="X56" s="75"/>
      <c r="Y56" s="75"/>
      <c r="Z56" s="75"/>
    </row>
    <row r="57" ht="15.5" customHeight="1" spans="1:26">
      <c r="A57" s="74"/>
      <c r="B57" s="75"/>
      <c r="C57" s="75"/>
      <c r="D57" s="75"/>
      <c r="E57" s="75"/>
      <c r="F57" s="75"/>
      <c r="G57" s="75"/>
      <c r="H57" s="75"/>
      <c r="I57" s="75"/>
      <c r="J57" s="75"/>
      <c r="K57" s="75"/>
      <c r="L57" s="75"/>
      <c r="M57" s="75"/>
      <c r="N57" s="75"/>
      <c r="O57" s="75"/>
      <c r="P57" s="75"/>
      <c r="Q57" s="75"/>
      <c r="R57" s="75"/>
      <c r="S57" s="75"/>
      <c r="T57" s="75"/>
      <c r="U57" s="75"/>
      <c r="V57" s="75"/>
      <c r="W57" s="75"/>
      <c r="X57" s="75"/>
      <c r="Y57" s="75"/>
      <c r="Z57" s="75"/>
    </row>
    <row r="58" ht="15.5" customHeight="1" spans="1:26">
      <c r="A58" s="74"/>
      <c r="B58" s="75"/>
      <c r="C58" s="75"/>
      <c r="D58" s="75"/>
      <c r="E58" s="75"/>
      <c r="F58" s="75"/>
      <c r="G58" s="75"/>
      <c r="H58" s="75"/>
      <c r="I58" s="75"/>
      <c r="J58" s="75"/>
      <c r="K58" s="75"/>
      <c r="L58" s="75"/>
      <c r="M58" s="75"/>
      <c r="N58" s="75"/>
      <c r="O58" s="75"/>
      <c r="P58" s="75"/>
      <c r="Q58" s="75"/>
      <c r="R58" s="75"/>
      <c r="S58" s="75"/>
      <c r="T58" s="75"/>
      <c r="U58" s="75"/>
      <c r="V58" s="75"/>
      <c r="W58" s="75"/>
      <c r="X58" s="75"/>
      <c r="Y58" s="75"/>
      <c r="Z58" s="75"/>
    </row>
    <row r="59" ht="15.5" customHeight="1" spans="1:26">
      <c r="A59" s="74"/>
      <c r="B59" s="75"/>
      <c r="C59" s="75"/>
      <c r="D59" s="75"/>
      <c r="E59" s="75"/>
      <c r="F59" s="75"/>
      <c r="G59" s="75"/>
      <c r="H59" s="75"/>
      <c r="I59" s="75"/>
      <c r="J59" s="75"/>
      <c r="K59" s="75"/>
      <c r="L59" s="75"/>
      <c r="M59" s="75"/>
      <c r="N59" s="75"/>
      <c r="O59" s="75"/>
      <c r="P59" s="75"/>
      <c r="Q59" s="75"/>
      <c r="R59" s="75"/>
      <c r="S59" s="75"/>
      <c r="T59" s="75"/>
      <c r="U59" s="75"/>
      <c r="V59" s="75"/>
      <c r="W59" s="75"/>
      <c r="X59" s="75"/>
      <c r="Y59" s="75"/>
      <c r="Z59" s="75"/>
    </row>
    <row r="60" ht="15.5" customHeight="1" spans="1:26">
      <c r="A60" s="74"/>
      <c r="B60" s="75"/>
      <c r="C60" s="75"/>
      <c r="D60" s="75"/>
      <c r="E60" s="75"/>
      <c r="F60" s="75"/>
      <c r="G60" s="75"/>
      <c r="H60" s="75"/>
      <c r="I60" s="75"/>
      <c r="J60" s="75"/>
      <c r="K60" s="75"/>
      <c r="L60" s="75"/>
      <c r="M60" s="75"/>
      <c r="N60" s="75"/>
      <c r="O60" s="75"/>
      <c r="P60" s="75"/>
      <c r="Q60" s="75"/>
      <c r="R60" s="75"/>
      <c r="S60" s="75"/>
      <c r="T60" s="75"/>
      <c r="U60" s="75"/>
      <c r="V60" s="75"/>
      <c r="W60" s="75"/>
      <c r="X60" s="75"/>
      <c r="Y60" s="75"/>
      <c r="Z60" s="75"/>
    </row>
    <row r="61" ht="15.5" customHeight="1" spans="1:26">
      <c r="A61" s="74"/>
      <c r="B61" s="75"/>
      <c r="C61" s="75"/>
      <c r="D61" s="75"/>
      <c r="E61" s="75"/>
      <c r="F61" s="75"/>
      <c r="G61" s="75"/>
      <c r="H61" s="75"/>
      <c r="I61" s="75"/>
      <c r="J61" s="75"/>
      <c r="K61" s="75"/>
      <c r="L61" s="75"/>
      <c r="M61" s="75"/>
      <c r="N61" s="75"/>
      <c r="O61" s="75"/>
      <c r="P61" s="75"/>
      <c r="Q61" s="75"/>
      <c r="R61" s="75"/>
      <c r="S61" s="75"/>
      <c r="T61" s="75"/>
      <c r="U61" s="75"/>
      <c r="V61" s="75"/>
      <c r="W61" s="75"/>
      <c r="X61" s="75"/>
      <c r="Y61" s="75"/>
      <c r="Z61" s="75"/>
    </row>
    <row r="62" ht="15.5" customHeight="1" spans="1:26">
      <c r="A62" s="74"/>
      <c r="B62" s="75"/>
      <c r="C62" s="75"/>
      <c r="D62" s="75"/>
      <c r="E62" s="75"/>
      <c r="F62" s="75"/>
      <c r="G62" s="75"/>
      <c r="H62" s="75"/>
      <c r="I62" s="75"/>
      <c r="J62" s="75"/>
      <c r="K62" s="75"/>
      <c r="L62" s="75"/>
      <c r="M62" s="75"/>
      <c r="N62" s="75"/>
      <c r="O62" s="75"/>
      <c r="P62" s="75"/>
      <c r="Q62" s="75"/>
      <c r="R62" s="75"/>
      <c r="S62" s="75"/>
      <c r="T62" s="75"/>
      <c r="U62" s="75"/>
      <c r="V62" s="75"/>
      <c r="W62" s="75"/>
      <c r="X62" s="75"/>
      <c r="Y62" s="75"/>
      <c r="Z62" s="75"/>
    </row>
    <row r="63" ht="15.5" customHeight="1" spans="1:26">
      <c r="A63" s="74"/>
      <c r="B63" s="75"/>
      <c r="C63" s="75"/>
      <c r="D63" s="75"/>
      <c r="E63" s="75"/>
      <c r="F63" s="75"/>
      <c r="G63" s="75"/>
      <c r="H63" s="75"/>
      <c r="I63" s="75"/>
      <c r="J63" s="75"/>
      <c r="K63" s="75"/>
      <c r="L63" s="75"/>
      <c r="M63" s="75"/>
      <c r="N63" s="75"/>
      <c r="O63" s="75"/>
      <c r="P63" s="75"/>
      <c r="Q63" s="75"/>
      <c r="R63" s="75"/>
      <c r="S63" s="75"/>
      <c r="T63" s="75"/>
      <c r="U63" s="75"/>
      <c r="V63" s="75"/>
      <c r="W63" s="75"/>
      <c r="X63" s="75"/>
      <c r="Y63" s="75"/>
      <c r="Z63" s="75"/>
    </row>
    <row r="64" ht="15.5" customHeight="1" spans="1:26">
      <c r="A64" s="74"/>
      <c r="B64" s="75"/>
      <c r="C64" s="75"/>
      <c r="D64" s="75"/>
      <c r="E64" s="75"/>
      <c r="F64" s="75"/>
      <c r="G64" s="75"/>
      <c r="H64" s="75"/>
      <c r="I64" s="75"/>
      <c r="J64" s="75"/>
      <c r="K64" s="75"/>
      <c r="L64" s="75"/>
      <c r="M64" s="75"/>
      <c r="N64" s="75"/>
      <c r="O64" s="75"/>
      <c r="P64" s="75"/>
      <c r="Q64" s="75"/>
      <c r="R64" s="75"/>
      <c r="S64" s="75"/>
      <c r="T64" s="75"/>
      <c r="U64" s="75"/>
      <c r="V64" s="75"/>
      <c r="W64" s="75"/>
      <c r="X64" s="75"/>
      <c r="Y64" s="75"/>
      <c r="Z64" s="75"/>
    </row>
    <row r="65" ht="15.5" customHeight="1" spans="1:26">
      <c r="A65" s="74"/>
      <c r="B65" s="75"/>
      <c r="C65" s="75"/>
      <c r="D65" s="75"/>
      <c r="E65" s="75"/>
      <c r="F65" s="75"/>
      <c r="G65" s="75"/>
      <c r="H65" s="75"/>
      <c r="I65" s="75"/>
      <c r="J65" s="75"/>
      <c r="K65" s="75"/>
      <c r="L65" s="75"/>
      <c r="M65" s="75"/>
      <c r="N65" s="75"/>
      <c r="O65" s="75"/>
      <c r="P65" s="75"/>
      <c r="Q65" s="75"/>
      <c r="R65" s="75"/>
      <c r="S65" s="75"/>
      <c r="T65" s="75"/>
      <c r="U65" s="75"/>
      <c r="V65" s="75"/>
      <c r="W65" s="75"/>
      <c r="X65" s="75"/>
      <c r="Y65" s="75"/>
      <c r="Z65" s="75"/>
    </row>
    <row r="66" ht="15.5" customHeight="1" spans="1:26">
      <c r="A66" s="74"/>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ht="15.5" customHeight="1" spans="1:26">
      <c r="A67" s="74"/>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ht="15.5" customHeight="1" spans="1:26">
      <c r="A68" s="74"/>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ht="15.5" customHeight="1" spans="1:26">
      <c r="A69" s="74"/>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ht="15.5" customHeight="1" spans="1:26">
      <c r="A70" s="74"/>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ht="15.5" customHeight="1" spans="1:26">
      <c r="A71" s="74"/>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ht="15.5" customHeight="1" spans="1:26">
      <c r="A72" s="74"/>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ht="15.5" customHeight="1" spans="1:26">
      <c r="A73" s="74"/>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ht="15.5" customHeight="1" spans="1:26">
      <c r="A74" s="74"/>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ht="15.5" customHeight="1" spans="1:26">
      <c r="A75" s="74"/>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ht="15.5" customHeight="1" spans="1:26">
      <c r="A76" s="74"/>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ht="15.5" customHeight="1" spans="1:26">
      <c r="A77" s="74"/>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ht="15.5" customHeight="1" spans="1:26">
      <c r="A78" s="74"/>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ht="15.5" customHeight="1" spans="1:26">
      <c r="A79" s="74"/>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ht="15.5" customHeight="1" spans="1:26">
      <c r="A80" s="74"/>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ht="15.5" customHeight="1" spans="1:26">
      <c r="A81" s="74"/>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ht="15.5" customHeight="1" spans="1:26">
      <c r="A82" s="74"/>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ht="15.5" customHeight="1" spans="1:26">
      <c r="A83" s="74"/>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ht="15.5" customHeight="1" spans="1:26">
      <c r="A84" s="74"/>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ht="15.5" customHeight="1" spans="1:26">
      <c r="A85" s="74"/>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ht="15.5" customHeight="1" spans="1:26">
      <c r="A86" s="74"/>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ht="15.5" customHeight="1" spans="1:26">
      <c r="A87" s="74"/>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ht="15.5" customHeight="1" spans="1:26">
      <c r="A88" s="74"/>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ht="15.5" customHeight="1" spans="1:26">
      <c r="A89" s="74"/>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ht="15.5" customHeight="1" spans="1:26">
      <c r="A90" s="74"/>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ht="15.5" customHeight="1" spans="1:26">
      <c r="A91" s="74"/>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ht="15.5" customHeight="1" spans="1:26">
      <c r="A92" s="74"/>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ht="15.5" customHeight="1" spans="1:26">
      <c r="A93" s="74"/>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ht="15.5" customHeight="1" spans="1:26">
      <c r="A94" s="74"/>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ht="15.5" customHeight="1" spans="1:26">
      <c r="A95" s="74"/>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ht="15.5" customHeight="1" spans="1:26">
      <c r="A96" s="74"/>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ht="15.5" customHeight="1" spans="1:26">
      <c r="A97" s="74"/>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ht="15.5" customHeight="1" spans="1:26">
      <c r="A98" s="74"/>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ht="15.5" customHeight="1" spans="1:26">
      <c r="A99" s="74"/>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ht="15.5" customHeight="1" spans="1:26">
      <c r="A100" s="74"/>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ht="15.5" customHeight="1" spans="1:26">
      <c r="A101" s="74"/>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ht="15.5" customHeight="1" spans="1:26">
      <c r="A102" s="74"/>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ht="15.5" customHeight="1" spans="1:26">
      <c r="A103" s="74"/>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ht="15.5" customHeight="1" spans="1:26">
      <c r="A104" s="74"/>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ht="15.5" customHeight="1" spans="1:26">
      <c r="A105" s="74"/>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ht="15.5" customHeight="1" spans="1:26">
      <c r="A106" s="74"/>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ht="15.5" customHeight="1" spans="1:26">
      <c r="A107" s="74"/>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ht="15.5" customHeight="1" spans="1:26">
      <c r="A108" s="74"/>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ht="15.5" customHeight="1" spans="1:26">
      <c r="A109" s="74"/>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ht="15.5" customHeight="1" spans="1:26">
      <c r="A110" s="74"/>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ht="15.5" customHeight="1" spans="1:26">
      <c r="A111" s="74"/>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ht="15.5" customHeight="1" spans="1:26">
      <c r="A112" s="74"/>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ht="15.5" customHeight="1" spans="1:26">
      <c r="A113" s="74"/>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ht="15.5" customHeight="1" spans="1:26">
      <c r="A114" s="74"/>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ht="15.5" customHeight="1" spans="1:26">
      <c r="A115" s="74"/>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ht="15.5" customHeight="1" spans="1:26">
      <c r="A116" s="74"/>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ht="15.5" customHeight="1" spans="1:26">
      <c r="A117" s="74"/>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ht="15.5" customHeight="1" spans="1:26">
      <c r="A118" s="74"/>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ht="15.5" customHeight="1" spans="1:26">
      <c r="A119" s="74"/>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ht="15.5" customHeight="1" spans="1:26">
      <c r="A120" s="74"/>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ht="15.5" customHeight="1" spans="1:26">
      <c r="A121" s="74"/>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ht="15.5" customHeight="1" spans="1:26">
      <c r="A122" s="74"/>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ht="15.5" customHeight="1" spans="1:26">
      <c r="A123" s="74"/>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ht="15.5" customHeight="1" spans="1:26">
      <c r="A124" s="74"/>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ht="15.5" customHeight="1" spans="1:26">
      <c r="A125" s="74"/>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ht="15.5" customHeight="1" spans="1:26">
      <c r="A126" s="74"/>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ht="15.5" customHeight="1" spans="1:26">
      <c r="A127" s="74"/>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ht="15.5" customHeight="1" spans="1:26">
      <c r="A128" s="74"/>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ht="15.5" customHeight="1" spans="1:26">
      <c r="A129" s="74"/>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ht="15.5" customHeight="1" spans="1:26">
      <c r="A130" s="74"/>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ht="15.5" customHeight="1" spans="1:26">
      <c r="A131" s="74"/>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ht="15.5" customHeight="1" spans="1:26">
      <c r="A132" s="74"/>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ht="15.5" customHeight="1" spans="1:26">
      <c r="A133" s="74"/>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ht="15.5" customHeight="1" spans="1:26">
      <c r="A134" s="74"/>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ht="15.5" customHeight="1" spans="1:26">
      <c r="A135" s="74"/>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ht="15.5" customHeight="1" spans="1:26">
      <c r="A136" s="74"/>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ht="15.5" customHeight="1" spans="1:26">
      <c r="A137" s="74"/>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ht="15.5" customHeight="1" spans="1:26">
      <c r="A138" s="74"/>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ht="15.5" customHeight="1" spans="1:26">
      <c r="A139" s="74"/>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ht="15.5" customHeight="1" spans="1:26">
      <c r="A140" s="74"/>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ht="15.5" customHeight="1" spans="1:26">
      <c r="A141" s="74"/>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ht="15.5" customHeight="1" spans="1:26">
      <c r="A142" s="74"/>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ht="15.5" customHeight="1" spans="1:26">
      <c r="A143" s="74"/>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ht="15.5" customHeight="1" spans="1:26">
      <c r="A144" s="74"/>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ht="15.5" customHeight="1" spans="1:26">
      <c r="A145" s="74"/>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ht="15.5" customHeight="1" spans="1:26">
      <c r="A146" s="74"/>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ht="15.5" customHeight="1" spans="1:26">
      <c r="A147" s="74"/>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ht="15.5" customHeight="1" spans="1:26">
      <c r="A148" s="74"/>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ht="15.5" customHeight="1" spans="1:26">
      <c r="A149" s="74"/>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ht="15.5" customHeight="1" spans="1:26">
      <c r="A150" s="74"/>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ht="15.5" customHeight="1" spans="1:26">
      <c r="A151" s="74"/>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ht="15.5" customHeight="1" spans="1:26">
      <c r="A152" s="74"/>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ht="15.5" customHeight="1" spans="1:26">
      <c r="A153" s="74"/>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ht="15.5" customHeight="1" spans="1:26">
      <c r="A154" s="74"/>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ht="15.5" customHeight="1" spans="1:26">
      <c r="A155" s="74"/>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ht="15.5" customHeight="1" spans="1:26">
      <c r="A156" s="74"/>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ht="15.5" customHeight="1" spans="1:26">
      <c r="A157" s="74"/>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ht="15.5" customHeight="1" spans="1:26">
      <c r="A158" s="74"/>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ht="15.5" customHeight="1" spans="1:26">
      <c r="A159" s="74"/>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ht="15.5" customHeight="1" spans="1:26">
      <c r="A160" s="74"/>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ht="15.5" customHeight="1" spans="1:26">
      <c r="A161" s="74"/>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ht="15.5" customHeight="1" spans="1:26">
      <c r="A162" s="74"/>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ht="15.5" customHeight="1" spans="1:26">
      <c r="A163" s="74"/>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ht="15.5" customHeight="1" spans="1:26">
      <c r="A164" s="74"/>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ht="15.5" customHeight="1" spans="1:26">
      <c r="A165" s="74"/>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ht="15.5" customHeight="1" spans="1:26">
      <c r="A166" s="74"/>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ht="15.5" customHeight="1" spans="1:26">
      <c r="A167" s="74"/>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ht="15.5" customHeight="1" spans="1:26">
      <c r="A168" s="74"/>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ht="15.5" customHeight="1" spans="1:26">
      <c r="A169" s="74"/>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ht="15.5" customHeight="1" spans="1:26">
      <c r="A170" s="74"/>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ht="15.5" customHeight="1" spans="1:26">
      <c r="A171" s="74"/>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ht="15.5" customHeight="1" spans="1:26">
      <c r="A172" s="74"/>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ht="15.5" customHeight="1" spans="1:26">
      <c r="A173" s="74"/>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ht="15.5" customHeight="1" spans="1:26">
      <c r="A174" s="74"/>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ht="15.5" customHeight="1" spans="1:26">
      <c r="A175" s="74"/>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ht="15.5" customHeight="1" spans="1:26">
      <c r="A176" s="74"/>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ht="15.5" customHeight="1" spans="1:26">
      <c r="A177" s="74"/>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ht="15.5" customHeight="1" spans="1:26">
      <c r="A178" s="74"/>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ht="15.5" customHeight="1" spans="1:26">
      <c r="A179" s="74"/>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ht="15.5" customHeight="1" spans="1:26">
      <c r="A180" s="74"/>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ht="15.5" customHeight="1" spans="1:26">
      <c r="A181" s="74"/>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ht="15.5" customHeight="1" spans="1:26">
      <c r="A182" s="74"/>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ht="15.5" customHeight="1" spans="1:26">
      <c r="A183" s="74"/>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ht="15.5" customHeight="1" spans="1:26">
      <c r="A184" s="74"/>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ht="15.5" customHeight="1" spans="1:26">
      <c r="A185" s="74"/>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ht="15.5" customHeight="1" spans="1:26">
      <c r="A186" s="74"/>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ht="15.5" customHeight="1" spans="1:26">
      <c r="A187" s="74"/>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ht="15.5" customHeight="1" spans="1:26">
      <c r="A188" s="74"/>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ht="15.5" customHeight="1" spans="1:26">
      <c r="A189" s="74"/>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ht="15.5" customHeight="1" spans="1:26">
      <c r="A190" s="74"/>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ht="15.5" customHeight="1" spans="1:26">
      <c r="A191" s="74"/>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ht="15.5" customHeight="1" spans="1:26">
      <c r="A192" s="74"/>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ht="15.5" customHeight="1" spans="1:26">
      <c r="A193" s="74"/>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ht="15.5" customHeight="1" spans="1:26">
      <c r="A194" s="74"/>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ht="15.5" customHeight="1" spans="1:26">
      <c r="A195" s="74"/>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ht="15.5" customHeight="1" spans="1:26">
      <c r="A196" s="74"/>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ht="15.5" customHeight="1" spans="1:26">
      <c r="A197" s="74"/>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ht="15.5" customHeight="1" spans="1:26">
      <c r="A198" s="74"/>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ht="15.5" customHeight="1" spans="1:26">
      <c r="A199" s="74"/>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ht="15.5" customHeight="1" spans="1:26">
      <c r="A200" s="74"/>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ht="15.5" customHeight="1" spans="1:26">
      <c r="A201" s="74"/>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ht="15.5" customHeight="1" spans="1:26">
      <c r="A202" s="74"/>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ht="15.5" customHeight="1" spans="1:26">
      <c r="A203" s="74"/>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ht="15.5" customHeight="1" spans="1:26">
      <c r="A204" s="74"/>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ht="15.5" customHeight="1" spans="1:26">
      <c r="A205" s="74"/>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ht="15.5" customHeight="1" spans="1:26">
      <c r="A206" s="74"/>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ht="15.5" customHeight="1" spans="1:26">
      <c r="A207" s="74"/>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ht="15.5" customHeight="1" spans="1:26">
      <c r="A208" s="74"/>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ht="15.5" customHeight="1" spans="1:26">
      <c r="A209" s="74"/>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ht="15.5" customHeight="1" spans="1:26">
      <c r="A210" s="74"/>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ht="15.5" customHeight="1" spans="1:26">
      <c r="A211" s="74"/>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ht="15.5" customHeight="1" spans="1:26">
      <c r="A212" s="74"/>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ht="15.5" customHeight="1" spans="1:26">
      <c r="A213" s="74"/>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ht="15.5" customHeight="1" spans="1:26">
      <c r="A214" s="74"/>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ht="15.5" customHeight="1" spans="1:26">
      <c r="A215" s="74"/>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ht="15.5" customHeight="1" spans="1:26">
      <c r="A216" s="74"/>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ht="15.5" customHeight="1" spans="1:26">
      <c r="A217" s="74"/>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ht="15.5" customHeight="1" spans="1:26">
      <c r="A218" s="74"/>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ht="15.5" customHeight="1" spans="1:26">
      <c r="A219" s="74"/>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ht="15.5" customHeight="1" spans="1:26">
      <c r="A220" s="74"/>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ht="15.5" customHeight="1" spans="1:26">
      <c r="A221" s="74"/>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ht="15.5" customHeight="1" spans="1:26">
      <c r="A222" s="74"/>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ht="15.5" customHeight="1" spans="1:26">
      <c r="A223" s="74"/>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ht="15.5" customHeight="1" spans="1:26">
      <c r="A224" s="74"/>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ht="15.5" customHeight="1" spans="1:26">
      <c r="A225" s="74"/>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ht="15.5" customHeight="1" spans="1:26">
      <c r="A226" s="74"/>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ht="15.5" customHeight="1" spans="1:26">
      <c r="A227" s="74"/>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ht="15.5" customHeight="1" spans="1:26">
      <c r="A228" s="74"/>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ht="15.5" customHeight="1" spans="1:26">
      <c r="A229" s="74"/>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ht="15.5" customHeight="1" spans="1:26">
      <c r="A230" s="74"/>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ht="15.5" customHeight="1" spans="1:26">
      <c r="A231" s="74"/>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ht="15.5" customHeight="1" spans="1:26">
      <c r="A232" s="74"/>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ht="15.5" customHeight="1" spans="1:26">
      <c r="A233" s="74"/>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ht="15.5" customHeight="1" spans="1:26">
      <c r="A234" s="74"/>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ht="15.5" customHeight="1" spans="1:26">
      <c r="A235" s="74"/>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ht="15.5" customHeight="1" spans="1:26">
      <c r="A236" s="74"/>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ht="15.5" customHeight="1" spans="1:26">
      <c r="A237" s="74"/>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ht="15.5" customHeight="1" spans="1:26">
      <c r="A238" s="74"/>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ht="15.5" customHeight="1" spans="1:26">
      <c r="A239" s="74"/>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ht="15.5" customHeight="1" spans="1:26">
      <c r="A240" s="74"/>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ht="15.5" customHeight="1" spans="1:26">
      <c r="A241" s="74"/>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ht="15.5" customHeight="1" spans="1:26">
      <c r="A242" s="74"/>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ht="15.5" customHeight="1" spans="1:26">
      <c r="A243" s="74"/>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ht="15.5" customHeight="1" spans="1:26">
      <c r="A244" s="74"/>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ht="15.5" customHeight="1" spans="1:26">
      <c r="A245" s="74"/>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ht="15.5" customHeight="1" spans="1:26">
      <c r="A246" s="74"/>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ht="15.5" customHeight="1" spans="1:26">
      <c r="A247" s="74"/>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ht="15.5" customHeight="1" spans="1:26">
      <c r="A248" s="74"/>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ht="15.5" customHeight="1" spans="1:26">
      <c r="A249" s="74"/>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ht="15.5" customHeight="1" spans="1:26">
      <c r="A250" s="74"/>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ht="15.5" customHeight="1" spans="1:26">
      <c r="A251" s="74"/>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ht="15.5" customHeight="1" spans="1:26">
      <c r="A252" s="74"/>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ht="15.5" customHeight="1" spans="1:26">
      <c r="A253" s="74"/>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ht="15.5" customHeight="1" spans="1:26">
      <c r="A254" s="74"/>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ht="15.5" customHeight="1" spans="1:26">
      <c r="A255" s="74"/>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ht="15.5" customHeight="1" spans="1:26">
      <c r="A256" s="74"/>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ht="15.5" customHeight="1" spans="1:26">
      <c r="A257" s="74"/>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ht="15.5" customHeight="1" spans="1:26">
      <c r="A258" s="74"/>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ht="15.5" customHeight="1" spans="1:26">
      <c r="A259" s="74"/>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ht="15.5" customHeight="1" spans="1:26">
      <c r="A260" s="74"/>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ht="15.5" customHeight="1" spans="1:26">
      <c r="A261" s="74"/>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ht="15.5" customHeight="1" spans="1:26">
      <c r="A262" s="74"/>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ht="15.5" customHeight="1" spans="1:26">
      <c r="A263" s="74"/>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ht="15.5" customHeight="1" spans="1:26">
      <c r="A264" s="74"/>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ht="15.5" customHeight="1" spans="1:26">
      <c r="A265" s="74"/>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ht="15.5" customHeight="1" spans="1:26">
      <c r="A266" s="74"/>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ht="15.5" customHeight="1" spans="1:26">
      <c r="A267" s="74"/>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ht="15.5" customHeight="1" spans="1:26">
      <c r="A268" s="74"/>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ht="15.5" customHeight="1" spans="1:26">
      <c r="A269" s="74"/>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ht="15.5" customHeight="1" spans="1:26">
      <c r="A270" s="74"/>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ht="15.5" customHeight="1" spans="1:26">
      <c r="A271" s="74"/>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ht="15.5" customHeight="1" spans="1:26">
      <c r="A272" s="74"/>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ht="15.5" customHeight="1" spans="1:26">
      <c r="A273" s="74"/>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ht="15.5" customHeight="1" spans="1:26">
      <c r="A274" s="74"/>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ht="15.5" customHeight="1" spans="1:26">
      <c r="A275" s="74"/>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ht="15.5" customHeight="1" spans="1:26">
      <c r="A276" s="74"/>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ht="15.5" customHeight="1" spans="1:26">
      <c r="A277" s="74"/>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ht="15.5" customHeight="1" spans="1:26">
      <c r="A278" s="74"/>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ht="15.5" customHeight="1" spans="1:26">
      <c r="A279" s="74"/>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ht="15.5" customHeight="1" spans="1:26">
      <c r="A280" s="74"/>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ht="15.5" customHeight="1" spans="1:26">
      <c r="A281" s="74"/>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ht="15.5" customHeight="1" spans="1:26">
      <c r="A282" s="74"/>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ht="15.5" customHeight="1" spans="1:26">
      <c r="A283" s="74"/>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ht="15.5" customHeight="1" spans="1:26">
      <c r="A284" s="74"/>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ht="15.5" customHeight="1" spans="1:26">
      <c r="A285" s="74"/>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ht="15.5" customHeight="1" spans="1:26">
      <c r="A286" s="74"/>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ht="15.5" customHeight="1" spans="1:26">
      <c r="A287" s="74"/>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ht="15.5" customHeight="1" spans="1:26">
      <c r="A288" s="74"/>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ht="15.5" customHeight="1" spans="1:26">
      <c r="A289" s="74"/>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ht="15.5" customHeight="1" spans="1:26">
      <c r="A290" s="74"/>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ht="15.5" customHeight="1" spans="1:26">
      <c r="A291" s="74"/>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ht="15.5" customHeight="1" spans="1:26">
      <c r="A292" s="74"/>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ht="15.5" customHeight="1" spans="1:26">
      <c r="A293" s="74"/>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ht="15.5" customHeight="1" spans="1:26">
      <c r="A294" s="74"/>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ht="15.5" customHeight="1" spans="1:26">
      <c r="A295" s="74"/>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ht="15.5" customHeight="1" spans="1:26">
      <c r="A296" s="74"/>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ht="15.5" customHeight="1" spans="1:26">
      <c r="A297" s="74"/>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ht="15.5" customHeight="1" spans="1:26">
      <c r="A298" s="74"/>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ht="15.5" customHeight="1" spans="1:26">
      <c r="A299" s="74"/>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ht="15.5" customHeight="1" spans="1:26">
      <c r="A300" s="74"/>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ht="15.5" customHeight="1" spans="1:26">
      <c r="A301" s="74"/>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ht="15.5" customHeight="1" spans="1:26">
      <c r="A302" s="74"/>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ht="15.5" customHeight="1" spans="1:26">
      <c r="A303" s="74"/>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ht="15.5" customHeight="1" spans="1:26">
      <c r="A304" s="74"/>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ht="15.5" customHeight="1" spans="1:26">
      <c r="A305" s="74"/>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ht="15.5" customHeight="1" spans="1:26">
      <c r="A306" s="74"/>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ht="15.5" customHeight="1" spans="1:26">
      <c r="A307" s="74"/>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ht="15.5" customHeight="1" spans="1:26">
      <c r="A308" s="74"/>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ht="15.5" customHeight="1" spans="1:26">
      <c r="A309" s="74"/>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ht="15.5" customHeight="1" spans="1:26">
      <c r="A310" s="74"/>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ht="15.5" customHeight="1" spans="1:26">
      <c r="A311" s="74"/>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ht="15.5" customHeight="1" spans="1:26">
      <c r="A312" s="74"/>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ht="15.5" customHeight="1" spans="1:26">
      <c r="A313" s="74"/>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ht="15.5" customHeight="1" spans="1:26">
      <c r="A314" s="74"/>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ht="15.5" customHeight="1" spans="1:26">
      <c r="A315" s="74"/>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ht="15.5" customHeight="1" spans="1:26">
      <c r="A316" s="74"/>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ht="15.5" customHeight="1" spans="1:26">
      <c r="A317" s="74"/>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ht="15.5" customHeight="1" spans="1:26">
      <c r="A318" s="74"/>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ht="15.5" customHeight="1" spans="1:26">
      <c r="A319" s="74"/>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ht="15.5" customHeight="1" spans="1:26">
      <c r="A320" s="74"/>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ht="15.5" customHeight="1" spans="1:26">
      <c r="A321" s="74"/>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ht="15.5" customHeight="1" spans="1:26">
      <c r="A322" s="74"/>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ht="15.5" customHeight="1" spans="1:26">
      <c r="A323" s="74"/>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ht="15.5" customHeight="1" spans="1:26">
      <c r="A324" s="74"/>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ht="15.5" customHeight="1" spans="1:26">
      <c r="A325" s="74"/>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ht="15.5" customHeight="1" spans="1:26">
      <c r="A326" s="74"/>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ht="15.5" customHeight="1" spans="1:26">
      <c r="A327" s="74"/>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ht="15.5" customHeight="1" spans="1:26">
      <c r="A328" s="74"/>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ht="15.5" customHeight="1" spans="1:26">
      <c r="A329" s="74"/>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ht="15.5" customHeight="1" spans="1:26">
      <c r="A330" s="74"/>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ht="15.5" customHeight="1" spans="1:26">
      <c r="A331" s="74"/>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ht="15.5" customHeight="1" spans="1:26">
      <c r="A332" s="74"/>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ht="15.5" customHeight="1" spans="1:26">
      <c r="A333" s="74"/>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ht="15.5" customHeight="1" spans="1:26">
      <c r="A334" s="74"/>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ht="15.5" customHeight="1" spans="1:26">
      <c r="A335" s="74"/>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ht="15.5" customHeight="1" spans="1:26">
      <c r="A336" s="74"/>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ht="15.5" customHeight="1" spans="1:26">
      <c r="A337" s="74"/>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ht="15.5" customHeight="1" spans="1:26">
      <c r="A338" s="74"/>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ht="15.5" customHeight="1" spans="1:26">
      <c r="A339" s="74"/>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ht="15.5" customHeight="1" spans="1:26">
      <c r="A340" s="74"/>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ht="15.5" customHeight="1" spans="1:26">
      <c r="A341" s="74"/>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ht="15.5" customHeight="1" spans="1:26">
      <c r="A342" s="74"/>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ht="15.5" customHeight="1" spans="1:26">
      <c r="A343" s="74"/>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ht="15.5" customHeight="1" spans="1:26">
      <c r="A344" s="74"/>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ht="15.5" customHeight="1" spans="1:26">
      <c r="A345" s="74"/>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ht="15.5" customHeight="1" spans="1:26">
      <c r="A346" s="74"/>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ht="15.5" customHeight="1" spans="1:26">
      <c r="A347" s="74"/>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ht="15.5" customHeight="1" spans="1:26">
      <c r="A348" s="74"/>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ht="15.5" customHeight="1" spans="1:26">
      <c r="A349" s="74"/>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ht="15.5" customHeight="1" spans="1:26">
      <c r="A350" s="74"/>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ht="15.5" customHeight="1" spans="1:26">
      <c r="A351" s="74"/>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ht="15.5" customHeight="1" spans="1:26">
      <c r="A352" s="74"/>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ht="15.5" customHeight="1" spans="1:26">
      <c r="A353" s="74"/>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ht="15.5" customHeight="1" spans="1:26">
      <c r="A354" s="74"/>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ht="15.5" customHeight="1" spans="1:26">
      <c r="A355" s="74"/>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ht="15.5" customHeight="1" spans="1:26">
      <c r="A356" s="74"/>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ht="15.5" customHeight="1" spans="1:26">
      <c r="A357" s="74"/>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ht="15.5" customHeight="1" spans="1:26">
      <c r="A358" s="74"/>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ht="15.5" customHeight="1" spans="1:26">
      <c r="A359" s="74"/>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ht="15.5" customHeight="1" spans="1:26">
      <c r="A360" s="74"/>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ht="15.5" customHeight="1" spans="1:26">
      <c r="A361" s="74"/>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ht="15.5" customHeight="1" spans="1:26">
      <c r="A362" s="74"/>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ht="15.5" customHeight="1" spans="1:26">
      <c r="A363" s="74"/>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ht="15.5" customHeight="1" spans="1:26">
      <c r="A364" s="74"/>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ht="15.5" customHeight="1" spans="1:26">
      <c r="A365" s="74"/>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ht="15.5" customHeight="1" spans="1:26">
      <c r="A366" s="74"/>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ht="15.5" customHeight="1" spans="1:26">
      <c r="A367" s="74"/>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ht="15.5" customHeight="1" spans="1:26">
      <c r="A368" s="74"/>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ht="15.5" customHeight="1" spans="1:26">
      <c r="A369" s="74"/>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ht="15.5" customHeight="1" spans="1:26">
      <c r="A370" s="74"/>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ht="15.5" customHeight="1" spans="1:26">
      <c r="A371" s="74"/>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ht="15.5" customHeight="1" spans="1:26">
      <c r="A372" s="74"/>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ht="15.5" customHeight="1" spans="1:26">
      <c r="A373" s="74"/>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ht="15.5" customHeight="1" spans="1:26">
      <c r="A374" s="74"/>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ht="15.5" customHeight="1" spans="1:26">
      <c r="A375" s="74"/>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ht="15.5" customHeight="1" spans="1:26">
      <c r="A376" s="74"/>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ht="15.5" customHeight="1" spans="1:26">
      <c r="A377" s="74"/>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ht="15.5" customHeight="1" spans="1:26">
      <c r="A378" s="74"/>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ht="15.5" customHeight="1" spans="1:26">
      <c r="A379" s="74"/>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ht="15.5" customHeight="1" spans="1:26">
      <c r="A380" s="74"/>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ht="15.5" customHeight="1" spans="1:26">
      <c r="A381" s="74"/>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ht="15.5" customHeight="1" spans="1:26">
      <c r="A382" s="74"/>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ht="15.5" customHeight="1" spans="1:26">
      <c r="A383" s="74"/>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ht="15.5" customHeight="1" spans="1:26">
      <c r="A384" s="74"/>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ht="15.5" customHeight="1" spans="1:26">
      <c r="A385" s="74"/>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ht="15.5" customHeight="1" spans="1:26">
      <c r="A386" s="74"/>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ht="15.5" customHeight="1" spans="1:26">
      <c r="A387" s="74"/>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ht="15.5" customHeight="1" spans="1:26">
      <c r="A388" s="74"/>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ht="15.5" customHeight="1" spans="1:26">
      <c r="A389" s="74"/>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ht="15.5" customHeight="1" spans="1:26">
      <c r="A390" s="74"/>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ht="15.5" customHeight="1" spans="1:26">
      <c r="A391" s="74"/>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ht="15.5" customHeight="1" spans="1:26">
      <c r="A392" s="74"/>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ht="15.5" customHeight="1" spans="1:26">
      <c r="A393" s="74"/>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ht="15.5" customHeight="1" spans="1:26">
      <c r="A394" s="74"/>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ht="15.5" customHeight="1" spans="1:26">
      <c r="A395" s="74"/>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ht="15.5" customHeight="1" spans="1:26">
      <c r="A396" s="74"/>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ht="15.5" customHeight="1" spans="1:26">
      <c r="A397" s="74"/>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ht="15.5" customHeight="1" spans="1:26">
      <c r="A398" s="74"/>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ht="15.5" customHeight="1" spans="1:26">
      <c r="A399" s="74"/>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ht="15.5" customHeight="1" spans="1:26">
      <c r="A400" s="74"/>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ht="15.5" customHeight="1" spans="1:26">
      <c r="A401" s="74"/>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ht="15.5" customHeight="1" spans="1:26">
      <c r="A402" s="74"/>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ht="15.5" customHeight="1" spans="1:26">
      <c r="A403" s="74"/>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ht="15.5" customHeight="1" spans="1:26">
      <c r="A404" s="74"/>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ht="15.5" customHeight="1" spans="1:26">
      <c r="A405" s="74"/>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ht="15.5" customHeight="1" spans="1:26">
      <c r="A406" s="74"/>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ht="15.5" customHeight="1" spans="1:26">
      <c r="A407" s="74"/>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ht="15.5" customHeight="1" spans="1:26">
      <c r="A408" s="74"/>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ht="15.5" customHeight="1" spans="1:26">
      <c r="A409" s="74"/>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ht="15.5" customHeight="1" spans="1:26">
      <c r="A410" s="74"/>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ht="15.5" customHeight="1" spans="1:26">
      <c r="A411" s="74"/>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ht="15.5" customHeight="1" spans="1:26">
      <c r="A412" s="74"/>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ht="15.5" customHeight="1" spans="1:26">
      <c r="A413" s="74"/>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ht="15.5" customHeight="1" spans="1:26">
      <c r="A414" s="74"/>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ht="15.5" customHeight="1" spans="1:26">
      <c r="A415" s="74"/>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ht="15.5" customHeight="1" spans="1:26">
      <c r="A416" s="74"/>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ht="15.5" customHeight="1" spans="1:26">
      <c r="A417" s="74"/>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ht="15.5" customHeight="1" spans="1:26">
      <c r="A418" s="74"/>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ht="15.5" customHeight="1" spans="1:26">
      <c r="A419" s="74"/>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ht="15.5" customHeight="1" spans="1:26">
      <c r="A420" s="74"/>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ht="15.5" customHeight="1" spans="1:26">
      <c r="A421" s="74"/>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ht="15.5" customHeight="1" spans="1:26">
      <c r="A422" s="74"/>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ht="15.5" customHeight="1" spans="1:26">
      <c r="A423" s="74"/>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ht="15.5" customHeight="1" spans="1:26">
      <c r="A424" s="74"/>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ht="15.5" customHeight="1" spans="1:26">
      <c r="A425" s="74"/>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ht="15.5" customHeight="1" spans="1:26">
      <c r="A426" s="74"/>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ht="15.5" customHeight="1" spans="1:26">
      <c r="A427" s="74"/>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ht="15.5" customHeight="1" spans="1:26">
      <c r="A428" s="74"/>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ht="15.5" customHeight="1" spans="1:26">
      <c r="A429" s="74"/>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ht="15.5" customHeight="1" spans="1:26">
      <c r="A430" s="74"/>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ht="15.5" customHeight="1" spans="1:26">
      <c r="A431" s="74"/>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ht="15.5" customHeight="1" spans="1:26">
      <c r="A432" s="74"/>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ht="15.5" customHeight="1" spans="1:26">
      <c r="A433" s="74"/>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ht="15.5" customHeight="1" spans="1:26">
      <c r="A434" s="74"/>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ht="15.5" customHeight="1" spans="1:26">
      <c r="A435" s="74"/>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ht="15.5" customHeight="1" spans="1:26">
      <c r="A436" s="74"/>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ht="15.5" customHeight="1" spans="1:26">
      <c r="A437" s="74"/>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ht="15.5" customHeight="1" spans="1:26">
      <c r="A438" s="74"/>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ht="15.5" customHeight="1" spans="1:26">
      <c r="A439" s="74"/>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ht="15.5" customHeight="1" spans="1:26">
      <c r="A440" s="74"/>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ht="15.5" customHeight="1" spans="1:26">
      <c r="A441" s="74"/>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ht="15.5" customHeight="1" spans="1:26">
      <c r="A442" s="74"/>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ht="15.5" customHeight="1" spans="1:26">
      <c r="A443" s="74"/>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ht="15.5" customHeight="1" spans="1:26">
      <c r="A444" s="74"/>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ht="15.5" customHeight="1" spans="1:26">
      <c r="A445" s="74"/>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ht="15.5" customHeight="1" spans="1:26">
      <c r="A446" s="74"/>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ht="15.5" customHeight="1" spans="1:26">
      <c r="A447" s="74"/>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ht="15.5" customHeight="1" spans="1:26">
      <c r="A448" s="74"/>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ht="15.5" customHeight="1" spans="1:26">
      <c r="A449" s="74"/>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ht="15.5" customHeight="1" spans="1:26">
      <c r="A450" s="74"/>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ht="15.5" customHeight="1" spans="1:26">
      <c r="A451" s="74"/>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ht="15.5" customHeight="1" spans="1:26">
      <c r="A452" s="74"/>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ht="15.5" customHeight="1" spans="1:26">
      <c r="A453" s="74"/>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ht="15.5" customHeight="1" spans="1:26">
      <c r="A454" s="74"/>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ht="15.5" customHeight="1" spans="1:26">
      <c r="A455" s="74"/>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ht="15.5" customHeight="1" spans="1:26">
      <c r="A456" s="74"/>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ht="15.5" customHeight="1" spans="1:26">
      <c r="A457" s="74"/>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ht="15.5" customHeight="1" spans="1:26">
      <c r="A458" s="74"/>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ht="15.5" customHeight="1" spans="1:26">
      <c r="A459" s="74"/>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ht="15.5" customHeight="1" spans="1:26">
      <c r="A460" s="74"/>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ht="15.5" customHeight="1" spans="1:26">
      <c r="A461" s="74"/>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ht="15.5" customHeight="1" spans="1:26">
      <c r="A462" s="74"/>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ht="15.5" customHeight="1" spans="1:26">
      <c r="A463" s="74"/>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ht="15.5" customHeight="1" spans="1:26">
      <c r="A464" s="74"/>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ht="15.5" customHeight="1" spans="1:26">
      <c r="A465" s="74"/>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ht="15.5" customHeight="1" spans="1:26">
      <c r="A466" s="74"/>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ht="15.5" customHeight="1" spans="1:26">
      <c r="A467" s="74"/>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ht="15.5" customHeight="1" spans="1:26">
      <c r="A468" s="74"/>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ht="15.5" customHeight="1" spans="1:26">
      <c r="A469" s="74"/>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ht="15.5" customHeight="1" spans="1:26">
      <c r="A470" s="74"/>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ht="15.5" customHeight="1" spans="1:26">
      <c r="A471" s="74"/>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ht="15.5" customHeight="1" spans="1:26">
      <c r="A472" s="74"/>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ht="15.5" customHeight="1" spans="1:26">
      <c r="A473" s="74"/>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ht="15.5" customHeight="1" spans="1:26">
      <c r="A474" s="74"/>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ht="15.5" customHeight="1" spans="1:26">
      <c r="A475" s="74"/>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ht="15.5" customHeight="1" spans="1:26">
      <c r="A476" s="74"/>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ht="15.5" customHeight="1" spans="1:26">
      <c r="A477" s="74"/>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ht="15.5" customHeight="1" spans="1:26">
      <c r="A478" s="74"/>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ht="15.5" customHeight="1" spans="1:26">
      <c r="A479" s="74"/>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ht="15.5" customHeight="1" spans="1:26">
      <c r="A480" s="74"/>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ht="15.5" customHeight="1" spans="1:26">
      <c r="A481" s="74"/>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ht="15.5" customHeight="1" spans="1:26">
      <c r="A482" s="74"/>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ht="15.5" customHeight="1" spans="1:26">
      <c r="A483" s="74"/>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ht="15.5" customHeight="1" spans="1:26">
      <c r="A484" s="74"/>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ht="15.5" customHeight="1" spans="1:26">
      <c r="A485" s="74"/>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ht="15.5" customHeight="1" spans="1:26">
      <c r="A486" s="74"/>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ht="15.5" customHeight="1" spans="1:26">
      <c r="A487" s="74"/>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ht="15.5" customHeight="1" spans="1:26">
      <c r="A488" s="74"/>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ht="15.5" customHeight="1" spans="1:26">
      <c r="A489" s="74"/>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ht="15.5" customHeight="1" spans="1:26">
      <c r="A490" s="74"/>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ht="15.5" customHeight="1" spans="1:26">
      <c r="A491" s="74"/>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ht="15.5" customHeight="1" spans="1:26">
      <c r="A492" s="74"/>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ht="15.5" customHeight="1" spans="1:26">
      <c r="A493" s="74"/>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ht="15.5" customHeight="1" spans="1:26">
      <c r="A494" s="74"/>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ht="15.5" customHeight="1" spans="1:26">
      <c r="A495" s="74"/>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ht="15.5" customHeight="1" spans="1:26">
      <c r="A496" s="74"/>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ht="15.5" customHeight="1" spans="1:26">
      <c r="A497" s="74"/>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ht="15.5" customHeight="1" spans="1:26">
      <c r="A498" s="74"/>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ht="15.5" customHeight="1" spans="1:26">
      <c r="A499" s="74"/>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ht="15.5" customHeight="1" spans="1:26">
      <c r="A500" s="74"/>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ht="15.5" customHeight="1" spans="1:26">
      <c r="A501" s="74"/>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ht="15.5" customHeight="1" spans="1:26">
      <c r="A502" s="74"/>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ht="15.5" customHeight="1" spans="1:26">
      <c r="A503" s="74"/>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ht="15.5" customHeight="1" spans="1:26">
      <c r="A504" s="74"/>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ht="15.5" customHeight="1" spans="1:26">
      <c r="A505" s="74"/>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ht="15.5" customHeight="1" spans="1:26">
      <c r="A506" s="74"/>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ht="15.5" customHeight="1" spans="1:26">
      <c r="A507" s="74"/>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ht="15.5" customHeight="1" spans="1:26">
      <c r="A508" s="74"/>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ht="15.5" customHeight="1" spans="1:26">
      <c r="A509" s="74"/>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ht="15.5" customHeight="1" spans="1:26">
      <c r="A510" s="74"/>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ht="15.5" customHeight="1" spans="1:26">
      <c r="A511" s="74"/>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ht="15.5" customHeight="1" spans="1:26">
      <c r="A512" s="74"/>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ht="15.5" customHeight="1" spans="1:26">
      <c r="A513" s="74"/>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ht="15.5" customHeight="1" spans="1:26">
      <c r="A514" s="74"/>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ht="15.5" customHeight="1" spans="1:26">
      <c r="A515" s="74"/>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ht="15.5" customHeight="1" spans="1:26">
      <c r="A516" s="74"/>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ht="15.5" customHeight="1" spans="1:26">
      <c r="A517" s="74"/>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ht="15.5" customHeight="1" spans="1:26">
      <c r="A518" s="74"/>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ht="15.5" customHeight="1" spans="1:26">
      <c r="A519" s="74"/>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ht="15.5" customHeight="1" spans="1:26">
      <c r="A520" s="74"/>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ht="15.5" customHeight="1" spans="1:26">
      <c r="A521" s="74"/>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ht="15.5" customHeight="1" spans="1:26">
      <c r="A522" s="74"/>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ht="15.5" customHeight="1" spans="1:26">
      <c r="A523" s="74"/>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ht="15.5" customHeight="1" spans="1:26">
      <c r="A524" s="74"/>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ht="15.5" customHeight="1" spans="1:26">
      <c r="A525" s="74"/>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ht="15.5" customHeight="1" spans="1:26">
      <c r="A526" s="74"/>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ht="15.5" customHeight="1" spans="1:26">
      <c r="A527" s="74"/>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ht="15.5" customHeight="1" spans="1:26">
      <c r="A528" s="74"/>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ht="15.5" customHeight="1" spans="1:26">
      <c r="A529" s="74"/>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ht="15.5" customHeight="1" spans="1:26">
      <c r="A530" s="74"/>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ht="15.5" customHeight="1" spans="1:26">
      <c r="A531" s="74"/>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ht="15.5" customHeight="1" spans="1:26">
      <c r="A532" s="74"/>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ht="15.5" customHeight="1" spans="1:26">
      <c r="A533" s="74"/>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ht="15.5" customHeight="1" spans="1:26">
      <c r="A534" s="74"/>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ht="15.5" customHeight="1" spans="1:26">
      <c r="A535" s="74"/>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ht="15.5" customHeight="1" spans="1:26">
      <c r="A536" s="74"/>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ht="15.5" customHeight="1" spans="1:26">
      <c r="A537" s="74"/>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ht="15.5" customHeight="1" spans="1:26">
      <c r="A538" s="74"/>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ht="15.5" customHeight="1" spans="1:26">
      <c r="A539" s="74"/>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ht="15.5" customHeight="1" spans="1:26">
      <c r="A540" s="74"/>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ht="15.5" customHeight="1" spans="1:26">
      <c r="A541" s="74"/>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ht="15.5" customHeight="1" spans="1:26">
      <c r="A542" s="74"/>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ht="15.5" customHeight="1" spans="1:26">
      <c r="A543" s="74"/>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ht="15.5" customHeight="1" spans="1:26">
      <c r="A544" s="74"/>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ht="15.5" customHeight="1" spans="1:26">
      <c r="A545" s="74"/>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ht="15.5" customHeight="1" spans="1:26">
      <c r="A546" s="74"/>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ht="15.5" customHeight="1" spans="1:26">
      <c r="A547" s="74"/>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ht="15.5" customHeight="1" spans="1:26">
      <c r="A548" s="74"/>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ht="15.5" customHeight="1" spans="1:26">
      <c r="A549" s="74"/>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ht="15.5" customHeight="1" spans="1:26">
      <c r="A550" s="74"/>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ht="15.5" customHeight="1" spans="1:26">
      <c r="A551" s="74"/>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ht="15.5" customHeight="1" spans="1:26">
      <c r="A552" s="74"/>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ht="15.5" customHeight="1" spans="1:26">
      <c r="A553" s="74"/>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ht="15.5" customHeight="1" spans="1:26">
      <c r="A554" s="74"/>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ht="15.5" customHeight="1" spans="1:26">
      <c r="A555" s="74"/>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ht="15.5" customHeight="1" spans="1:26">
      <c r="A556" s="74"/>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ht="15.5" customHeight="1" spans="1:26">
      <c r="A557" s="74"/>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ht="15.5" customHeight="1" spans="1:26">
      <c r="A558" s="74"/>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ht="15.5" customHeight="1" spans="1:26">
      <c r="A559" s="74"/>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ht="15.5" customHeight="1" spans="1:26">
      <c r="A560" s="74"/>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ht="15.5" customHeight="1" spans="1:26">
      <c r="A561" s="74"/>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ht="15.5" customHeight="1" spans="1:26">
      <c r="A562" s="74"/>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ht="15.5" customHeight="1" spans="1:26">
      <c r="A563" s="74"/>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ht="15.5" customHeight="1" spans="1:26">
      <c r="A564" s="74"/>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ht="15.5" customHeight="1" spans="1:26">
      <c r="A565" s="74"/>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ht="15.5" customHeight="1" spans="1:26">
      <c r="A566" s="74"/>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ht="15.5" customHeight="1" spans="1:26">
      <c r="A567" s="74"/>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ht="15.5" customHeight="1" spans="1:26">
      <c r="A568" s="74"/>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ht="15.5" customHeight="1" spans="1:26">
      <c r="A569" s="74"/>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ht="15.5" customHeight="1" spans="1:26">
      <c r="A570" s="74"/>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ht="15.5" customHeight="1" spans="1:26">
      <c r="A571" s="74"/>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ht="15.5" customHeight="1" spans="1:26">
      <c r="A572" s="74"/>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ht="15.5" customHeight="1" spans="1:26">
      <c r="A573" s="74"/>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ht="15.5" customHeight="1" spans="1:26">
      <c r="A574" s="74"/>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ht="15.5" customHeight="1" spans="1:26">
      <c r="A575" s="74"/>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ht="15.5" customHeight="1" spans="1:26">
      <c r="A576" s="74"/>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ht="15.5" customHeight="1" spans="1:26">
      <c r="A577" s="74"/>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ht="15.5" customHeight="1" spans="1:26">
      <c r="A578" s="74"/>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ht="15.5" customHeight="1" spans="1:26">
      <c r="A579" s="74"/>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ht="15.5" customHeight="1" spans="1:26">
      <c r="A580" s="74"/>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ht="15.5" customHeight="1" spans="1:26">
      <c r="A581" s="74"/>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ht="15.5" customHeight="1" spans="1:26">
      <c r="A582" s="74"/>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ht="15.5" customHeight="1" spans="1:26">
      <c r="A583" s="74"/>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ht="15.5" customHeight="1" spans="1:26">
      <c r="A584" s="74"/>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ht="15.5" customHeight="1" spans="1:26">
      <c r="A585" s="74"/>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ht="15.5" customHeight="1" spans="1:26">
      <c r="A586" s="74"/>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ht="15.5" customHeight="1" spans="1:26">
      <c r="A587" s="74"/>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ht="15.5" customHeight="1" spans="1:26">
      <c r="A588" s="74"/>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ht="15.5" customHeight="1" spans="1:26">
      <c r="A589" s="74"/>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ht="15.5" customHeight="1" spans="1:26">
      <c r="A590" s="74"/>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ht="15.5" customHeight="1" spans="1:26">
      <c r="A591" s="74"/>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ht="15.5" customHeight="1" spans="1:26">
      <c r="A592" s="74"/>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ht="15.5" customHeight="1" spans="1:26">
      <c r="A593" s="74"/>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ht="15.5" customHeight="1" spans="1:26">
      <c r="A594" s="74"/>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ht="15.5" customHeight="1" spans="1:26">
      <c r="A595" s="74"/>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ht="15.5" customHeight="1" spans="1:26">
      <c r="A596" s="74"/>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ht="15.5" customHeight="1" spans="1:26">
      <c r="A597" s="74"/>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ht="15.5" customHeight="1" spans="1:26">
      <c r="A598" s="74"/>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ht="15.5" customHeight="1" spans="1:26">
      <c r="A599" s="74"/>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ht="15.5" customHeight="1" spans="1:26">
      <c r="A600" s="74"/>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ht="15.5" customHeight="1" spans="1:26">
      <c r="A601" s="74"/>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ht="15.5" customHeight="1" spans="1:26">
      <c r="A602" s="74"/>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ht="15.5" customHeight="1" spans="1:26">
      <c r="A603" s="74"/>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ht="15.5" customHeight="1" spans="1:26">
      <c r="A604" s="74"/>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ht="15.5" customHeight="1" spans="1:26">
      <c r="A605" s="74"/>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ht="15.5" customHeight="1" spans="1:26">
      <c r="A606" s="74"/>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ht="15.5" customHeight="1" spans="1:26">
      <c r="A607" s="74"/>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ht="15.5" customHeight="1" spans="1:26">
      <c r="A608" s="74"/>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ht="15.5" customHeight="1" spans="1:26">
      <c r="A609" s="74"/>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ht="15.5" customHeight="1" spans="1:26">
      <c r="A610" s="74"/>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ht="15.5" customHeight="1" spans="1:26">
      <c r="A611" s="74"/>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ht="15.5" customHeight="1" spans="1:26">
      <c r="A612" s="74"/>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ht="15.5" customHeight="1" spans="1:26">
      <c r="A613" s="74"/>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ht="15.5" customHeight="1" spans="1:26">
      <c r="A614" s="74"/>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ht="15.5" customHeight="1" spans="1:26">
      <c r="A615" s="74"/>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ht="15.5" customHeight="1" spans="1:26">
      <c r="A616" s="74"/>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ht="15.5" customHeight="1" spans="1:26">
      <c r="A617" s="74"/>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ht="15.5" customHeight="1" spans="1:26">
      <c r="A618" s="74"/>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ht="15.5" customHeight="1" spans="1:26">
      <c r="A619" s="74"/>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ht="15.5" customHeight="1" spans="1:26">
      <c r="A620" s="74"/>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ht="15.5" customHeight="1" spans="1:26">
      <c r="A621" s="74"/>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ht="15.5" customHeight="1" spans="1:26">
      <c r="A622" s="74"/>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ht="15.5" customHeight="1" spans="1:26">
      <c r="A623" s="74"/>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ht="15.5" customHeight="1" spans="1:26">
      <c r="A624" s="74"/>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ht="15.5" customHeight="1" spans="1:26">
      <c r="A625" s="74"/>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ht="15.5" customHeight="1" spans="1:26">
      <c r="A626" s="74"/>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ht="15.5" customHeight="1" spans="1:26">
      <c r="A627" s="74"/>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ht="15.5" customHeight="1" spans="1:26">
      <c r="A628" s="74"/>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ht="15.5" customHeight="1" spans="1:26">
      <c r="A629" s="74"/>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ht="15.5" customHeight="1" spans="1:26">
      <c r="A630" s="74"/>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ht="15.5" customHeight="1" spans="1:26">
      <c r="A631" s="74"/>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ht="15.5" customHeight="1" spans="1:26">
      <c r="A632" s="74"/>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ht="15.5" customHeight="1" spans="1:26">
      <c r="A633" s="74"/>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ht="15.5" customHeight="1" spans="1:26">
      <c r="A634" s="74"/>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ht="15.5" customHeight="1" spans="1:26">
      <c r="A635" s="74"/>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ht="15.5" customHeight="1" spans="1:26">
      <c r="A636" s="74"/>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ht="15.5" customHeight="1" spans="1:26">
      <c r="A637" s="74"/>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ht="15.5" customHeight="1" spans="1:26">
      <c r="A638" s="74"/>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ht="15.5" customHeight="1" spans="1:26">
      <c r="A639" s="74"/>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ht="15.5" customHeight="1" spans="1:26">
      <c r="A640" s="74"/>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ht="15.5" customHeight="1" spans="1:26">
      <c r="A641" s="74"/>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ht="15.5" customHeight="1" spans="1:26">
      <c r="A642" s="74"/>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ht="15.5" customHeight="1" spans="1:26">
      <c r="A643" s="74"/>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ht="15.5" customHeight="1" spans="1:26">
      <c r="A644" s="74"/>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ht="15.5" customHeight="1" spans="1:26">
      <c r="A645" s="74"/>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ht="15.5" customHeight="1" spans="1:26">
      <c r="A646" s="74"/>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ht="15.5" customHeight="1" spans="1:26">
      <c r="A647" s="74"/>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ht="15.5" customHeight="1" spans="1:26">
      <c r="A648" s="74"/>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ht="15.5" customHeight="1" spans="1:26">
      <c r="A649" s="74"/>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ht="15.5" customHeight="1" spans="1:26">
      <c r="A650" s="74"/>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ht="15.5" customHeight="1" spans="1:26">
      <c r="A651" s="74"/>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ht="15.5" customHeight="1" spans="1:26">
      <c r="A652" s="74"/>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ht="15.5" customHeight="1" spans="1:26">
      <c r="A653" s="74"/>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ht="15.5" customHeight="1" spans="1:26">
      <c r="A654" s="74"/>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ht="15.5" customHeight="1" spans="1:26">
      <c r="A655" s="74"/>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ht="15.5" customHeight="1" spans="1:26">
      <c r="A656" s="74"/>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ht="15.5" customHeight="1" spans="1:26">
      <c r="A657" s="74"/>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ht="15.5" customHeight="1" spans="1:26">
      <c r="A658" s="74"/>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ht="15.5" customHeight="1" spans="1:26">
      <c r="A659" s="74"/>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ht="15.5" customHeight="1" spans="1:26">
      <c r="A660" s="74"/>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ht="15.5" customHeight="1" spans="1:26">
      <c r="A661" s="74"/>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ht="15.5" customHeight="1" spans="1:26">
      <c r="A662" s="74"/>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ht="15.5" customHeight="1" spans="1:26">
      <c r="A663" s="74"/>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ht="15.5" customHeight="1" spans="1:26">
      <c r="A664" s="74"/>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ht="15.5" customHeight="1" spans="1:26">
      <c r="A665" s="74"/>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ht="15.5" customHeight="1" spans="1:26">
      <c r="A666" s="74"/>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ht="15.5" customHeight="1" spans="1:26">
      <c r="A667" s="74"/>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ht="15.5" customHeight="1" spans="1:26">
      <c r="A668" s="74"/>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ht="15.5" customHeight="1" spans="1:26">
      <c r="A669" s="74"/>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ht="15.5" customHeight="1" spans="1:26">
      <c r="A670" s="74"/>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ht="15.5" customHeight="1" spans="1:26">
      <c r="A671" s="74"/>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ht="15.5" customHeight="1" spans="1:26">
      <c r="A672" s="74"/>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ht="15.5" customHeight="1" spans="1:26">
      <c r="A673" s="74"/>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ht="15.5" customHeight="1" spans="1:26">
      <c r="A674" s="74"/>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ht="15.5" customHeight="1" spans="1:26">
      <c r="A675" s="74"/>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ht="15.5" customHeight="1" spans="1:26">
      <c r="A676" s="74"/>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ht="15.5" customHeight="1" spans="1:26">
      <c r="A677" s="74"/>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ht="15.5" customHeight="1" spans="1:26">
      <c r="A678" s="74"/>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ht="15.5" customHeight="1" spans="1:26">
      <c r="A679" s="74"/>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ht="15.5" customHeight="1" spans="1:26">
      <c r="A680" s="74"/>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ht="15.5" customHeight="1" spans="1:26">
      <c r="A681" s="74"/>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ht="15.5" customHeight="1" spans="1:26">
      <c r="A682" s="74"/>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ht="15.5" customHeight="1" spans="1:26">
      <c r="A683" s="74"/>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ht="15.5" customHeight="1" spans="1:26">
      <c r="A684" s="74"/>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ht="15.5" customHeight="1" spans="1:26">
      <c r="A685" s="74"/>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ht="15.5" customHeight="1" spans="1:26">
      <c r="A686" s="74"/>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ht="15.5" customHeight="1" spans="1:26">
      <c r="A687" s="74"/>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ht="15.5" customHeight="1" spans="1:26">
      <c r="A688" s="74"/>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ht="15.5" customHeight="1" spans="1:26">
      <c r="A689" s="74"/>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ht="15.5" customHeight="1" spans="1:26">
      <c r="A690" s="74"/>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ht="15.5" customHeight="1" spans="1:26">
      <c r="A691" s="74"/>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ht="15.5" customHeight="1" spans="1:26">
      <c r="A692" s="74"/>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ht="15.5" customHeight="1" spans="1:26">
      <c r="A693" s="74"/>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ht="15.5" customHeight="1" spans="1:26">
      <c r="A694" s="74"/>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ht="15.5" customHeight="1" spans="1:26">
      <c r="A695" s="74"/>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ht="15.5" customHeight="1" spans="1:26">
      <c r="A696" s="74"/>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ht="15.5" customHeight="1" spans="1:26">
      <c r="A697" s="74"/>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ht="15.5" customHeight="1" spans="1:26">
      <c r="A698" s="74"/>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ht="15.5" customHeight="1" spans="1:26">
      <c r="A699" s="74"/>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ht="15.5" customHeight="1" spans="1:26">
      <c r="A700" s="74"/>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ht="15.5" customHeight="1" spans="1:26">
      <c r="A701" s="74"/>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ht="15.5" customHeight="1" spans="1:26">
      <c r="A702" s="74"/>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ht="15.5" customHeight="1" spans="1:26">
      <c r="A703" s="74"/>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ht="15.5" customHeight="1" spans="1:26">
      <c r="A704" s="74"/>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ht="15.5" customHeight="1" spans="1:26">
      <c r="A705" s="74"/>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ht="15.5" customHeight="1" spans="1:26">
      <c r="A706" s="74"/>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ht="15.5" customHeight="1" spans="1:26">
      <c r="A707" s="74"/>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ht="15.5" customHeight="1" spans="1:26">
      <c r="A708" s="74"/>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ht="15.5" customHeight="1" spans="1:26">
      <c r="A709" s="74"/>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ht="15.5" customHeight="1" spans="1:26">
      <c r="A710" s="74"/>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ht="15.5" customHeight="1" spans="1:26">
      <c r="A711" s="74"/>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ht="15.5" customHeight="1" spans="1:26">
      <c r="A712" s="74"/>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ht="15.5" customHeight="1" spans="1:26">
      <c r="A713" s="74"/>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ht="15.5" customHeight="1" spans="1:26">
      <c r="A714" s="74"/>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ht="15.5" customHeight="1" spans="1:26">
      <c r="A715" s="74"/>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ht="15.5" customHeight="1" spans="1:26">
      <c r="A716" s="74"/>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ht="15.5" customHeight="1" spans="1:26">
      <c r="A717" s="74"/>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ht="15.5" customHeight="1" spans="1:26">
      <c r="A718" s="74"/>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ht="15.5" customHeight="1" spans="1:26">
      <c r="A719" s="74"/>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ht="15.5" customHeight="1" spans="1:26">
      <c r="A720" s="74"/>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ht="15.5" customHeight="1" spans="1:26">
      <c r="A721" s="74"/>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ht="15.5" customHeight="1" spans="1:26">
      <c r="A722" s="74"/>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ht="15.5" customHeight="1" spans="1:26">
      <c r="A723" s="74"/>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ht="15.5" customHeight="1" spans="1:26">
      <c r="A724" s="74"/>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ht="15.5" customHeight="1" spans="1:26">
      <c r="A725" s="74"/>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ht="15.5" customHeight="1" spans="1:26">
      <c r="A726" s="74"/>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ht="15.5" customHeight="1" spans="1:26">
      <c r="A727" s="74"/>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ht="15.5" customHeight="1" spans="1:26">
      <c r="A728" s="74"/>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ht="15.5" customHeight="1" spans="1:26">
      <c r="A729" s="74"/>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ht="15.5" customHeight="1" spans="1:26">
      <c r="A730" s="74"/>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ht="15.5" customHeight="1" spans="1:26">
      <c r="A731" s="74"/>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ht="15.5" customHeight="1" spans="1:26">
      <c r="A732" s="74"/>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ht="15.5" customHeight="1" spans="1:26">
      <c r="A733" s="74"/>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ht="15.5" customHeight="1" spans="1:26">
      <c r="A734" s="74"/>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ht="15.5" customHeight="1" spans="1:26">
      <c r="A735" s="74"/>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ht="15.5" customHeight="1" spans="1:26">
      <c r="A736" s="74"/>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ht="15.5" customHeight="1" spans="1:26">
      <c r="A737" s="74"/>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ht="15.5" customHeight="1" spans="1:26">
      <c r="A738" s="74"/>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ht="15.5" customHeight="1" spans="1:26">
      <c r="A739" s="74"/>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ht="15.5" customHeight="1" spans="1:26">
      <c r="A740" s="74"/>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ht="15.5" customHeight="1" spans="1:26">
      <c r="A741" s="74"/>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ht="15.5" customHeight="1" spans="1:26">
      <c r="A742" s="74"/>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ht="15.5" customHeight="1" spans="1:26">
      <c r="A743" s="74"/>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ht="15.5" customHeight="1" spans="1:26">
      <c r="A744" s="74"/>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ht="15.5" customHeight="1" spans="1:26">
      <c r="A745" s="74"/>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ht="15.5" customHeight="1" spans="1:26">
      <c r="A746" s="74"/>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ht="15.5" customHeight="1" spans="1:26">
      <c r="A747" s="74"/>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ht="15.5" customHeight="1" spans="1:26">
      <c r="A748" s="74"/>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ht="15.5" customHeight="1" spans="1:26">
      <c r="A749" s="74"/>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ht="15.5" customHeight="1" spans="1:26">
      <c r="A750" s="74"/>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ht="15.5" customHeight="1" spans="1:26">
      <c r="A751" s="74"/>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ht="15.5" customHeight="1" spans="1:26">
      <c r="A752" s="74"/>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ht="15.5" customHeight="1" spans="1:26">
      <c r="A753" s="74"/>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ht="15.5" customHeight="1" spans="1:26">
      <c r="A754" s="74"/>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ht="15.5" customHeight="1" spans="1:26">
      <c r="A755" s="74"/>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ht="15.5" customHeight="1" spans="1:26">
      <c r="A756" s="74"/>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ht="15.5" customHeight="1" spans="1:26">
      <c r="A757" s="74"/>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ht="15.5" customHeight="1" spans="1:26">
      <c r="A758" s="74"/>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ht="15.5" customHeight="1" spans="1:26">
      <c r="A759" s="74"/>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ht="15.5" customHeight="1" spans="1:26">
      <c r="A760" s="74"/>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ht="15.5" customHeight="1" spans="1:26">
      <c r="A761" s="74"/>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ht="15.5" customHeight="1" spans="1:26">
      <c r="A762" s="74"/>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ht="15.5" customHeight="1" spans="1:26">
      <c r="A763" s="74"/>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ht="15.5" customHeight="1" spans="1:26">
      <c r="A764" s="74"/>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ht="15.5" customHeight="1" spans="1:26">
      <c r="A765" s="74"/>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ht="15.5" customHeight="1" spans="1:26">
      <c r="A766" s="74"/>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ht="15.5" customHeight="1" spans="1:26">
      <c r="A767" s="74"/>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ht="15.5" customHeight="1" spans="1:26">
      <c r="A768" s="74"/>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ht="15.5" customHeight="1" spans="1:26">
      <c r="A769" s="74"/>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ht="15.5" customHeight="1" spans="1:26">
      <c r="A770" s="74"/>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ht="15.5" customHeight="1" spans="1:26">
      <c r="A771" s="74"/>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ht="15.5" customHeight="1" spans="1:26">
      <c r="A772" s="74"/>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ht="15.5" customHeight="1" spans="1:26">
      <c r="A773" s="74"/>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ht="15.5" customHeight="1" spans="1:26">
      <c r="A774" s="74"/>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ht="15.5" customHeight="1" spans="1:26">
      <c r="A775" s="74"/>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ht="15.5" customHeight="1" spans="1:26">
      <c r="A776" s="74"/>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ht="15.5" customHeight="1" spans="1:26">
      <c r="A777" s="74"/>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ht="15.5" customHeight="1" spans="1:26">
      <c r="A778" s="74"/>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ht="15.5" customHeight="1" spans="1:26">
      <c r="A779" s="74"/>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ht="15.5" customHeight="1" spans="1:26">
      <c r="A780" s="74"/>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ht="15.5" customHeight="1" spans="1:26">
      <c r="A781" s="74"/>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ht="15.5" customHeight="1" spans="1:26">
      <c r="A782" s="74"/>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ht="15.5" customHeight="1" spans="1:26">
      <c r="A783" s="74"/>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ht="15.5" customHeight="1" spans="1:26">
      <c r="A784" s="74"/>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ht="15.5" customHeight="1" spans="1:26">
      <c r="A785" s="74"/>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ht="15.5" customHeight="1" spans="1:26">
      <c r="A786" s="74"/>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ht="15.5" customHeight="1" spans="1:26">
      <c r="A787" s="74"/>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ht="15.5" customHeight="1" spans="1:26">
      <c r="A788" s="74"/>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ht="15.5" customHeight="1" spans="1:26">
      <c r="A789" s="74"/>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ht="15.5" customHeight="1" spans="1:26">
      <c r="A790" s="74"/>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ht="15.5" customHeight="1" spans="1:26">
      <c r="A791" s="74"/>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ht="15.5" customHeight="1" spans="1:26">
      <c r="A792" s="74"/>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ht="15.5" customHeight="1" spans="1:26">
      <c r="A793" s="74"/>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ht="15.5" customHeight="1" spans="1:26">
      <c r="A794" s="74"/>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ht="15.5" customHeight="1" spans="1:26">
      <c r="A795" s="74"/>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ht="15.5" customHeight="1" spans="1:26">
      <c r="A796" s="74"/>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ht="15.5" customHeight="1" spans="1:26">
      <c r="A797" s="74"/>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ht="15.5" customHeight="1" spans="1:26">
      <c r="A798" s="74"/>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ht="15.5" customHeight="1" spans="1:26">
      <c r="A799" s="74"/>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ht="15.5" customHeight="1" spans="1:26">
      <c r="A800" s="74"/>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ht="15.5" customHeight="1" spans="1:26">
      <c r="A801" s="74"/>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ht="15.5" customHeight="1" spans="1:26">
      <c r="A802" s="74"/>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ht="15.5" customHeight="1" spans="1:26">
      <c r="A803" s="74"/>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ht="15.5" customHeight="1" spans="1:26">
      <c r="A804" s="74"/>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ht="15.5" customHeight="1" spans="1:26">
      <c r="A805" s="74"/>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ht="15.5" customHeight="1" spans="1:26">
      <c r="A806" s="74"/>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ht="15.5" customHeight="1" spans="1:26">
      <c r="A807" s="74"/>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ht="15.5" customHeight="1" spans="1:26">
      <c r="A808" s="74"/>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ht="15.5" customHeight="1" spans="1:26">
      <c r="A809" s="74"/>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ht="15.5" customHeight="1" spans="1:26">
      <c r="A810" s="74"/>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ht="15.5" customHeight="1" spans="1:26">
      <c r="A811" s="74"/>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ht="15.5" customHeight="1" spans="1:26">
      <c r="A812" s="74"/>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ht="15.5" customHeight="1" spans="1:26">
      <c r="A813" s="74"/>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ht="15.5" customHeight="1" spans="1:26">
      <c r="A814" s="74"/>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ht="15.5" customHeight="1" spans="1:26">
      <c r="A815" s="74"/>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ht="15.5" customHeight="1" spans="1:26">
      <c r="A816" s="74"/>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ht="15.5" customHeight="1" spans="1:26">
      <c r="A817" s="74"/>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ht="15.5" customHeight="1" spans="1:26">
      <c r="A818" s="74"/>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ht="15.5" customHeight="1" spans="1:26">
      <c r="A819" s="74"/>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ht="15.5" customHeight="1" spans="1:26">
      <c r="A820" s="74"/>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ht="15.5" customHeight="1" spans="1:26">
      <c r="A821" s="74"/>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ht="15.5" customHeight="1" spans="1:26">
      <c r="A822" s="74"/>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ht="15.5" customHeight="1" spans="1:26">
      <c r="A823" s="74"/>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ht="15.5" customHeight="1" spans="1:26">
      <c r="A824" s="74"/>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ht="15.5" customHeight="1" spans="1:26">
      <c r="A825" s="74"/>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ht="15.5" customHeight="1" spans="1:26">
      <c r="A826" s="74"/>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ht="15.5" customHeight="1" spans="1:26">
      <c r="A827" s="74"/>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ht="15.5" customHeight="1" spans="1:26">
      <c r="A828" s="74"/>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ht="15.5" customHeight="1" spans="1:26">
      <c r="A829" s="74"/>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ht="15.5" customHeight="1" spans="1:26">
      <c r="A830" s="74"/>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ht="15.5" customHeight="1" spans="1:26">
      <c r="A831" s="74"/>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ht="15.5" customHeight="1" spans="1:26">
      <c r="A832" s="74"/>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ht="15.5" customHeight="1" spans="1:26">
      <c r="A833" s="74"/>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ht="15.5" customHeight="1" spans="1:26">
      <c r="A834" s="74"/>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ht="15.5" customHeight="1" spans="1:26">
      <c r="A835" s="74"/>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ht="15.5" customHeight="1" spans="1:26">
      <c r="A836" s="74"/>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ht="15.5" customHeight="1" spans="1:26">
      <c r="A837" s="74"/>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ht="15.5" customHeight="1" spans="1:26">
      <c r="A838" s="74"/>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ht="15.5" customHeight="1" spans="1:26">
      <c r="A839" s="74"/>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ht="15.5" customHeight="1" spans="1:26">
      <c r="A840" s="74"/>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ht="15.5" customHeight="1" spans="1:26">
      <c r="A841" s="74"/>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ht="15.5" customHeight="1" spans="1:26">
      <c r="A842" s="74"/>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ht="15.5" customHeight="1" spans="1:26">
      <c r="A843" s="74"/>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ht="15.5" customHeight="1" spans="1:26">
      <c r="A844" s="74"/>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ht="15.5" customHeight="1" spans="1:26">
      <c r="A845" s="74"/>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ht="15.5" customHeight="1" spans="1:26">
      <c r="A846" s="74"/>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ht="15.5" customHeight="1" spans="1:26">
      <c r="A847" s="74"/>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ht="15.5" customHeight="1" spans="1:26">
      <c r="A848" s="74"/>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ht="15.5" customHeight="1" spans="1:26">
      <c r="A849" s="74"/>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ht="15.5" customHeight="1" spans="1:26">
      <c r="A850" s="74"/>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ht="15.5" customHeight="1" spans="1:26">
      <c r="A851" s="74"/>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ht="15.5" customHeight="1" spans="1:26">
      <c r="A852" s="74"/>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ht="15.5" customHeight="1" spans="1:26">
      <c r="A853" s="74"/>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ht="15.5" customHeight="1" spans="1:26">
      <c r="A854" s="74"/>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ht="15.5" customHeight="1" spans="1:26">
      <c r="A855" s="74"/>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ht="15.5" customHeight="1" spans="1:26">
      <c r="A856" s="74"/>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ht="15.5" customHeight="1" spans="1:26">
      <c r="A857" s="74"/>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ht="15.5" customHeight="1" spans="1:26">
      <c r="A858" s="74"/>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ht="15.5" customHeight="1" spans="1:26">
      <c r="A859" s="74"/>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ht="15.5" customHeight="1" spans="1:26">
      <c r="A860" s="74"/>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ht="15.5" customHeight="1" spans="1:26">
      <c r="A861" s="74"/>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ht="15.5" customHeight="1" spans="1:26">
      <c r="A862" s="74"/>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ht="15.5" customHeight="1" spans="1:26">
      <c r="A863" s="74"/>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ht="15.5" customHeight="1" spans="1:26">
      <c r="A864" s="74"/>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ht="15.5" customHeight="1" spans="1:26">
      <c r="A865" s="74"/>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ht="15.5" customHeight="1" spans="1:26">
      <c r="A866" s="74"/>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ht="15.5" customHeight="1" spans="1:26">
      <c r="A867" s="74"/>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ht="15.5" customHeight="1" spans="1:26">
      <c r="A868" s="74"/>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ht="15.5" customHeight="1" spans="1:26">
      <c r="A869" s="74"/>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ht="15.5" customHeight="1" spans="1:26">
      <c r="A870" s="74"/>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ht="15.5" customHeight="1" spans="1:26">
      <c r="A871" s="74"/>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ht="15.5" customHeight="1" spans="1:26">
      <c r="A872" s="74"/>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ht="15.5" customHeight="1" spans="1:26">
      <c r="A873" s="74"/>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ht="15.5" customHeight="1" spans="1:26">
      <c r="A874" s="74"/>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ht="15.5" customHeight="1" spans="1:26">
      <c r="A875" s="74"/>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ht="15.5" customHeight="1" spans="1:26">
      <c r="A876" s="74"/>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ht="15.5" customHeight="1" spans="1:26">
      <c r="A877" s="74"/>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ht="15.5" customHeight="1" spans="1:26">
      <c r="A878" s="74"/>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ht="15.5" customHeight="1" spans="1:26">
      <c r="A879" s="74"/>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ht="15.5" customHeight="1" spans="1:26">
      <c r="A880" s="74"/>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ht="15.5" customHeight="1" spans="1:26">
      <c r="A881" s="74"/>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ht="15.5" customHeight="1" spans="1:26">
      <c r="A882" s="74"/>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ht="15.5" customHeight="1" spans="1:26">
      <c r="A883" s="74"/>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ht="15.5" customHeight="1" spans="1:26">
      <c r="A884" s="74"/>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ht="15.5" customHeight="1" spans="1:26">
      <c r="A885" s="74"/>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ht="15.5" customHeight="1" spans="1:26">
      <c r="A886" s="74"/>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ht="15.5" customHeight="1" spans="1:26">
      <c r="A887" s="74"/>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ht="15.5" customHeight="1" spans="1:26">
      <c r="A888" s="74"/>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ht="15.5" customHeight="1" spans="1:26">
      <c r="A889" s="74"/>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ht="15.5" customHeight="1" spans="1:26">
      <c r="A890" s="74"/>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ht="15.5" customHeight="1" spans="1:26">
      <c r="A891" s="74"/>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ht="15.5" customHeight="1" spans="1:26">
      <c r="A892" s="74"/>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ht="15.5" customHeight="1" spans="1:26">
      <c r="A893" s="74"/>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ht="15.5" customHeight="1" spans="1:26">
      <c r="A894" s="74"/>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ht="15.5" customHeight="1" spans="1:26">
      <c r="A895" s="74"/>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ht="15.5" customHeight="1" spans="1:26">
      <c r="A896" s="74"/>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ht="15.5" customHeight="1" spans="1:26">
      <c r="A897" s="74"/>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ht="15.5" customHeight="1" spans="1:26">
      <c r="A898" s="74"/>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ht="15.5" customHeight="1" spans="1:26">
      <c r="A899" s="74"/>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ht="15.5" customHeight="1" spans="1:26">
      <c r="A900" s="74"/>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ht="15.5" customHeight="1" spans="1:26">
      <c r="A901" s="74"/>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ht="15.5" customHeight="1" spans="1:26">
      <c r="A902" s="74"/>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ht="15.5" customHeight="1" spans="1:26">
      <c r="A903" s="74"/>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ht="15.5" customHeight="1" spans="1:26">
      <c r="A904" s="74"/>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ht="15.5" customHeight="1" spans="1:26">
      <c r="A905" s="74"/>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ht="15.5" customHeight="1" spans="1:26">
      <c r="A906" s="74"/>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ht="15.5" customHeight="1" spans="1:26">
      <c r="A907" s="74"/>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ht="15.5" customHeight="1" spans="1:26">
      <c r="A908" s="74"/>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ht="15.5" customHeight="1" spans="1:26">
      <c r="A909" s="74"/>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ht="15.5" customHeight="1" spans="1:26">
      <c r="A910" s="74"/>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ht="15.5" customHeight="1" spans="1:26">
      <c r="A911" s="74"/>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ht="15.5" customHeight="1" spans="1:26">
      <c r="A912" s="74"/>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ht="15.5" customHeight="1" spans="1:26">
      <c r="A913" s="74"/>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ht="15.5" customHeight="1" spans="1:26">
      <c r="A914" s="74"/>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ht="15.5" customHeight="1" spans="1:26">
      <c r="A915" s="74"/>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ht="15.5" customHeight="1" spans="1:26">
      <c r="A916" s="74"/>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ht="15.5" customHeight="1" spans="1:26">
      <c r="A917" s="74"/>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ht="15.5" customHeight="1" spans="1:26">
      <c r="A918" s="74"/>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ht="15.5" customHeight="1" spans="1:26">
      <c r="A919" s="74"/>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ht="15.5" customHeight="1" spans="1:26">
      <c r="A920" s="74"/>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ht="15.5" customHeight="1" spans="1:26">
      <c r="A921" s="74"/>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ht="15.5" customHeight="1" spans="1:26">
      <c r="A922" s="74"/>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ht="15.5" customHeight="1" spans="1:26">
      <c r="A923" s="74"/>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ht="15.5" customHeight="1" spans="1:26">
      <c r="A924" s="74"/>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ht="15.5" customHeight="1" spans="1:26">
      <c r="A925" s="74"/>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ht="15.5" customHeight="1" spans="1:26">
      <c r="A926" s="74"/>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row r="927" ht="15.5" customHeight="1" spans="1:26">
      <c r="A927" s="74"/>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row>
    <row r="928" ht="15.5" customHeight="1" spans="1:26">
      <c r="A928" s="74"/>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row>
    <row r="929" ht="15.5" customHeight="1" spans="1:26">
      <c r="A929" s="74"/>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row>
    <row r="930" ht="15.5" customHeight="1" spans="1:26">
      <c r="A930" s="74"/>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row>
    <row r="931" ht="15.5" customHeight="1" spans="1:26">
      <c r="A931" s="74"/>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row>
    <row r="932" ht="15.5" customHeight="1" spans="1:26">
      <c r="A932" s="74"/>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row>
    <row r="933" ht="15.5" customHeight="1" spans="1:26">
      <c r="A933" s="74"/>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row>
    <row r="934" ht="15.5" customHeight="1" spans="1:26">
      <c r="A934" s="74"/>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row>
    <row r="935" ht="15.5" customHeight="1" spans="1:26">
      <c r="A935" s="74"/>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row>
    <row r="936" ht="15.5" customHeight="1" spans="1:26">
      <c r="A936" s="74"/>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row>
    <row r="937" ht="15.5" customHeight="1" spans="1:26">
      <c r="A937" s="74"/>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row>
    <row r="938" ht="15.5" customHeight="1" spans="1:26">
      <c r="A938" s="74"/>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row>
    <row r="939" ht="15.5" customHeight="1" spans="1:26">
      <c r="A939" s="74"/>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row>
    <row r="940" ht="15.5" customHeight="1" spans="1:26">
      <c r="A940" s="74"/>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row>
    <row r="941" ht="15.5" customHeight="1" spans="1:26">
      <c r="A941" s="74"/>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row>
    <row r="942" ht="15.5" customHeight="1" spans="1:26">
      <c r="A942" s="74"/>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row>
    <row r="943" ht="15.5" customHeight="1" spans="1:26">
      <c r="A943" s="74"/>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row>
    <row r="944" ht="15.5" customHeight="1" spans="1:26">
      <c r="A944" s="74"/>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row>
    <row r="945" ht="15.5" customHeight="1" spans="1:26">
      <c r="A945" s="74"/>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row>
    <row r="946" ht="15.5" customHeight="1" spans="1:26">
      <c r="A946" s="74"/>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row>
    <row r="947" ht="15.5" customHeight="1" spans="1:26">
      <c r="A947" s="74"/>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row>
    <row r="948" ht="15.5" customHeight="1" spans="1:26">
      <c r="A948" s="74"/>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row>
    <row r="949" ht="15.5" customHeight="1" spans="1:26">
      <c r="A949" s="74"/>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row>
    <row r="950" ht="15.5" customHeight="1" spans="1:26">
      <c r="A950" s="74"/>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row>
    <row r="951" ht="15.5" customHeight="1" spans="1:26">
      <c r="A951" s="74"/>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row>
    <row r="952" ht="15.5" customHeight="1" spans="1:26">
      <c r="A952" s="74"/>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row>
    <row r="953" ht="15.5" customHeight="1" spans="1:26">
      <c r="A953" s="74"/>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row>
    <row r="954" ht="15.5" customHeight="1" spans="1:26">
      <c r="A954" s="74"/>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row>
    <row r="955" ht="15.5" customHeight="1" spans="1:26">
      <c r="A955" s="74"/>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row>
    <row r="956" ht="15.5" customHeight="1" spans="1:26">
      <c r="A956" s="74"/>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row>
    <row r="957" ht="15.5" customHeight="1" spans="1:26">
      <c r="A957" s="74"/>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row>
    <row r="958" ht="15.5" customHeight="1" spans="1:26">
      <c r="A958" s="74"/>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row>
    <row r="959" ht="15.5" customHeight="1" spans="1:26">
      <c r="A959" s="74"/>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row>
    <row r="960" ht="15.5" customHeight="1" spans="1:26">
      <c r="A960" s="74"/>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row>
    <row r="961" ht="15.5" customHeight="1" spans="1:26">
      <c r="A961" s="74"/>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row>
    <row r="962" ht="15.5" customHeight="1" spans="1:26">
      <c r="A962" s="74"/>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row>
    <row r="963" ht="15.5" customHeight="1" spans="1:26">
      <c r="A963" s="74"/>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row>
    <row r="964" ht="15.5" customHeight="1" spans="1:26">
      <c r="A964" s="74"/>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row>
    <row r="965" ht="15.5" customHeight="1" spans="1:26">
      <c r="A965" s="74"/>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row>
    <row r="966" ht="15.5" customHeight="1" spans="1:26">
      <c r="A966" s="74"/>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row>
    <row r="967" ht="15.5" customHeight="1" spans="1:26">
      <c r="A967" s="74"/>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row>
    <row r="968" ht="15.5" customHeight="1" spans="1:26">
      <c r="A968" s="74"/>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row>
    <row r="969" ht="15.5" customHeight="1" spans="1:26">
      <c r="A969" s="74"/>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row>
    <row r="970" ht="15.5" customHeight="1" spans="1:26">
      <c r="A970" s="74"/>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row>
    <row r="971" ht="15.5" customHeight="1" spans="1:26">
      <c r="A971" s="74"/>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row>
    <row r="972" ht="15.5" customHeight="1" spans="1:26">
      <c r="A972" s="74"/>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row>
    <row r="973" ht="15.5" customHeight="1" spans="1:26">
      <c r="A973" s="74"/>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row>
    <row r="974" ht="15.5" customHeight="1" spans="1:26">
      <c r="A974" s="74"/>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row>
    <row r="975" ht="15.5" customHeight="1" spans="1:26">
      <c r="A975" s="74"/>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row>
    <row r="976" ht="15.5" customHeight="1" spans="1:26">
      <c r="A976" s="74"/>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row>
    <row r="977" ht="15.5" customHeight="1" spans="1:26">
      <c r="A977" s="74"/>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row>
    <row r="978" ht="15.5" customHeight="1" spans="1:26">
      <c r="A978" s="74"/>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row>
    <row r="979" ht="15.5" customHeight="1" spans="1:26">
      <c r="A979" s="74"/>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row>
    <row r="980" ht="15.5" customHeight="1" spans="1:26">
      <c r="A980" s="74"/>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row>
    <row r="981" ht="15.5" customHeight="1" spans="1:26">
      <c r="A981" s="74"/>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row>
    <row r="982" ht="15.5" customHeight="1" spans="1:26">
      <c r="A982" s="74"/>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row>
    <row r="983" ht="15.5" customHeight="1" spans="1:26">
      <c r="A983" s="74"/>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row>
    <row r="984" ht="15.5" customHeight="1" spans="1:26">
      <c r="A984" s="74"/>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row>
    <row r="985" ht="15.5" customHeight="1" spans="1:26">
      <c r="A985" s="74"/>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row>
    <row r="986" ht="15.5" customHeight="1" spans="1:26">
      <c r="A986" s="74"/>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row>
    <row r="987" ht="15.5" customHeight="1" spans="1:26">
      <c r="A987" s="74"/>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row>
    <row r="988" ht="15.5" customHeight="1" spans="1:26">
      <c r="A988" s="74"/>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row>
    <row r="989" ht="15.5" customHeight="1" spans="1:26">
      <c r="A989" s="74"/>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row>
    <row r="990" ht="15.5" customHeight="1" spans="1:26">
      <c r="A990" s="74"/>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row>
    <row r="991" ht="15.5" customHeight="1" spans="1:26">
      <c r="A991" s="74"/>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row>
    <row r="992" ht="15.5" customHeight="1" spans="1:26">
      <c r="A992" s="74"/>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row>
    <row r="993" ht="15.5" customHeight="1" spans="1:26">
      <c r="A993" s="74"/>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row>
    <row r="994" ht="15.5" customHeight="1" spans="1:26">
      <c r="A994" s="74"/>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row>
    <row r="995" ht="15.5" customHeight="1" spans="1:26">
      <c r="A995" s="74"/>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row>
    <row r="996" ht="15.5" customHeight="1" spans="1:26">
      <c r="A996" s="74"/>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row>
    <row r="997" ht="15.5" customHeight="1" spans="1:26">
      <c r="A997" s="74"/>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row>
    <row r="998" ht="15.5" customHeight="1" spans="1:26">
      <c r="A998" s="74"/>
      <c r="B998" s="75"/>
      <c r="C998" s="75"/>
      <c r="D998" s="75"/>
      <c r="E998" s="75"/>
      <c r="F998" s="75"/>
      <c r="G998" s="75"/>
      <c r="H998" s="75"/>
      <c r="I998" s="75"/>
      <c r="J998" s="75"/>
      <c r="K998" s="75"/>
      <c r="L998" s="75"/>
      <c r="M998" s="75"/>
      <c r="N998" s="75"/>
      <c r="O998" s="75"/>
      <c r="P998" s="75"/>
      <c r="Q998" s="75"/>
      <c r="R998" s="75"/>
      <c r="S998" s="75"/>
      <c r="T998" s="75"/>
      <c r="U998" s="75"/>
      <c r="V998" s="75"/>
      <c r="W998" s="75"/>
      <c r="X998" s="75"/>
      <c r="Y998" s="75"/>
      <c r="Z998" s="75"/>
    </row>
    <row r="999" ht="15.5" customHeight="1" spans="1:26">
      <c r="A999" s="74"/>
      <c r="B999" s="75"/>
      <c r="C999" s="75"/>
      <c r="D999" s="75"/>
      <c r="E999" s="75"/>
      <c r="F999" s="75"/>
      <c r="G999" s="75"/>
      <c r="H999" s="75"/>
      <c r="I999" s="75"/>
      <c r="J999" s="75"/>
      <c r="K999" s="75"/>
      <c r="L999" s="75"/>
      <c r="M999" s="75"/>
      <c r="N999" s="75"/>
      <c r="O999" s="75"/>
      <c r="P999" s="75"/>
      <c r="Q999" s="75"/>
      <c r="R999" s="75"/>
      <c r="S999" s="75"/>
      <c r="T999" s="75"/>
      <c r="U999" s="75"/>
      <c r="V999" s="75"/>
      <c r="W999" s="75"/>
      <c r="X999" s="75"/>
      <c r="Y999" s="75"/>
      <c r="Z999" s="75"/>
    </row>
    <row r="1000" ht="15.5" customHeight="1" spans="1:26">
      <c r="A1000" s="74"/>
      <c r="B1000" s="75"/>
      <c r="C1000" s="75"/>
      <c r="D1000" s="75"/>
      <c r="E1000" s="75"/>
      <c r="F1000" s="75"/>
      <c r="G1000" s="75"/>
      <c r="H1000" s="75"/>
      <c r="I1000" s="75"/>
      <c r="J1000" s="75"/>
      <c r="K1000" s="75"/>
      <c r="L1000" s="75"/>
      <c r="M1000" s="75"/>
      <c r="N1000" s="75"/>
      <c r="O1000" s="75"/>
      <c r="P1000" s="75"/>
      <c r="Q1000" s="75"/>
      <c r="R1000" s="75"/>
      <c r="S1000" s="75"/>
      <c r="T1000" s="75"/>
      <c r="U1000" s="75"/>
      <c r="V1000" s="75"/>
      <c r="W1000" s="75"/>
      <c r="X1000" s="75"/>
      <c r="Y1000" s="75"/>
      <c r="Z1000" s="75"/>
    </row>
  </sheetData>
  <mergeCells count="4">
    <mergeCell ref="B2:F2"/>
    <mergeCell ref="B4:D4"/>
    <mergeCell ref="B5:D5"/>
    <mergeCell ref="B6:D6"/>
  </mergeCells>
  <pageMargins left="0.7" right="0.7" top="0.75" bottom="0.75" header="0" footer="0"/>
  <pageSetup paperSize="1" orientation="landscape" useFirstPageNumber="1"/>
  <headerFooter>
    <oddFooter>&amp;L 02ae-BM/PM/HDCV/FSOFT v2/1&amp;CInternal use&amp;R&amp;P/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33CCCC"/>
  </sheetPr>
  <dimension ref="A1:Z1000"/>
  <sheetViews>
    <sheetView workbookViewId="0">
      <selection activeCell="A1" sqref="A1"/>
    </sheetView>
  </sheetViews>
  <sheetFormatPr defaultColWidth="14.4406779661017" defaultRowHeight="15.05" customHeight="1"/>
  <cols>
    <col min="1" max="1" width="8.11016949152542" customWidth="1"/>
    <col min="2" max="2" width="17" customWidth="1"/>
    <col min="3" max="3" width="11.3305084745763" customWidth="1"/>
    <col min="4" max="4" width="14.1101694915254" customWidth="1"/>
    <col min="5" max="5" width="24" customWidth="1"/>
    <col min="6" max="6" width="14.1101694915254" customWidth="1"/>
    <col min="7" max="7" width="47.8898305084746" customWidth="1"/>
    <col min="8" max="8" width="58.6610169491525" customWidth="1"/>
    <col min="9" max="26" width="9.11016949152542" customWidth="1"/>
  </cols>
  <sheetData>
    <row r="1" ht="15.5" customHeight="1" spans="1:26">
      <c r="A1" s="50"/>
      <c r="B1" s="50"/>
      <c r="C1" s="50"/>
      <c r="D1" s="24"/>
      <c r="E1" s="24"/>
      <c r="F1" s="24"/>
      <c r="G1" s="24"/>
      <c r="H1" s="24"/>
      <c r="I1" s="24"/>
      <c r="J1" s="24"/>
      <c r="K1" s="24"/>
      <c r="L1" s="24"/>
      <c r="M1" s="24"/>
      <c r="N1" s="24"/>
      <c r="O1" s="24"/>
      <c r="P1" s="24"/>
      <c r="Q1" s="24"/>
      <c r="R1" s="24"/>
      <c r="S1" s="24"/>
      <c r="T1" s="24"/>
      <c r="U1" s="24"/>
      <c r="V1" s="24"/>
      <c r="W1" s="24"/>
      <c r="X1" s="24"/>
      <c r="Y1" s="24"/>
      <c r="Z1" s="24"/>
    </row>
    <row r="2" ht="25.55" customHeight="1" spans="1:26">
      <c r="A2" s="50"/>
      <c r="B2" s="50"/>
      <c r="C2" s="50"/>
      <c r="D2" s="24"/>
      <c r="E2" s="51" t="s">
        <v>70</v>
      </c>
      <c r="F2" s="51"/>
      <c r="G2" s="52"/>
      <c r="H2" s="24"/>
      <c r="I2" s="24"/>
      <c r="J2" s="24"/>
      <c r="K2" s="24"/>
      <c r="L2" s="24"/>
      <c r="M2" s="24"/>
      <c r="N2" s="24"/>
      <c r="O2" s="24"/>
      <c r="P2" s="24"/>
      <c r="Q2" s="24"/>
      <c r="R2" s="24"/>
      <c r="S2" s="24"/>
      <c r="T2" s="24"/>
      <c r="U2" s="24"/>
      <c r="V2" s="24"/>
      <c r="W2" s="24"/>
      <c r="X2" s="24"/>
      <c r="Y2" s="24"/>
      <c r="Z2" s="24"/>
    </row>
    <row r="3" ht="15.5" customHeight="1" spans="1:26">
      <c r="A3" s="50"/>
      <c r="B3" s="50"/>
      <c r="C3" s="50"/>
      <c r="D3" s="24"/>
      <c r="E3" s="24"/>
      <c r="F3" s="53"/>
      <c r="G3" s="53"/>
      <c r="H3" s="24"/>
      <c r="I3" s="24"/>
      <c r="J3" s="24"/>
      <c r="K3" s="24"/>
      <c r="L3" s="24"/>
      <c r="M3" s="24"/>
      <c r="N3" s="24"/>
      <c r="O3" s="24"/>
      <c r="P3" s="24"/>
      <c r="Q3" s="24"/>
      <c r="R3" s="24"/>
      <c r="S3" s="24"/>
      <c r="T3" s="24"/>
      <c r="U3" s="24"/>
      <c r="V3" s="24"/>
      <c r="W3" s="24"/>
      <c r="X3" s="24"/>
      <c r="Y3" s="24"/>
      <c r="Z3" s="24"/>
    </row>
    <row r="4" ht="15.5" customHeight="1" spans="1:26">
      <c r="A4" s="54" t="s">
        <v>46</v>
      </c>
      <c r="B4" s="34"/>
      <c r="C4" s="34"/>
      <c r="D4" s="34"/>
      <c r="E4" s="30" t="str">
        <f>Cover!B4</f>
        <v>IQGS – AI-Powered Interview Question Generation System Using RAG and LLM – A Dual-Sided Platform for Recruiters and Job Seekers</v>
      </c>
      <c r="F4" s="34"/>
      <c r="G4" s="34"/>
      <c r="H4" s="31"/>
      <c r="I4" s="24"/>
      <c r="J4" s="24"/>
      <c r="K4" s="24"/>
      <c r="L4" s="24"/>
      <c r="M4" s="24"/>
      <c r="N4" s="24"/>
      <c r="O4" s="24"/>
      <c r="P4" s="24"/>
      <c r="Q4" s="24"/>
      <c r="R4" s="24"/>
      <c r="S4" s="24"/>
      <c r="T4" s="24"/>
      <c r="U4" s="24"/>
      <c r="V4" s="24"/>
      <c r="W4" s="24"/>
      <c r="X4" s="24"/>
      <c r="Y4" s="24"/>
      <c r="Z4" s="24"/>
    </row>
    <row r="5" ht="15.5" customHeight="1" spans="1:26">
      <c r="A5" s="54" t="s">
        <v>50</v>
      </c>
      <c r="B5" s="34"/>
      <c r="C5" s="34"/>
      <c r="D5" s="34"/>
      <c r="E5" s="30" t="str">
        <f>Cover!B5</f>
        <v>SU26SE102</v>
      </c>
      <c r="F5" s="34"/>
      <c r="G5" s="34"/>
      <c r="H5" s="31"/>
      <c r="I5" s="24"/>
      <c r="J5" s="24"/>
      <c r="K5" s="24"/>
      <c r="L5" s="24"/>
      <c r="M5" s="24"/>
      <c r="N5" s="24"/>
      <c r="O5" s="24"/>
      <c r="P5" s="24"/>
      <c r="Q5" s="24"/>
      <c r="R5" s="24"/>
      <c r="S5" s="24"/>
      <c r="T5" s="24"/>
      <c r="U5" s="24"/>
      <c r="V5" s="24"/>
      <c r="W5" s="24"/>
      <c r="X5" s="24"/>
      <c r="Y5" s="24"/>
      <c r="Z5" s="24"/>
    </row>
    <row r="6" ht="15.5" customHeight="1" spans="1:26">
      <c r="A6" s="55" t="s">
        <v>71</v>
      </c>
      <c r="B6" s="34"/>
      <c r="C6" s="34"/>
      <c r="D6" s="31"/>
      <c r="E6" s="30">
        <v>100</v>
      </c>
      <c r="F6" s="56"/>
      <c r="G6" s="56"/>
      <c r="H6" s="57"/>
      <c r="I6" s="24"/>
      <c r="J6" s="24"/>
      <c r="K6" s="24"/>
      <c r="L6" s="24"/>
      <c r="M6" s="24"/>
      <c r="N6" s="24"/>
      <c r="O6" s="24"/>
      <c r="P6" s="24"/>
      <c r="Q6" s="24"/>
      <c r="R6" s="24"/>
      <c r="S6" s="24"/>
      <c r="T6" s="24"/>
      <c r="U6" s="24"/>
      <c r="V6" s="24"/>
      <c r="W6" s="24"/>
      <c r="X6" s="24"/>
      <c r="Y6" s="24"/>
      <c r="Z6" s="24"/>
    </row>
    <row r="7" ht="93" customHeight="1" spans="1:26">
      <c r="A7" s="58" t="s">
        <v>72</v>
      </c>
      <c r="B7" s="34"/>
      <c r="C7" s="34"/>
      <c r="D7" s="31"/>
      <c r="E7" s="59" t="s">
        <v>73</v>
      </c>
      <c r="F7" s="34"/>
      <c r="G7" s="34"/>
      <c r="H7" s="31"/>
      <c r="I7" s="60"/>
      <c r="J7" s="60"/>
      <c r="K7" s="60"/>
      <c r="L7" s="60"/>
      <c r="M7" s="60"/>
      <c r="N7" s="60"/>
      <c r="O7" s="60"/>
      <c r="P7" s="60"/>
      <c r="Q7" s="60"/>
      <c r="R7" s="60"/>
      <c r="S7" s="60"/>
      <c r="T7" s="60"/>
      <c r="U7" s="60"/>
      <c r="V7" s="60"/>
      <c r="W7" s="60"/>
      <c r="X7" s="60"/>
      <c r="Y7" s="60"/>
      <c r="Z7" s="60"/>
    </row>
    <row r="8" ht="15.5" customHeight="1" spans="1:26">
      <c r="A8" s="61"/>
      <c r="B8" s="61"/>
      <c r="C8" s="61"/>
      <c r="D8" s="24"/>
      <c r="E8" s="60"/>
      <c r="F8" s="24"/>
      <c r="G8" s="24"/>
      <c r="H8" s="24"/>
      <c r="I8" s="24"/>
      <c r="J8" s="24"/>
      <c r="K8" s="24"/>
      <c r="L8" s="24"/>
      <c r="M8" s="24"/>
      <c r="N8" s="24"/>
      <c r="O8" s="24"/>
      <c r="P8" s="24"/>
      <c r="Q8" s="24"/>
      <c r="R8" s="24"/>
      <c r="S8" s="24"/>
      <c r="T8" s="24"/>
      <c r="U8" s="24"/>
      <c r="V8" s="24"/>
      <c r="W8" s="24"/>
      <c r="X8" s="24"/>
      <c r="Y8" s="24"/>
      <c r="Z8" s="24"/>
    </row>
    <row r="9" ht="15.5" customHeight="1" spans="1:26">
      <c r="A9" s="62"/>
      <c r="B9" s="62"/>
      <c r="C9" s="62"/>
      <c r="D9" s="63"/>
      <c r="E9" s="64"/>
      <c r="F9" s="63"/>
      <c r="G9" s="63"/>
      <c r="H9" s="63"/>
      <c r="I9" s="65"/>
      <c r="J9" s="65"/>
      <c r="K9" s="65"/>
      <c r="L9" s="65"/>
      <c r="M9" s="65"/>
      <c r="N9" s="65"/>
      <c r="O9" s="65"/>
      <c r="P9" s="65"/>
      <c r="Q9" s="65"/>
      <c r="R9" s="65"/>
      <c r="S9" s="65"/>
      <c r="T9" s="65"/>
      <c r="U9" s="65"/>
      <c r="V9" s="65"/>
      <c r="W9" s="65"/>
      <c r="X9" s="65"/>
      <c r="Y9" s="65"/>
      <c r="Z9" s="65"/>
    </row>
    <row r="10" ht="31" customHeight="1" spans="1:26">
      <c r="A10" s="66" t="s">
        <v>74</v>
      </c>
      <c r="B10" s="67" t="s">
        <v>75</v>
      </c>
      <c r="C10" s="68" t="s">
        <v>76</v>
      </c>
      <c r="D10" s="69" t="s">
        <v>77</v>
      </c>
      <c r="E10" s="70" t="s">
        <v>78</v>
      </c>
      <c r="F10" s="69" t="s">
        <v>79</v>
      </c>
      <c r="G10" s="71" t="s">
        <v>80</v>
      </c>
      <c r="H10" s="72" t="s">
        <v>81</v>
      </c>
      <c r="I10" s="73"/>
      <c r="J10" s="73"/>
      <c r="K10" s="73"/>
      <c r="L10" s="73"/>
      <c r="M10" s="73"/>
      <c r="N10" s="73"/>
      <c r="O10" s="73"/>
      <c r="P10" s="73"/>
      <c r="Q10" s="73"/>
      <c r="R10" s="73"/>
      <c r="S10" s="73"/>
      <c r="T10" s="73"/>
      <c r="U10" s="73"/>
      <c r="V10" s="73"/>
      <c r="W10" s="73"/>
      <c r="X10" s="73"/>
      <c r="Y10" s="73"/>
      <c r="Z10" s="73"/>
    </row>
    <row r="11" ht="32" customHeight="1" spans="1:26">
      <c r="A11" s="50">
        <v>1</v>
      </c>
      <c r="B11" s="50" t="s">
        <v>82</v>
      </c>
      <c r="C11" s="50" t="s">
        <v>83</v>
      </c>
      <c r="D11" s="45" t="s">
        <v>84</v>
      </c>
      <c r="E11" s="45" t="s">
        <v>85</v>
      </c>
      <c r="F11" s="24" t="s">
        <v>84</v>
      </c>
      <c r="G11" s="24" t="s">
        <v>86</v>
      </c>
      <c r="H11" s="24" t="s">
        <v>87</v>
      </c>
      <c r="I11" s="24"/>
      <c r="J11" s="24"/>
      <c r="K11" s="24"/>
      <c r="L11" s="24"/>
      <c r="M11" s="24"/>
      <c r="N11" s="24"/>
      <c r="O11" s="24"/>
      <c r="P11" s="24"/>
      <c r="Q11" s="24"/>
      <c r="R11" s="24"/>
      <c r="S11" s="24"/>
      <c r="T11" s="24"/>
      <c r="U11" s="24"/>
      <c r="V11" s="24"/>
      <c r="W11" s="24"/>
      <c r="X11" s="24"/>
      <c r="Y11" s="24"/>
      <c r="Z11" s="24"/>
    </row>
    <row r="12" ht="32" customHeight="1" spans="1:26">
      <c r="A12" s="50">
        <v>2</v>
      </c>
      <c r="B12" s="50" t="s">
        <v>82</v>
      </c>
      <c r="C12" s="50" t="s">
        <v>83</v>
      </c>
      <c r="D12" s="45" t="s">
        <v>88</v>
      </c>
      <c r="E12" s="45" t="s">
        <v>89</v>
      </c>
      <c r="F12" s="24" t="s">
        <v>88</v>
      </c>
      <c r="G12" s="24" t="s">
        <v>90</v>
      </c>
      <c r="H12" s="24" t="s">
        <v>91</v>
      </c>
      <c r="I12" s="24"/>
      <c r="J12" s="24"/>
      <c r="K12" s="24"/>
      <c r="L12" s="24"/>
      <c r="M12" s="24"/>
      <c r="N12" s="24"/>
      <c r="O12" s="24"/>
      <c r="P12" s="24"/>
      <c r="Q12" s="24"/>
      <c r="R12" s="24"/>
      <c r="S12" s="24"/>
      <c r="T12" s="24"/>
      <c r="U12" s="24"/>
      <c r="V12" s="24"/>
      <c r="W12" s="24"/>
      <c r="X12" s="24"/>
      <c r="Y12" s="24"/>
      <c r="Z12" s="24"/>
    </row>
    <row r="13" ht="32" customHeight="1" spans="1:26">
      <c r="A13" s="50">
        <v>3</v>
      </c>
      <c r="B13" s="50" t="s">
        <v>82</v>
      </c>
      <c r="C13" s="50" t="s">
        <v>83</v>
      </c>
      <c r="D13" s="45" t="s">
        <v>92</v>
      </c>
      <c r="E13" s="45" t="s">
        <v>93</v>
      </c>
      <c r="F13" s="24" t="s">
        <v>92</v>
      </c>
      <c r="G13" s="24" t="s">
        <v>94</v>
      </c>
      <c r="H13" s="24" t="s">
        <v>95</v>
      </c>
      <c r="I13" s="24"/>
      <c r="J13" s="24"/>
      <c r="K13" s="24"/>
      <c r="L13" s="24"/>
      <c r="M13" s="24"/>
      <c r="N13" s="24"/>
      <c r="O13" s="24"/>
      <c r="P13" s="24"/>
      <c r="Q13" s="24"/>
      <c r="R13" s="24"/>
      <c r="S13" s="24"/>
      <c r="T13" s="24"/>
      <c r="U13" s="24"/>
      <c r="V13" s="24"/>
      <c r="W13" s="24"/>
      <c r="X13" s="24"/>
      <c r="Y13" s="24"/>
      <c r="Z13" s="24"/>
    </row>
    <row r="14" ht="32" customHeight="1" spans="1:26">
      <c r="A14" s="50">
        <v>4</v>
      </c>
      <c r="B14" s="50" t="s">
        <v>82</v>
      </c>
      <c r="C14" s="50" t="s">
        <v>83</v>
      </c>
      <c r="D14" s="45" t="s">
        <v>96</v>
      </c>
      <c r="E14" s="45" t="s">
        <v>97</v>
      </c>
      <c r="F14" s="24" t="s">
        <v>96</v>
      </c>
      <c r="G14" s="24" t="s">
        <v>98</v>
      </c>
      <c r="H14" s="24" t="s">
        <v>99</v>
      </c>
      <c r="I14" s="24"/>
      <c r="J14" s="24"/>
      <c r="K14" s="24"/>
      <c r="L14" s="24"/>
      <c r="M14" s="24"/>
      <c r="N14" s="24"/>
      <c r="O14" s="24"/>
      <c r="P14" s="24"/>
      <c r="Q14" s="24"/>
      <c r="R14" s="24"/>
      <c r="S14" s="24"/>
      <c r="T14" s="24"/>
      <c r="U14" s="24"/>
      <c r="V14" s="24"/>
      <c r="W14" s="24"/>
      <c r="X14" s="24"/>
      <c r="Y14" s="24"/>
      <c r="Z14" s="24"/>
    </row>
    <row r="15" ht="32" customHeight="1" spans="1:26">
      <c r="A15" s="50">
        <v>5</v>
      </c>
      <c r="B15" s="50" t="s">
        <v>82</v>
      </c>
      <c r="C15" s="50" t="s">
        <v>83</v>
      </c>
      <c r="D15" s="45" t="s">
        <v>100</v>
      </c>
      <c r="E15" s="45" t="s">
        <v>101</v>
      </c>
      <c r="F15" s="24" t="s">
        <v>100</v>
      </c>
      <c r="G15" s="24" t="s">
        <v>102</v>
      </c>
      <c r="H15" s="24" t="s">
        <v>103</v>
      </c>
      <c r="I15" s="24"/>
      <c r="J15" s="24"/>
      <c r="K15" s="24"/>
      <c r="L15" s="24"/>
      <c r="M15" s="24"/>
      <c r="N15" s="24"/>
      <c r="O15" s="24"/>
      <c r="P15" s="24"/>
      <c r="Q15" s="24"/>
      <c r="R15" s="24"/>
      <c r="S15" s="24"/>
      <c r="T15" s="24"/>
      <c r="U15" s="24"/>
      <c r="V15" s="24"/>
      <c r="W15" s="24"/>
      <c r="X15" s="24"/>
      <c r="Y15" s="24"/>
      <c r="Z15" s="24"/>
    </row>
    <row r="16" ht="32" customHeight="1" spans="1:26">
      <c r="A16" s="50">
        <v>6</v>
      </c>
      <c r="B16" s="50" t="s">
        <v>82</v>
      </c>
      <c r="C16" s="50" t="s">
        <v>83</v>
      </c>
      <c r="D16" s="45" t="s">
        <v>104</v>
      </c>
      <c r="E16" s="45" t="s">
        <v>105</v>
      </c>
      <c r="F16" s="24" t="s">
        <v>104</v>
      </c>
      <c r="G16" s="24" t="s">
        <v>106</v>
      </c>
      <c r="H16" s="24" t="s">
        <v>107</v>
      </c>
      <c r="I16" s="24"/>
      <c r="J16" s="24"/>
      <c r="K16" s="24"/>
      <c r="L16" s="24"/>
      <c r="M16" s="24"/>
      <c r="N16" s="24"/>
      <c r="O16" s="24"/>
      <c r="P16" s="24"/>
      <c r="Q16" s="24"/>
      <c r="R16" s="24"/>
      <c r="S16" s="24"/>
      <c r="T16" s="24"/>
      <c r="U16" s="24"/>
      <c r="V16" s="24"/>
      <c r="W16" s="24"/>
      <c r="X16" s="24"/>
      <c r="Y16" s="24"/>
      <c r="Z16" s="24"/>
    </row>
    <row r="17" ht="32" customHeight="1" spans="1:26">
      <c r="A17" s="50">
        <v>7</v>
      </c>
      <c r="B17" s="50" t="s">
        <v>82</v>
      </c>
      <c r="C17" s="50" t="s">
        <v>83</v>
      </c>
      <c r="D17" s="45" t="s">
        <v>108</v>
      </c>
      <c r="E17" s="45" t="s">
        <v>109</v>
      </c>
      <c r="F17" s="24" t="s">
        <v>108</v>
      </c>
      <c r="G17" s="24" t="s">
        <v>110</v>
      </c>
      <c r="H17" s="24" t="s">
        <v>111</v>
      </c>
      <c r="I17" s="24"/>
      <c r="J17" s="24"/>
      <c r="K17" s="24"/>
      <c r="L17" s="24"/>
      <c r="M17" s="24"/>
      <c r="N17" s="24"/>
      <c r="O17" s="24"/>
      <c r="P17" s="24"/>
      <c r="Q17" s="24"/>
      <c r="R17" s="24"/>
      <c r="S17" s="24"/>
      <c r="T17" s="24"/>
      <c r="U17" s="24"/>
      <c r="V17" s="24"/>
      <c r="W17" s="24"/>
      <c r="X17" s="24"/>
      <c r="Y17" s="24"/>
      <c r="Z17" s="24"/>
    </row>
    <row r="18" ht="32" customHeight="1" spans="1:26">
      <c r="A18" s="50">
        <v>8</v>
      </c>
      <c r="B18" s="50" t="s">
        <v>82</v>
      </c>
      <c r="C18" s="50" t="s">
        <v>83</v>
      </c>
      <c r="D18" s="45" t="s">
        <v>112</v>
      </c>
      <c r="E18" s="45" t="s">
        <v>113</v>
      </c>
      <c r="F18" s="24" t="s">
        <v>112</v>
      </c>
      <c r="G18" s="24" t="s">
        <v>114</v>
      </c>
      <c r="H18" s="24" t="s">
        <v>115</v>
      </c>
      <c r="I18" s="24"/>
      <c r="J18" s="24"/>
      <c r="K18" s="24"/>
      <c r="L18" s="24"/>
      <c r="M18" s="24"/>
      <c r="N18" s="24"/>
      <c r="O18" s="24"/>
      <c r="P18" s="24"/>
      <c r="Q18" s="24"/>
      <c r="R18" s="24"/>
      <c r="S18" s="24"/>
      <c r="T18" s="24"/>
      <c r="U18" s="24"/>
      <c r="V18" s="24"/>
      <c r="W18" s="24"/>
      <c r="X18" s="24"/>
      <c r="Y18" s="24"/>
      <c r="Z18" s="24"/>
    </row>
    <row r="19" ht="32" customHeight="1" spans="1:26">
      <c r="A19" s="50">
        <v>9</v>
      </c>
      <c r="B19" s="50" t="s">
        <v>82</v>
      </c>
      <c r="C19" s="50" t="s">
        <v>83</v>
      </c>
      <c r="D19" s="45" t="s">
        <v>116</v>
      </c>
      <c r="E19" s="45" t="s">
        <v>117</v>
      </c>
      <c r="F19" s="24" t="s">
        <v>116</v>
      </c>
      <c r="G19" s="24" t="s">
        <v>118</v>
      </c>
      <c r="H19" s="24" t="s">
        <v>119</v>
      </c>
      <c r="I19" s="24"/>
      <c r="J19" s="24"/>
      <c r="K19" s="24"/>
      <c r="L19" s="24"/>
      <c r="M19" s="24"/>
      <c r="N19" s="24"/>
      <c r="O19" s="24"/>
      <c r="P19" s="24"/>
      <c r="Q19" s="24"/>
      <c r="R19" s="24"/>
      <c r="S19" s="24"/>
      <c r="T19" s="24"/>
      <c r="U19" s="24"/>
      <c r="V19" s="24"/>
      <c r="W19" s="24"/>
      <c r="X19" s="24"/>
      <c r="Y19" s="24"/>
      <c r="Z19" s="24"/>
    </row>
    <row r="20" ht="32" customHeight="1" spans="1:26">
      <c r="A20" s="50">
        <v>10</v>
      </c>
      <c r="B20" s="50" t="s">
        <v>82</v>
      </c>
      <c r="C20" s="50" t="s">
        <v>83</v>
      </c>
      <c r="D20" s="45" t="s">
        <v>120</v>
      </c>
      <c r="E20" s="45" t="s">
        <v>121</v>
      </c>
      <c r="F20" s="24" t="s">
        <v>120</v>
      </c>
      <c r="G20" s="24" t="s">
        <v>122</v>
      </c>
      <c r="H20" s="24" t="s">
        <v>123</v>
      </c>
      <c r="I20" s="24"/>
      <c r="J20" s="24"/>
      <c r="K20" s="24"/>
      <c r="L20" s="24"/>
      <c r="M20" s="24"/>
      <c r="N20" s="24"/>
      <c r="O20" s="24"/>
      <c r="P20" s="24"/>
      <c r="Q20" s="24"/>
      <c r="R20" s="24"/>
      <c r="S20" s="24"/>
      <c r="T20" s="24"/>
      <c r="U20" s="24"/>
      <c r="V20" s="24"/>
      <c r="W20" s="24"/>
      <c r="X20" s="24"/>
      <c r="Y20" s="24"/>
      <c r="Z20" s="24"/>
    </row>
    <row r="21" ht="45" customHeight="1" spans="1:26">
      <c r="A21" s="50">
        <v>11</v>
      </c>
      <c r="B21" s="50" t="s">
        <v>82</v>
      </c>
      <c r="C21" s="50" t="s">
        <v>83</v>
      </c>
      <c r="D21" s="45" t="s">
        <v>124</v>
      </c>
      <c r="E21" s="45" t="s">
        <v>125</v>
      </c>
      <c r="F21" s="24" t="s">
        <v>126</v>
      </c>
      <c r="G21" s="24" t="s">
        <v>127</v>
      </c>
      <c r="H21" s="24" t="s">
        <v>128</v>
      </c>
      <c r="I21" s="24"/>
      <c r="J21" s="24"/>
      <c r="K21" s="24"/>
      <c r="L21" s="24"/>
      <c r="M21" s="24"/>
      <c r="N21" s="24"/>
      <c r="O21" s="24"/>
      <c r="P21" s="24"/>
      <c r="Q21" s="24"/>
      <c r="R21" s="24"/>
      <c r="S21" s="24"/>
      <c r="T21" s="24"/>
      <c r="U21" s="24"/>
      <c r="V21" s="24"/>
      <c r="W21" s="24"/>
      <c r="X21" s="24"/>
      <c r="Y21" s="24"/>
      <c r="Z21" s="24"/>
    </row>
    <row r="22" ht="32" customHeight="1" spans="1:26">
      <c r="A22" s="50">
        <v>12</v>
      </c>
      <c r="B22" s="50" t="s">
        <v>129</v>
      </c>
      <c r="C22" s="50" t="s">
        <v>130</v>
      </c>
      <c r="D22" s="45" t="s">
        <v>131</v>
      </c>
      <c r="E22" s="45" t="s">
        <v>132</v>
      </c>
      <c r="F22" s="24" t="s">
        <v>131</v>
      </c>
      <c r="G22" s="24" t="s">
        <v>133</v>
      </c>
      <c r="H22" s="24" t="s">
        <v>134</v>
      </c>
      <c r="I22" s="24"/>
      <c r="J22" s="24"/>
      <c r="K22" s="24"/>
      <c r="L22" s="24"/>
      <c r="M22" s="24"/>
      <c r="N22" s="24"/>
      <c r="O22" s="24"/>
      <c r="P22" s="24"/>
      <c r="Q22" s="24"/>
      <c r="R22" s="24"/>
      <c r="S22" s="24"/>
      <c r="T22" s="24"/>
      <c r="U22" s="24"/>
      <c r="V22" s="24"/>
      <c r="W22" s="24"/>
      <c r="X22" s="24"/>
      <c r="Y22" s="24"/>
      <c r="Z22" s="24"/>
    </row>
    <row r="23" ht="32" customHeight="1" spans="1:26">
      <c r="A23" s="50">
        <v>13</v>
      </c>
      <c r="B23" s="50" t="s">
        <v>129</v>
      </c>
      <c r="C23" s="50" t="s">
        <v>130</v>
      </c>
      <c r="D23" s="45" t="s">
        <v>135</v>
      </c>
      <c r="E23" s="45" t="s">
        <v>136</v>
      </c>
      <c r="F23" s="24" t="s">
        <v>135</v>
      </c>
      <c r="G23" s="24" t="s">
        <v>137</v>
      </c>
      <c r="H23" s="24" t="s">
        <v>138</v>
      </c>
      <c r="I23" s="24"/>
      <c r="J23" s="24"/>
      <c r="K23" s="24"/>
      <c r="L23" s="24"/>
      <c r="M23" s="24"/>
      <c r="N23" s="24"/>
      <c r="O23" s="24"/>
      <c r="P23" s="24"/>
      <c r="Q23" s="24"/>
      <c r="R23" s="24"/>
      <c r="S23" s="24"/>
      <c r="T23" s="24"/>
      <c r="U23" s="24"/>
      <c r="V23" s="24"/>
      <c r="W23" s="24"/>
      <c r="X23" s="24"/>
      <c r="Y23" s="24"/>
      <c r="Z23" s="24"/>
    </row>
    <row r="24" ht="32" customHeight="1" spans="1:26">
      <c r="A24" s="50">
        <v>14</v>
      </c>
      <c r="B24" s="50" t="s">
        <v>129</v>
      </c>
      <c r="C24" s="50" t="s">
        <v>130</v>
      </c>
      <c r="D24" s="24" t="s">
        <v>139</v>
      </c>
      <c r="E24" s="24" t="s">
        <v>140</v>
      </c>
      <c r="F24" s="24" t="s">
        <v>141</v>
      </c>
      <c r="G24" s="24" t="s">
        <v>142</v>
      </c>
      <c r="H24" s="24" t="s">
        <v>143</v>
      </c>
      <c r="I24" s="24"/>
      <c r="J24" s="24"/>
      <c r="K24" s="24"/>
      <c r="L24" s="24"/>
      <c r="M24" s="24"/>
      <c r="N24" s="24"/>
      <c r="O24" s="24"/>
      <c r="P24" s="24"/>
      <c r="Q24" s="24"/>
      <c r="R24" s="24"/>
      <c r="S24" s="24"/>
      <c r="T24" s="24"/>
      <c r="U24" s="24"/>
      <c r="V24" s="24"/>
      <c r="W24" s="24"/>
      <c r="X24" s="24"/>
      <c r="Y24" s="24"/>
      <c r="Z24" s="24"/>
    </row>
    <row r="25" ht="32" customHeight="1" spans="1:26">
      <c r="A25" s="50">
        <v>15</v>
      </c>
      <c r="B25" s="50" t="s">
        <v>129</v>
      </c>
      <c r="C25" s="50" t="s">
        <v>130</v>
      </c>
      <c r="D25" s="24" t="s">
        <v>144</v>
      </c>
      <c r="E25" s="24" t="s">
        <v>145</v>
      </c>
      <c r="F25" s="24" t="s">
        <v>144</v>
      </c>
      <c r="G25" s="24" t="s">
        <v>146</v>
      </c>
      <c r="H25" s="24" t="s">
        <v>147</v>
      </c>
      <c r="I25" s="24"/>
      <c r="J25" s="24"/>
      <c r="K25" s="24"/>
      <c r="L25" s="24"/>
      <c r="M25" s="24"/>
      <c r="N25" s="24"/>
      <c r="O25" s="24"/>
      <c r="P25" s="24"/>
      <c r="Q25" s="24"/>
      <c r="R25" s="24"/>
      <c r="S25" s="24"/>
      <c r="T25" s="24"/>
      <c r="U25" s="24"/>
      <c r="V25" s="24"/>
      <c r="W25" s="24"/>
      <c r="X25" s="24"/>
      <c r="Y25" s="24"/>
      <c r="Z25" s="24"/>
    </row>
    <row r="26" ht="32" customHeight="1" spans="1:26">
      <c r="A26" s="50">
        <v>16</v>
      </c>
      <c r="B26" s="50" t="s">
        <v>129</v>
      </c>
      <c r="C26" s="50" t="s">
        <v>130</v>
      </c>
      <c r="D26" s="24" t="s">
        <v>148</v>
      </c>
      <c r="E26" s="24" t="s">
        <v>149</v>
      </c>
      <c r="F26" s="24" t="s">
        <v>148</v>
      </c>
      <c r="G26" s="24" t="s">
        <v>150</v>
      </c>
      <c r="H26" s="24" t="s">
        <v>151</v>
      </c>
      <c r="I26" s="24"/>
      <c r="J26" s="24"/>
      <c r="K26" s="24"/>
      <c r="L26" s="24"/>
      <c r="M26" s="24"/>
      <c r="N26" s="24"/>
      <c r="O26" s="24"/>
      <c r="P26" s="24"/>
      <c r="Q26" s="24"/>
      <c r="R26" s="24"/>
      <c r="S26" s="24"/>
      <c r="T26" s="24"/>
      <c r="U26" s="24"/>
      <c r="V26" s="24"/>
      <c r="W26" s="24"/>
      <c r="X26" s="24"/>
      <c r="Y26" s="24"/>
      <c r="Z26" s="24"/>
    </row>
    <row r="27" ht="32" customHeight="1" spans="1:26">
      <c r="A27" s="50">
        <v>17</v>
      </c>
      <c r="B27" s="50" t="s">
        <v>129</v>
      </c>
      <c r="C27" s="50" t="s">
        <v>130</v>
      </c>
      <c r="D27" s="24" t="s">
        <v>152</v>
      </c>
      <c r="E27" s="24" t="s">
        <v>153</v>
      </c>
      <c r="F27" s="24" t="s">
        <v>154</v>
      </c>
      <c r="G27" s="24" t="s">
        <v>155</v>
      </c>
      <c r="H27" s="24" t="s">
        <v>156</v>
      </c>
      <c r="I27" s="24"/>
      <c r="J27" s="24"/>
      <c r="K27" s="24"/>
      <c r="L27" s="24"/>
      <c r="M27" s="24"/>
      <c r="N27" s="24"/>
      <c r="O27" s="24"/>
      <c r="P27" s="24"/>
      <c r="Q27" s="24"/>
      <c r="R27" s="24"/>
      <c r="S27" s="24"/>
      <c r="T27" s="24"/>
      <c r="U27" s="24"/>
      <c r="V27" s="24"/>
      <c r="W27" s="24"/>
      <c r="X27" s="24"/>
      <c r="Y27" s="24"/>
      <c r="Z27" s="24"/>
    </row>
    <row r="28" ht="32" customHeight="1" spans="1:26">
      <c r="A28" s="50">
        <v>18</v>
      </c>
      <c r="B28" s="50" t="s">
        <v>129</v>
      </c>
      <c r="C28" s="50" t="s">
        <v>130</v>
      </c>
      <c r="D28" s="24" t="s">
        <v>157</v>
      </c>
      <c r="E28" s="24" t="s">
        <v>158</v>
      </c>
      <c r="F28" s="24" t="s">
        <v>157</v>
      </c>
      <c r="G28" s="24" t="s">
        <v>159</v>
      </c>
      <c r="H28" s="24" t="s">
        <v>160</v>
      </c>
      <c r="I28" s="24"/>
      <c r="J28" s="24"/>
      <c r="K28" s="24"/>
      <c r="L28" s="24"/>
      <c r="M28" s="24"/>
      <c r="N28" s="24"/>
      <c r="O28" s="24"/>
      <c r="P28" s="24"/>
      <c r="Q28" s="24"/>
      <c r="R28" s="24"/>
      <c r="S28" s="24"/>
      <c r="T28" s="24"/>
      <c r="U28" s="24"/>
      <c r="V28" s="24"/>
      <c r="W28" s="24"/>
      <c r="X28" s="24"/>
      <c r="Y28" s="24"/>
      <c r="Z28" s="24"/>
    </row>
    <row r="29" ht="32" customHeight="1" spans="1:26">
      <c r="A29" s="50">
        <v>19</v>
      </c>
      <c r="B29" s="50" t="s">
        <v>129</v>
      </c>
      <c r="C29" s="50" t="s">
        <v>130</v>
      </c>
      <c r="D29" s="24" t="s">
        <v>161</v>
      </c>
      <c r="E29" s="24" t="s">
        <v>162</v>
      </c>
      <c r="F29" s="24" t="s">
        <v>163</v>
      </c>
      <c r="G29" s="24" t="s">
        <v>164</v>
      </c>
      <c r="H29" s="24" t="s">
        <v>165</v>
      </c>
      <c r="I29" s="24"/>
      <c r="J29" s="24"/>
      <c r="K29" s="24"/>
      <c r="L29" s="24"/>
      <c r="M29" s="24"/>
      <c r="N29" s="24"/>
      <c r="O29" s="24"/>
      <c r="P29" s="24"/>
      <c r="Q29" s="24"/>
      <c r="R29" s="24"/>
      <c r="S29" s="24"/>
      <c r="T29" s="24"/>
      <c r="U29" s="24"/>
      <c r="V29" s="24"/>
      <c r="W29" s="24"/>
      <c r="X29" s="24"/>
      <c r="Y29" s="24"/>
      <c r="Z29" s="24"/>
    </row>
    <row r="30" ht="32" customHeight="1" spans="1:26">
      <c r="A30" s="50">
        <v>20</v>
      </c>
      <c r="B30" s="50" t="s">
        <v>129</v>
      </c>
      <c r="C30" s="50" t="s">
        <v>130</v>
      </c>
      <c r="D30" s="24" t="s">
        <v>166</v>
      </c>
      <c r="E30" s="24" t="s">
        <v>167</v>
      </c>
      <c r="F30" s="24" t="s">
        <v>166</v>
      </c>
      <c r="G30" s="24" t="s">
        <v>168</v>
      </c>
      <c r="H30" s="24" t="s">
        <v>169</v>
      </c>
      <c r="I30" s="24"/>
      <c r="J30" s="24"/>
      <c r="K30" s="24"/>
      <c r="L30" s="24"/>
      <c r="M30" s="24"/>
      <c r="N30" s="24"/>
      <c r="O30" s="24"/>
      <c r="P30" s="24"/>
      <c r="Q30" s="24"/>
      <c r="R30" s="24"/>
      <c r="S30" s="24"/>
      <c r="T30" s="24"/>
      <c r="U30" s="24"/>
      <c r="V30" s="24"/>
      <c r="W30" s="24"/>
      <c r="X30" s="24"/>
      <c r="Y30" s="24"/>
      <c r="Z30" s="24"/>
    </row>
    <row r="31" ht="45" customHeight="1" spans="1:26">
      <c r="A31" s="50">
        <v>21</v>
      </c>
      <c r="B31" s="50" t="s">
        <v>129</v>
      </c>
      <c r="C31" s="50" t="s">
        <v>130</v>
      </c>
      <c r="D31" s="24" t="s">
        <v>170</v>
      </c>
      <c r="E31" s="24" t="s">
        <v>171</v>
      </c>
      <c r="F31" s="24" t="s">
        <v>170</v>
      </c>
      <c r="G31" s="24" t="s">
        <v>172</v>
      </c>
      <c r="H31" s="24" t="s">
        <v>173</v>
      </c>
      <c r="I31" s="24"/>
      <c r="J31" s="24"/>
      <c r="K31" s="24"/>
      <c r="L31" s="24"/>
      <c r="M31" s="24"/>
      <c r="N31" s="24"/>
      <c r="O31" s="24"/>
      <c r="P31" s="24"/>
      <c r="Q31" s="24"/>
      <c r="R31" s="24"/>
      <c r="S31" s="24"/>
      <c r="T31" s="24"/>
      <c r="U31" s="24"/>
      <c r="V31" s="24"/>
      <c r="W31" s="24"/>
      <c r="X31" s="24"/>
      <c r="Y31" s="24"/>
      <c r="Z31" s="24"/>
    </row>
    <row r="32" ht="32" customHeight="1" spans="1:26">
      <c r="A32" s="50">
        <v>22</v>
      </c>
      <c r="B32" s="50" t="s">
        <v>129</v>
      </c>
      <c r="C32" s="50" t="s">
        <v>130</v>
      </c>
      <c r="D32" s="24" t="s">
        <v>174</v>
      </c>
      <c r="E32" s="24" t="s">
        <v>175</v>
      </c>
      <c r="F32" s="24" t="s">
        <v>174</v>
      </c>
      <c r="G32" s="24" t="s">
        <v>176</v>
      </c>
      <c r="H32" s="24" t="s">
        <v>177</v>
      </c>
      <c r="I32" s="24"/>
      <c r="J32" s="24"/>
      <c r="K32" s="24"/>
      <c r="L32" s="24"/>
      <c r="M32" s="24"/>
      <c r="N32" s="24"/>
      <c r="O32" s="24"/>
      <c r="P32" s="24"/>
      <c r="Q32" s="24"/>
      <c r="R32" s="24"/>
      <c r="S32" s="24"/>
      <c r="T32" s="24"/>
      <c r="U32" s="24"/>
      <c r="V32" s="24"/>
      <c r="W32" s="24"/>
      <c r="X32" s="24"/>
      <c r="Y32" s="24"/>
      <c r="Z32" s="24"/>
    </row>
    <row r="33" ht="45" customHeight="1" spans="1:26">
      <c r="A33" s="50">
        <v>23</v>
      </c>
      <c r="B33" s="50" t="s">
        <v>129</v>
      </c>
      <c r="C33" s="50" t="s">
        <v>130</v>
      </c>
      <c r="D33" s="24" t="s">
        <v>178</v>
      </c>
      <c r="E33" s="24" t="s">
        <v>179</v>
      </c>
      <c r="F33" s="24" t="s">
        <v>178</v>
      </c>
      <c r="G33" s="24" t="s">
        <v>180</v>
      </c>
      <c r="H33" s="24" t="s">
        <v>181</v>
      </c>
      <c r="I33" s="24"/>
      <c r="J33" s="24"/>
      <c r="K33" s="24"/>
      <c r="L33" s="24"/>
      <c r="M33" s="24"/>
      <c r="N33" s="24"/>
      <c r="O33" s="24"/>
      <c r="P33" s="24"/>
      <c r="Q33" s="24"/>
      <c r="R33" s="24"/>
      <c r="S33" s="24"/>
      <c r="T33" s="24"/>
      <c r="U33" s="24"/>
      <c r="V33" s="24"/>
      <c r="W33" s="24"/>
      <c r="X33" s="24"/>
      <c r="Y33" s="24"/>
      <c r="Z33" s="24"/>
    </row>
    <row r="34" ht="32" customHeight="1" spans="1:26">
      <c r="A34" s="50">
        <v>24</v>
      </c>
      <c r="B34" s="50" t="s">
        <v>129</v>
      </c>
      <c r="C34" s="50" t="s">
        <v>130</v>
      </c>
      <c r="D34" s="24" t="s">
        <v>182</v>
      </c>
      <c r="E34" s="24" t="s">
        <v>183</v>
      </c>
      <c r="F34" s="24" t="s">
        <v>182</v>
      </c>
      <c r="G34" s="24" t="s">
        <v>184</v>
      </c>
      <c r="H34" s="24" t="s">
        <v>185</v>
      </c>
      <c r="I34" s="24"/>
      <c r="J34" s="24"/>
      <c r="K34" s="24"/>
      <c r="L34" s="24"/>
      <c r="M34" s="24"/>
      <c r="N34" s="24"/>
      <c r="O34" s="24"/>
      <c r="P34" s="24"/>
      <c r="Q34" s="24"/>
      <c r="R34" s="24"/>
      <c r="S34" s="24"/>
      <c r="T34" s="24"/>
      <c r="U34" s="24"/>
      <c r="V34" s="24"/>
      <c r="W34" s="24"/>
      <c r="X34" s="24"/>
      <c r="Y34" s="24"/>
      <c r="Z34" s="24"/>
    </row>
    <row r="35" ht="214" customHeight="1" spans="1:26">
      <c r="A35" s="50">
        <v>25</v>
      </c>
      <c r="B35" s="50" t="s">
        <v>129</v>
      </c>
      <c r="C35" s="50" t="s">
        <v>130</v>
      </c>
      <c r="D35" s="24" t="s">
        <v>186</v>
      </c>
      <c r="E35" s="24" t="s">
        <v>187</v>
      </c>
      <c r="F35" s="24" t="s">
        <v>186</v>
      </c>
      <c r="G35" s="24" t="s">
        <v>188</v>
      </c>
      <c r="H35" s="24" t="s">
        <v>189</v>
      </c>
      <c r="I35" s="24"/>
      <c r="J35" s="24"/>
      <c r="K35" s="24"/>
      <c r="L35" s="24"/>
      <c r="M35" s="24"/>
      <c r="N35" s="24"/>
      <c r="O35" s="24"/>
      <c r="P35" s="24"/>
      <c r="Q35" s="24"/>
      <c r="R35" s="24"/>
      <c r="S35" s="24"/>
      <c r="T35" s="24"/>
      <c r="U35" s="24"/>
      <c r="V35" s="24"/>
      <c r="W35" s="24"/>
      <c r="X35" s="24"/>
      <c r="Y35" s="24"/>
      <c r="Z35" s="24"/>
    </row>
    <row r="36" ht="32" customHeight="1" spans="1:26">
      <c r="A36" s="50">
        <v>26</v>
      </c>
      <c r="B36" s="50" t="s">
        <v>190</v>
      </c>
      <c r="C36" s="50" t="s">
        <v>191</v>
      </c>
      <c r="D36" s="24" t="s">
        <v>192</v>
      </c>
      <c r="E36" s="24" t="s">
        <v>193</v>
      </c>
      <c r="F36" s="24" t="s">
        <v>192</v>
      </c>
      <c r="G36" s="24" t="s">
        <v>194</v>
      </c>
      <c r="H36" s="24" t="s">
        <v>195</v>
      </c>
      <c r="I36" s="24"/>
      <c r="J36" s="24"/>
      <c r="K36" s="24"/>
      <c r="L36" s="24"/>
      <c r="M36" s="24"/>
      <c r="N36" s="24"/>
      <c r="O36" s="24"/>
      <c r="P36" s="24"/>
      <c r="Q36" s="24"/>
      <c r="R36" s="24"/>
      <c r="S36" s="24"/>
      <c r="T36" s="24"/>
      <c r="U36" s="24"/>
      <c r="V36" s="24"/>
      <c r="W36" s="24"/>
      <c r="X36" s="24"/>
      <c r="Y36" s="24"/>
      <c r="Z36" s="24"/>
    </row>
    <row r="37" ht="32" customHeight="1" spans="1:26">
      <c r="A37" s="50">
        <v>27</v>
      </c>
      <c r="B37" s="50" t="s">
        <v>190</v>
      </c>
      <c r="C37" s="50" t="s">
        <v>191</v>
      </c>
      <c r="D37" s="24" t="s">
        <v>196</v>
      </c>
      <c r="E37" s="24" t="s">
        <v>197</v>
      </c>
      <c r="F37" s="24" t="s">
        <v>196</v>
      </c>
      <c r="G37" s="24" t="s">
        <v>198</v>
      </c>
      <c r="H37" s="24" t="s">
        <v>199</v>
      </c>
      <c r="I37" s="24"/>
      <c r="J37" s="24"/>
      <c r="K37" s="24"/>
      <c r="L37" s="24"/>
      <c r="M37" s="24"/>
      <c r="N37" s="24"/>
      <c r="O37" s="24"/>
      <c r="P37" s="24"/>
      <c r="Q37" s="24"/>
      <c r="R37" s="24"/>
      <c r="S37" s="24"/>
      <c r="T37" s="24"/>
      <c r="U37" s="24"/>
      <c r="V37" s="24"/>
      <c r="W37" s="24"/>
      <c r="X37" s="24"/>
      <c r="Y37" s="24"/>
      <c r="Z37" s="24"/>
    </row>
    <row r="38" ht="32" customHeight="1" spans="1:26">
      <c r="A38" s="50">
        <v>28</v>
      </c>
      <c r="B38" s="50" t="s">
        <v>190</v>
      </c>
      <c r="C38" s="50" t="s">
        <v>191</v>
      </c>
      <c r="D38" s="24" t="s">
        <v>200</v>
      </c>
      <c r="E38" s="24" t="s">
        <v>201</v>
      </c>
      <c r="F38" s="24" t="s">
        <v>200</v>
      </c>
      <c r="G38" s="24" t="s">
        <v>202</v>
      </c>
      <c r="H38" s="24" t="s">
        <v>203</v>
      </c>
      <c r="I38" s="24"/>
      <c r="J38" s="24"/>
      <c r="K38" s="24"/>
      <c r="L38" s="24"/>
      <c r="M38" s="24"/>
      <c r="N38" s="24"/>
      <c r="O38" s="24"/>
      <c r="P38" s="24"/>
      <c r="Q38" s="24"/>
      <c r="R38" s="24"/>
      <c r="S38" s="24"/>
      <c r="T38" s="24"/>
      <c r="U38" s="24"/>
      <c r="V38" s="24"/>
      <c r="W38" s="24"/>
      <c r="X38" s="24"/>
      <c r="Y38" s="24"/>
      <c r="Z38" s="24"/>
    </row>
    <row r="39" ht="32" customHeight="1" spans="1:26">
      <c r="A39" s="50">
        <v>29</v>
      </c>
      <c r="B39" s="50" t="s">
        <v>190</v>
      </c>
      <c r="C39" s="50" t="s">
        <v>191</v>
      </c>
      <c r="D39" s="24" t="s">
        <v>204</v>
      </c>
      <c r="E39" s="24" t="s">
        <v>205</v>
      </c>
      <c r="F39" s="24" t="s">
        <v>204</v>
      </c>
      <c r="G39" s="24" t="s">
        <v>206</v>
      </c>
      <c r="H39" s="24" t="s">
        <v>207</v>
      </c>
      <c r="I39" s="24"/>
      <c r="J39" s="24"/>
      <c r="K39" s="24"/>
      <c r="L39" s="24"/>
      <c r="M39" s="24"/>
      <c r="N39" s="24"/>
      <c r="O39" s="24"/>
      <c r="P39" s="24"/>
      <c r="Q39" s="24"/>
      <c r="R39" s="24"/>
      <c r="S39" s="24"/>
      <c r="T39" s="24"/>
      <c r="U39" s="24"/>
      <c r="V39" s="24"/>
      <c r="W39" s="24"/>
      <c r="X39" s="24"/>
      <c r="Y39" s="24"/>
      <c r="Z39" s="24"/>
    </row>
    <row r="40" ht="32" customHeight="1" spans="1:26">
      <c r="A40" s="50">
        <v>30</v>
      </c>
      <c r="B40" s="50" t="s">
        <v>190</v>
      </c>
      <c r="C40" s="50" t="s">
        <v>191</v>
      </c>
      <c r="D40" s="24" t="s">
        <v>208</v>
      </c>
      <c r="E40" s="24" t="s">
        <v>209</v>
      </c>
      <c r="F40" s="24" t="s">
        <v>208</v>
      </c>
      <c r="G40" s="24" t="s">
        <v>210</v>
      </c>
      <c r="H40" s="24" t="s">
        <v>211</v>
      </c>
      <c r="I40" s="24"/>
      <c r="J40" s="24"/>
      <c r="K40" s="24"/>
      <c r="L40" s="24"/>
      <c r="M40" s="24"/>
      <c r="N40" s="24"/>
      <c r="O40" s="24"/>
      <c r="P40" s="24"/>
      <c r="Q40" s="24"/>
      <c r="R40" s="24"/>
      <c r="S40" s="24"/>
      <c r="T40" s="24"/>
      <c r="U40" s="24"/>
      <c r="V40" s="24"/>
      <c r="W40" s="24"/>
      <c r="X40" s="24"/>
      <c r="Y40" s="24"/>
      <c r="Z40" s="24"/>
    </row>
    <row r="41" ht="32" customHeight="1" spans="1:26">
      <c r="A41" s="50">
        <v>31</v>
      </c>
      <c r="B41" s="50" t="s">
        <v>190</v>
      </c>
      <c r="C41" s="50" t="s">
        <v>191</v>
      </c>
      <c r="D41" s="24" t="s">
        <v>212</v>
      </c>
      <c r="E41" s="24" t="s">
        <v>213</v>
      </c>
      <c r="F41" s="24" t="s">
        <v>214</v>
      </c>
      <c r="G41" s="24" t="s">
        <v>215</v>
      </c>
      <c r="H41" s="24" t="s">
        <v>216</v>
      </c>
      <c r="I41" s="24"/>
      <c r="J41" s="24"/>
      <c r="K41" s="24"/>
      <c r="L41" s="24"/>
      <c r="M41" s="24"/>
      <c r="N41" s="24"/>
      <c r="O41" s="24"/>
      <c r="P41" s="24"/>
      <c r="Q41" s="24"/>
      <c r="R41" s="24"/>
      <c r="S41" s="24"/>
      <c r="T41" s="24"/>
      <c r="U41" s="24"/>
      <c r="V41" s="24"/>
      <c r="W41" s="24"/>
      <c r="X41" s="24"/>
      <c r="Y41" s="24"/>
      <c r="Z41" s="24"/>
    </row>
    <row r="42" ht="45" customHeight="1" spans="1:26">
      <c r="A42" s="50">
        <v>32</v>
      </c>
      <c r="B42" s="50" t="s">
        <v>190</v>
      </c>
      <c r="C42" s="50" t="s">
        <v>191</v>
      </c>
      <c r="D42" s="24" t="s">
        <v>217</v>
      </c>
      <c r="E42" s="24" t="s">
        <v>218</v>
      </c>
      <c r="F42" s="24" t="s">
        <v>217</v>
      </c>
      <c r="G42" s="24" t="s">
        <v>219</v>
      </c>
      <c r="H42" s="24" t="s">
        <v>220</v>
      </c>
      <c r="I42" s="24"/>
      <c r="J42" s="24"/>
      <c r="K42" s="24"/>
      <c r="L42" s="24"/>
      <c r="M42" s="24"/>
      <c r="N42" s="24"/>
      <c r="O42" s="24"/>
      <c r="P42" s="24"/>
      <c r="Q42" s="24"/>
      <c r="R42" s="24"/>
      <c r="S42" s="24"/>
      <c r="T42" s="24"/>
      <c r="U42" s="24"/>
      <c r="V42" s="24"/>
      <c r="W42" s="24"/>
      <c r="X42" s="24"/>
      <c r="Y42" s="24"/>
      <c r="Z42" s="24"/>
    </row>
    <row r="43" ht="32" customHeight="1" spans="1:26">
      <c r="A43" s="50">
        <v>33</v>
      </c>
      <c r="B43" s="50" t="s">
        <v>190</v>
      </c>
      <c r="C43" s="50" t="s">
        <v>191</v>
      </c>
      <c r="D43" s="24" t="s">
        <v>221</v>
      </c>
      <c r="E43" s="24" t="s">
        <v>222</v>
      </c>
      <c r="F43" s="24" t="s">
        <v>221</v>
      </c>
      <c r="G43" s="24" t="s">
        <v>223</v>
      </c>
      <c r="H43" s="24" t="s">
        <v>224</v>
      </c>
      <c r="I43" s="24"/>
      <c r="J43" s="24"/>
      <c r="K43" s="24"/>
      <c r="L43" s="24"/>
      <c r="M43" s="24"/>
      <c r="N43" s="24"/>
      <c r="O43" s="24"/>
      <c r="P43" s="24"/>
      <c r="Q43" s="24"/>
      <c r="R43" s="24"/>
      <c r="S43" s="24"/>
      <c r="T43" s="24"/>
      <c r="U43" s="24"/>
      <c r="V43" s="24"/>
      <c r="W43" s="24"/>
      <c r="X43" s="24"/>
      <c r="Y43" s="24"/>
      <c r="Z43" s="24"/>
    </row>
    <row r="44" ht="32" customHeight="1" spans="1:26">
      <c r="A44" s="50">
        <v>34</v>
      </c>
      <c r="B44" s="50" t="s">
        <v>190</v>
      </c>
      <c r="C44" s="50" t="s">
        <v>191</v>
      </c>
      <c r="D44" s="24" t="s">
        <v>225</v>
      </c>
      <c r="E44" s="24" t="s">
        <v>226</v>
      </c>
      <c r="F44" s="24" t="s">
        <v>227</v>
      </c>
      <c r="G44" s="24" t="s">
        <v>228</v>
      </c>
      <c r="H44" s="24" t="s">
        <v>229</v>
      </c>
      <c r="I44" s="24"/>
      <c r="J44" s="24"/>
      <c r="K44" s="24"/>
      <c r="L44" s="24"/>
      <c r="M44" s="24"/>
      <c r="N44" s="24"/>
      <c r="O44" s="24"/>
      <c r="P44" s="24"/>
      <c r="Q44" s="24"/>
      <c r="R44" s="24"/>
      <c r="S44" s="24"/>
      <c r="T44" s="24"/>
      <c r="U44" s="24"/>
      <c r="V44" s="24"/>
      <c r="W44" s="24"/>
      <c r="X44" s="24"/>
      <c r="Y44" s="24"/>
      <c r="Z44" s="24"/>
    </row>
    <row r="45" ht="32" customHeight="1" spans="1:26">
      <c r="A45" s="50">
        <v>35</v>
      </c>
      <c r="B45" s="50" t="s">
        <v>190</v>
      </c>
      <c r="C45" s="50" t="s">
        <v>191</v>
      </c>
      <c r="D45" s="24" t="s">
        <v>230</v>
      </c>
      <c r="E45" s="24" t="s">
        <v>231</v>
      </c>
      <c r="F45" s="24" t="s">
        <v>230</v>
      </c>
      <c r="G45" s="24" t="s">
        <v>232</v>
      </c>
      <c r="H45" s="24" t="s">
        <v>233</v>
      </c>
      <c r="I45" s="24"/>
      <c r="J45" s="24"/>
      <c r="K45" s="24"/>
      <c r="L45" s="24"/>
      <c r="M45" s="24"/>
      <c r="N45" s="24"/>
      <c r="O45" s="24"/>
      <c r="P45" s="24"/>
      <c r="Q45" s="24"/>
      <c r="R45" s="24"/>
      <c r="S45" s="24"/>
      <c r="T45" s="24"/>
      <c r="U45" s="24"/>
      <c r="V45" s="24"/>
      <c r="W45" s="24"/>
      <c r="X45" s="24"/>
      <c r="Y45" s="24"/>
      <c r="Z45" s="24"/>
    </row>
    <row r="46" ht="32" customHeight="1" spans="1:26">
      <c r="A46" s="50">
        <v>36</v>
      </c>
      <c r="B46" s="50" t="s">
        <v>190</v>
      </c>
      <c r="C46" s="50" t="s">
        <v>191</v>
      </c>
      <c r="D46" s="24" t="s">
        <v>234</v>
      </c>
      <c r="E46" s="24" t="s">
        <v>235</v>
      </c>
      <c r="F46" s="24" t="s">
        <v>234</v>
      </c>
      <c r="G46" s="24" t="s">
        <v>236</v>
      </c>
      <c r="H46" s="24" t="s">
        <v>237</v>
      </c>
      <c r="I46" s="24"/>
      <c r="J46" s="24"/>
      <c r="K46" s="24"/>
      <c r="L46" s="24"/>
      <c r="M46" s="24"/>
      <c r="N46" s="24"/>
      <c r="O46" s="24"/>
      <c r="P46" s="24"/>
      <c r="Q46" s="24"/>
      <c r="R46" s="24"/>
      <c r="S46" s="24"/>
      <c r="T46" s="24"/>
      <c r="U46" s="24"/>
      <c r="V46" s="24"/>
      <c r="W46" s="24"/>
      <c r="X46" s="24"/>
      <c r="Y46" s="24"/>
      <c r="Z46" s="24"/>
    </row>
    <row r="47" ht="32" customHeight="1" spans="1:26">
      <c r="A47" s="50">
        <v>37</v>
      </c>
      <c r="B47" s="50" t="s">
        <v>190</v>
      </c>
      <c r="C47" s="50" t="s">
        <v>191</v>
      </c>
      <c r="D47" s="24" t="s">
        <v>238</v>
      </c>
      <c r="E47" s="24" t="s">
        <v>239</v>
      </c>
      <c r="F47" s="24" t="s">
        <v>240</v>
      </c>
      <c r="G47" s="24" t="s">
        <v>241</v>
      </c>
      <c r="H47" s="24" t="s">
        <v>242</v>
      </c>
      <c r="I47" s="24"/>
      <c r="J47" s="24"/>
      <c r="K47" s="24"/>
      <c r="L47" s="24"/>
      <c r="M47" s="24"/>
      <c r="N47" s="24"/>
      <c r="O47" s="24"/>
      <c r="P47" s="24"/>
      <c r="Q47" s="24"/>
      <c r="R47" s="24"/>
      <c r="S47" s="24"/>
      <c r="T47" s="24"/>
      <c r="U47" s="24"/>
      <c r="V47" s="24"/>
      <c r="W47" s="24"/>
      <c r="X47" s="24"/>
      <c r="Y47" s="24"/>
      <c r="Z47" s="24"/>
    </row>
    <row r="48" ht="32" customHeight="1" spans="1:26">
      <c r="A48" s="50">
        <v>38</v>
      </c>
      <c r="B48" s="50" t="s">
        <v>190</v>
      </c>
      <c r="C48" s="50" t="s">
        <v>191</v>
      </c>
      <c r="D48" s="24" t="s">
        <v>243</v>
      </c>
      <c r="E48" s="24" t="s">
        <v>244</v>
      </c>
      <c r="F48" s="24" t="s">
        <v>243</v>
      </c>
      <c r="G48" s="24" t="s">
        <v>245</v>
      </c>
      <c r="H48" s="24" t="s">
        <v>246</v>
      </c>
      <c r="I48" s="24"/>
      <c r="J48" s="24"/>
      <c r="K48" s="24"/>
      <c r="L48" s="24"/>
      <c r="M48" s="24"/>
      <c r="N48" s="24"/>
      <c r="O48" s="24"/>
      <c r="P48" s="24"/>
      <c r="Q48" s="24"/>
      <c r="R48" s="24"/>
      <c r="S48" s="24"/>
      <c r="T48" s="24"/>
      <c r="U48" s="24"/>
      <c r="V48" s="24"/>
      <c r="W48" s="24"/>
      <c r="X48" s="24"/>
      <c r="Y48" s="24"/>
      <c r="Z48" s="24"/>
    </row>
    <row r="49" ht="45" customHeight="1" spans="1:26">
      <c r="A49" s="50">
        <v>39</v>
      </c>
      <c r="B49" s="50" t="s">
        <v>190</v>
      </c>
      <c r="C49" s="50" t="s">
        <v>191</v>
      </c>
      <c r="D49" s="24" t="s">
        <v>247</v>
      </c>
      <c r="E49" s="24" t="s">
        <v>248</v>
      </c>
      <c r="F49" s="24" t="s">
        <v>247</v>
      </c>
      <c r="G49" s="24" t="s">
        <v>249</v>
      </c>
      <c r="H49" s="24" t="s">
        <v>250</v>
      </c>
      <c r="I49" s="24"/>
      <c r="J49" s="24"/>
      <c r="K49" s="24"/>
      <c r="L49" s="24"/>
      <c r="M49" s="24"/>
      <c r="N49" s="24"/>
      <c r="O49" s="24"/>
      <c r="P49" s="24"/>
      <c r="Q49" s="24"/>
      <c r="R49" s="24"/>
      <c r="S49" s="24"/>
      <c r="T49" s="24"/>
      <c r="U49" s="24"/>
      <c r="V49" s="24"/>
      <c r="W49" s="24"/>
      <c r="X49" s="24"/>
      <c r="Y49" s="24"/>
      <c r="Z49" s="24"/>
    </row>
    <row r="50" ht="19" customHeight="1" spans="1:26">
      <c r="A50" s="50">
        <v>40</v>
      </c>
      <c r="B50" s="50" t="s">
        <v>129</v>
      </c>
      <c r="C50" s="50" t="s">
        <v>130</v>
      </c>
      <c r="D50" s="24" t="s">
        <v>251</v>
      </c>
      <c r="E50" s="24" t="s">
        <v>252</v>
      </c>
      <c r="F50" s="24" t="s">
        <v>251</v>
      </c>
      <c r="G50" s="24" t="s">
        <v>253</v>
      </c>
      <c r="H50" s="24" t="s">
        <v>254</v>
      </c>
      <c r="I50" s="24"/>
      <c r="J50" s="24"/>
      <c r="K50" s="24"/>
      <c r="L50" s="24"/>
      <c r="M50" s="24"/>
      <c r="N50" s="24"/>
      <c r="O50" s="24"/>
      <c r="P50" s="24"/>
      <c r="Q50" s="24"/>
      <c r="R50" s="24"/>
      <c r="S50" s="24"/>
      <c r="T50" s="24"/>
      <c r="U50" s="24"/>
      <c r="V50" s="24"/>
      <c r="W50" s="24"/>
      <c r="X50" s="24"/>
      <c r="Y50" s="24"/>
      <c r="Z50" s="24"/>
    </row>
    <row r="51" ht="32" customHeight="1" spans="1:26">
      <c r="A51" s="50">
        <v>41</v>
      </c>
      <c r="B51" s="50" t="s">
        <v>129</v>
      </c>
      <c r="C51" s="50" t="s">
        <v>130</v>
      </c>
      <c r="D51" s="24" t="s">
        <v>255</v>
      </c>
      <c r="E51" s="24" t="s">
        <v>256</v>
      </c>
      <c r="F51" s="24" t="s">
        <v>255</v>
      </c>
      <c r="G51" s="24" t="s">
        <v>257</v>
      </c>
      <c r="H51" s="24" t="s">
        <v>258</v>
      </c>
      <c r="I51" s="24"/>
      <c r="J51" s="24"/>
      <c r="K51" s="24"/>
      <c r="L51" s="24"/>
      <c r="M51" s="24"/>
      <c r="N51" s="24"/>
      <c r="O51" s="24"/>
      <c r="P51" s="24"/>
      <c r="Q51" s="24"/>
      <c r="R51" s="24"/>
      <c r="S51" s="24"/>
      <c r="T51" s="24"/>
      <c r="U51" s="24"/>
      <c r="V51" s="24"/>
      <c r="W51" s="24"/>
      <c r="X51" s="24"/>
      <c r="Y51" s="24"/>
      <c r="Z51" s="24"/>
    </row>
    <row r="52" ht="32" customHeight="1" spans="1:26">
      <c r="A52" s="50">
        <v>42</v>
      </c>
      <c r="B52" s="50" t="s">
        <v>129</v>
      </c>
      <c r="C52" s="50" t="s">
        <v>130</v>
      </c>
      <c r="D52" s="24" t="s">
        <v>259</v>
      </c>
      <c r="E52" s="24" t="s">
        <v>260</v>
      </c>
      <c r="F52" s="24" t="s">
        <v>259</v>
      </c>
      <c r="G52" s="24" t="s">
        <v>261</v>
      </c>
      <c r="H52" s="24" t="s">
        <v>262</v>
      </c>
      <c r="I52" s="24"/>
      <c r="J52" s="24"/>
      <c r="K52" s="24"/>
      <c r="L52" s="24"/>
      <c r="M52" s="24"/>
      <c r="N52" s="24"/>
      <c r="O52" s="24"/>
      <c r="P52" s="24"/>
      <c r="Q52" s="24"/>
      <c r="R52" s="24"/>
      <c r="S52" s="24"/>
      <c r="T52" s="24"/>
      <c r="U52" s="24"/>
      <c r="V52" s="24"/>
      <c r="W52" s="24"/>
      <c r="X52" s="24"/>
      <c r="Y52" s="24"/>
      <c r="Z52" s="24"/>
    </row>
    <row r="53" ht="32" customHeight="1" spans="1:26">
      <c r="A53" s="50">
        <v>43</v>
      </c>
      <c r="B53" s="50" t="s">
        <v>129</v>
      </c>
      <c r="C53" s="50" t="s">
        <v>130</v>
      </c>
      <c r="D53" s="24" t="s">
        <v>263</v>
      </c>
      <c r="E53" s="24" t="s">
        <v>264</v>
      </c>
      <c r="F53" s="24" t="s">
        <v>263</v>
      </c>
      <c r="G53" s="24" t="s">
        <v>265</v>
      </c>
      <c r="H53" s="24" t="s">
        <v>266</v>
      </c>
      <c r="I53" s="24"/>
      <c r="J53" s="24"/>
      <c r="K53" s="24"/>
      <c r="L53" s="24"/>
      <c r="M53" s="24"/>
      <c r="N53" s="24"/>
      <c r="O53" s="24"/>
      <c r="P53" s="24"/>
      <c r="Q53" s="24"/>
      <c r="R53" s="24"/>
      <c r="S53" s="24"/>
      <c r="T53" s="24"/>
      <c r="U53" s="24"/>
      <c r="V53" s="24"/>
      <c r="W53" s="24"/>
      <c r="X53" s="24"/>
      <c r="Y53" s="24"/>
      <c r="Z53" s="24"/>
    </row>
    <row r="54" ht="32" customHeight="1" spans="1:26">
      <c r="A54" s="50">
        <v>44</v>
      </c>
      <c r="B54" s="50" t="s">
        <v>129</v>
      </c>
      <c r="C54" s="50" t="s">
        <v>130</v>
      </c>
      <c r="D54" s="24" t="s">
        <v>267</v>
      </c>
      <c r="E54" s="24" t="s">
        <v>268</v>
      </c>
      <c r="F54" s="24" t="s">
        <v>267</v>
      </c>
      <c r="G54" s="24" t="s">
        <v>269</v>
      </c>
      <c r="H54" s="24" t="s">
        <v>270</v>
      </c>
      <c r="I54" s="24"/>
      <c r="J54" s="24"/>
      <c r="K54" s="24"/>
      <c r="L54" s="24"/>
      <c r="M54" s="24"/>
      <c r="N54" s="24"/>
      <c r="O54" s="24"/>
      <c r="P54" s="24"/>
      <c r="Q54" s="24"/>
      <c r="R54" s="24"/>
      <c r="S54" s="24"/>
      <c r="T54" s="24"/>
      <c r="U54" s="24"/>
      <c r="V54" s="24"/>
      <c r="W54" s="24"/>
      <c r="X54" s="24"/>
      <c r="Y54" s="24"/>
      <c r="Z54" s="24"/>
    </row>
    <row r="55" ht="32" customHeight="1" spans="1:26">
      <c r="A55" s="50">
        <v>45</v>
      </c>
      <c r="B55" s="50" t="s">
        <v>129</v>
      </c>
      <c r="C55" s="50" t="s">
        <v>130</v>
      </c>
      <c r="D55" s="24" t="s">
        <v>271</v>
      </c>
      <c r="E55" s="24" t="s">
        <v>272</v>
      </c>
      <c r="F55" s="24" t="s">
        <v>271</v>
      </c>
      <c r="G55" s="24" t="s">
        <v>273</v>
      </c>
      <c r="H55" s="24" t="s">
        <v>274</v>
      </c>
      <c r="I55" s="24"/>
      <c r="J55" s="24"/>
      <c r="K55" s="24"/>
      <c r="L55" s="24"/>
      <c r="M55" s="24"/>
      <c r="N55" s="24"/>
      <c r="O55" s="24"/>
      <c r="P55" s="24"/>
      <c r="Q55" s="24"/>
      <c r="R55" s="24"/>
      <c r="S55" s="24"/>
      <c r="T55" s="24"/>
      <c r="U55" s="24"/>
      <c r="V55" s="24"/>
      <c r="W55" s="24"/>
      <c r="X55" s="24"/>
      <c r="Y55" s="24"/>
      <c r="Z55" s="24"/>
    </row>
    <row r="56" ht="32" customHeight="1" spans="1:26">
      <c r="A56" s="50">
        <v>46</v>
      </c>
      <c r="B56" s="50" t="s">
        <v>129</v>
      </c>
      <c r="C56" s="50" t="s">
        <v>130</v>
      </c>
      <c r="D56" s="24" t="s">
        <v>275</v>
      </c>
      <c r="E56" s="24" t="s">
        <v>276</v>
      </c>
      <c r="F56" s="24" t="s">
        <v>277</v>
      </c>
      <c r="G56" s="24" t="s">
        <v>278</v>
      </c>
      <c r="H56" s="24" t="s">
        <v>279</v>
      </c>
      <c r="I56" s="24"/>
      <c r="J56" s="24"/>
      <c r="K56" s="24"/>
      <c r="L56" s="24"/>
      <c r="M56" s="24"/>
      <c r="N56" s="24"/>
      <c r="O56" s="24"/>
      <c r="P56" s="24"/>
      <c r="Q56" s="24"/>
      <c r="R56" s="24"/>
      <c r="S56" s="24"/>
      <c r="T56" s="24"/>
      <c r="U56" s="24"/>
      <c r="V56" s="24"/>
      <c r="W56" s="24"/>
      <c r="X56" s="24"/>
      <c r="Y56" s="24"/>
      <c r="Z56" s="24"/>
    </row>
    <row r="57" ht="32" customHeight="1" spans="1:26">
      <c r="A57" s="50">
        <v>47</v>
      </c>
      <c r="B57" s="50" t="s">
        <v>129</v>
      </c>
      <c r="C57" s="50" t="s">
        <v>130</v>
      </c>
      <c r="D57" s="24" t="s">
        <v>280</v>
      </c>
      <c r="E57" s="24" t="s">
        <v>281</v>
      </c>
      <c r="F57" s="24" t="s">
        <v>280</v>
      </c>
      <c r="G57" s="24" t="s">
        <v>282</v>
      </c>
      <c r="H57" s="24" t="s">
        <v>283</v>
      </c>
      <c r="I57" s="24"/>
      <c r="J57" s="24"/>
      <c r="K57" s="24"/>
      <c r="L57" s="24"/>
      <c r="M57" s="24"/>
      <c r="N57" s="24"/>
      <c r="O57" s="24"/>
      <c r="P57" s="24"/>
      <c r="Q57" s="24"/>
      <c r="R57" s="24"/>
      <c r="S57" s="24"/>
      <c r="T57" s="24"/>
      <c r="U57" s="24"/>
      <c r="V57" s="24"/>
      <c r="W57" s="24"/>
      <c r="X57" s="24"/>
      <c r="Y57" s="24"/>
      <c r="Z57" s="24"/>
    </row>
    <row r="58" ht="32" customHeight="1" spans="1:26">
      <c r="A58" s="50">
        <v>48</v>
      </c>
      <c r="B58" s="50" t="s">
        <v>129</v>
      </c>
      <c r="C58" s="50" t="s">
        <v>130</v>
      </c>
      <c r="D58" s="24" t="s">
        <v>284</v>
      </c>
      <c r="E58" s="24" t="s">
        <v>285</v>
      </c>
      <c r="F58" s="24" t="s">
        <v>284</v>
      </c>
      <c r="G58" s="24" t="s">
        <v>286</v>
      </c>
      <c r="H58" s="24" t="s">
        <v>287</v>
      </c>
      <c r="I58" s="24"/>
      <c r="J58" s="24"/>
      <c r="K58" s="24"/>
      <c r="L58" s="24"/>
      <c r="M58" s="24"/>
      <c r="N58" s="24"/>
      <c r="O58" s="24"/>
      <c r="P58" s="24"/>
      <c r="Q58" s="24"/>
      <c r="R58" s="24"/>
      <c r="S58" s="24"/>
      <c r="T58" s="24"/>
      <c r="U58" s="24"/>
      <c r="V58" s="24"/>
      <c r="W58" s="24"/>
      <c r="X58" s="24"/>
      <c r="Y58" s="24"/>
      <c r="Z58" s="24"/>
    </row>
    <row r="59" ht="32" customHeight="1" spans="1:26">
      <c r="A59" s="50">
        <v>49</v>
      </c>
      <c r="B59" s="50" t="s">
        <v>129</v>
      </c>
      <c r="C59" s="50" t="s">
        <v>130</v>
      </c>
      <c r="D59" s="24" t="s">
        <v>288</v>
      </c>
      <c r="E59" s="24" t="s">
        <v>289</v>
      </c>
      <c r="F59" s="24" t="s">
        <v>290</v>
      </c>
      <c r="G59" s="24" t="s">
        <v>291</v>
      </c>
      <c r="H59" s="24" t="s">
        <v>292</v>
      </c>
      <c r="I59" s="24"/>
      <c r="J59" s="24"/>
      <c r="K59" s="24"/>
      <c r="L59" s="24"/>
      <c r="M59" s="24"/>
      <c r="N59" s="24"/>
      <c r="O59" s="24"/>
      <c r="P59" s="24"/>
      <c r="Q59" s="24"/>
      <c r="R59" s="24"/>
      <c r="S59" s="24"/>
      <c r="T59" s="24"/>
      <c r="U59" s="24"/>
      <c r="V59" s="24"/>
      <c r="W59" s="24"/>
      <c r="X59" s="24"/>
      <c r="Y59" s="24"/>
      <c r="Z59" s="24"/>
    </row>
    <row r="60" ht="32" customHeight="1" spans="1:26">
      <c r="A60" s="50">
        <v>50</v>
      </c>
      <c r="B60" s="50" t="s">
        <v>190</v>
      </c>
      <c r="C60" s="50" t="s">
        <v>191</v>
      </c>
      <c r="D60" s="24" t="s">
        <v>293</v>
      </c>
      <c r="E60" s="24" t="s">
        <v>294</v>
      </c>
      <c r="F60" s="24" t="s">
        <v>293</v>
      </c>
      <c r="G60" s="24" t="s">
        <v>295</v>
      </c>
      <c r="H60" s="24" t="s">
        <v>296</v>
      </c>
      <c r="I60" s="24"/>
      <c r="J60" s="24"/>
      <c r="K60" s="24"/>
      <c r="L60" s="24"/>
      <c r="M60" s="24"/>
      <c r="N60" s="24"/>
      <c r="O60" s="24"/>
      <c r="P60" s="24"/>
      <c r="Q60" s="24"/>
      <c r="R60" s="24"/>
      <c r="S60" s="24"/>
      <c r="T60" s="24"/>
      <c r="U60" s="24"/>
      <c r="V60" s="24"/>
      <c r="W60" s="24"/>
      <c r="X60" s="24"/>
      <c r="Y60" s="24"/>
      <c r="Z60" s="24"/>
    </row>
    <row r="61" ht="45" customHeight="1" spans="1:26">
      <c r="A61" s="50">
        <v>51</v>
      </c>
      <c r="B61" s="50" t="s">
        <v>190</v>
      </c>
      <c r="C61" s="50" t="s">
        <v>191</v>
      </c>
      <c r="D61" s="24" t="s">
        <v>297</v>
      </c>
      <c r="E61" s="24" t="s">
        <v>298</v>
      </c>
      <c r="F61" s="24" t="s">
        <v>297</v>
      </c>
      <c r="G61" s="24" t="s">
        <v>299</v>
      </c>
      <c r="H61" s="24" t="s">
        <v>300</v>
      </c>
      <c r="I61" s="24"/>
      <c r="J61" s="24"/>
      <c r="K61" s="24"/>
      <c r="L61" s="24"/>
      <c r="M61" s="24"/>
      <c r="N61" s="24"/>
      <c r="O61" s="24"/>
      <c r="P61" s="24"/>
      <c r="Q61" s="24"/>
      <c r="R61" s="24"/>
      <c r="S61" s="24"/>
      <c r="T61" s="24"/>
      <c r="U61" s="24"/>
      <c r="V61" s="24"/>
      <c r="W61" s="24"/>
      <c r="X61" s="24"/>
      <c r="Y61" s="24"/>
      <c r="Z61" s="24"/>
    </row>
    <row r="62" ht="32" customHeight="1" spans="1:26">
      <c r="A62" s="50">
        <v>52</v>
      </c>
      <c r="B62" s="50" t="s">
        <v>190</v>
      </c>
      <c r="C62" s="50" t="s">
        <v>191</v>
      </c>
      <c r="D62" s="24" t="s">
        <v>301</v>
      </c>
      <c r="E62" s="24" t="s">
        <v>302</v>
      </c>
      <c r="F62" s="24" t="s">
        <v>303</v>
      </c>
      <c r="G62" s="24" t="s">
        <v>304</v>
      </c>
      <c r="H62" s="24" t="s">
        <v>305</v>
      </c>
      <c r="I62" s="24"/>
      <c r="J62" s="24"/>
      <c r="K62" s="24"/>
      <c r="L62" s="24"/>
      <c r="M62" s="24"/>
      <c r="N62" s="24"/>
      <c r="O62" s="24"/>
      <c r="P62" s="24"/>
      <c r="Q62" s="24"/>
      <c r="R62" s="24"/>
      <c r="S62" s="24"/>
      <c r="T62" s="24"/>
      <c r="U62" s="24"/>
      <c r="V62" s="24"/>
      <c r="W62" s="24"/>
      <c r="X62" s="24"/>
      <c r="Y62" s="24"/>
      <c r="Z62" s="24"/>
    </row>
    <row r="63" ht="32" customHeight="1" spans="1:26">
      <c r="A63" s="50">
        <v>53</v>
      </c>
      <c r="B63" s="50" t="s">
        <v>190</v>
      </c>
      <c r="C63" s="50" t="s">
        <v>191</v>
      </c>
      <c r="D63" s="24" t="s">
        <v>306</v>
      </c>
      <c r="E63" s="24" t="s">
        <v>307</v>
      </c>
      <c r="F63" s="24" t="s">
        <v>306</v>
      </c>
      <c r="G63" s="24" t="s">
        <v>308</v>
      </c>
      <c r="H63" s="24" t="s">
        <v>309</v>
      </c>
      <c r="I63" s="24"/>
      <c r="J63" s="24"/>
      <c r="K63" s="24"/>
      <c r="L63" s="24"/>
      <c r="M63" s="24"/>
      <c r="N63" s="24"/>
      <c r="O63" s="24"/>
      <c r="P63" s="24"/>
      <c r="Q63" s="24"/>
      <c r="R63" s="24"/>
      <c r="S63" s="24"/>
      <c r="T63" s="24"/>
      <c r="U63" s="24"/>
      <c r="V63" s="24"/>
      <c r="W63" s="24"/>
      <c r="X63" s="24"/>
      <c r="Y63" s="24"/>
      <c r="Z63" s="24"/>
    </row>
    <row r="64" ht="32" customHeight="1" spans="1:26">
      <c r="A64" s="50">
        <v>54</v>
      </c>
      <c r="B64" s="50" t="s">
        <v>190</v>
      </c>
      <c r="C64" s="50" t="s">
        <v>191</v>
      </c>
      <c r="D64" s="24" t="s">
        <v>310</v>
      </c>
      <c r="E64" s="24" t="s">
        <v>311</v>
      </c>
      <c r="F64" s="24" t="s">
        <v>312</v>
      </c>
      <c r="G64" s="24" t="s">
        <v>313</v>
      </c>
      <c r="H64" s="24" t="s">
        <v>314</v>
      </c>
      <c r="I64" s="24"/>
      <c r="J64" s="24"/>
      <c r="K64" s="24"/>
      <c r="L64" s="24"/>
      <c r="M64" s="24"/>
      <c r="N64" s="24"/>
      <c r="O64" s="24"/>
      <c r="P64" s="24"/>
      <c r="Q64" s="24"/>
      <c r="R64" s="24"/>
      <c r="S64" s="24"/>
      <c r="T64" s="24"/>
      <c r="U64" s="24"/>
      <c r="V64" s="24"/>
      <c r="W64" s="24"/>
      <c r="X64" s="24"/>
      <c r="Y64" s="24"/>
      <c r="Z64" s="24"/>
    </row>
    <row r="65" ht="32" customHeight="1" spans="1:26">
      <c r="A65" s="50">
        <v>55</v>
      </c>
      <c r="B65" s="50" t="s">
        <v>190</v>
      </c>
      <c r="C65" s="50" t="s">
        <v>191</v>
      </c>
      <c r="D65" s="24" t="s">
        <v>315</v>
      </c>
      <c r="E65" s="24" t="s">
        <v>316</v>
      </c>
      <c r="F65" s="24" t="s">
        <v>315</v>
      </c>
      <c r="G65" s="24" t="s">
        <v>317</v>
      </c>
      <c r="H65" s="24" t="s">
        <v>318</v>
      </c>
      <c r="I65" s="24"/>
      <c r="J65" s="24"/>
      <c r="K65" s="24"/>
      <c r="L65" s="24"/>
      <c r="M65" s="24"/>
      <c r="N65" s="24"/>
      <c r="O65" s="24"/>
      <c r="P65" s="24"/>
      <c r="Q65" s="24"/>
      <c r="R65" s="24"/>
      <c r="S65" s="24"/>
      <c r="T65" s="24"/>
      <c r="U65" s="24"/>
      <c r="V65" s="24"/>
      <c r="W65" s="24"/>
      <c r="X65" s="24"/>
      <c r="Y65" s="24"/>
      <c r="Z65" s="24"/>
    </row>
    <row r="66" ht="32" customHeight="1" spans="1:26">
      <c r="A66" s="50">
        <v>56</v>
      </c>
      <c r="B66" s="50" t="s">
        <v>319</v>
      </c>
      <c r="C66" s="50" t="s">
        <v>320</v>
      </c>
      <c r="D66" s="24" t="s">
        <v>321</v>
      </c>
      <c r="E66" s="24" t="s">
        <v>322</v>
      </c>
      <c r="F66" s="24" t="s">
        <v>323</v>
      </c>
      <c r="G66" s="24" t="s">
        <v>324</v>
      </c>
      <c r="H66" s="24" t="s">
        <v>325</v>
      </c>
      <c r="I66" s="24"/>
      <c r="J66" s="24"/>
      <c r="K66" s="24"/>
      <c r="L66" s="24"/>
      <c r="M66" s="24"/>
      <c r="N66" s="24"/>
      <c r="O66" s="24"/>
      <c r="P66" s="24"/>
      <c r="Q66" s="24"/>
      <c r="R66" s="24"/>
      <c r="S66" s="24"/>
      <c r="T66" s="24"/>
      <c r="U66" s="24"/>
      <c r="V66" s="24"/>
      <c r="W66" s="24"/>
      <c r="X66" s="24"/>
      <c r="Y66" s="24"/>
      <c r="Z66" s="24"/>
    </row>
    <row r="67" ht="32" customHeight="1" spans="1:26">
      <c r="A67" s="50">
        <v>57</v>
      </c>
      <c r="B67" s="50" t="s">
        <v>319</v>
      </c>
      <c r="C67" s="50" t="s">
        <v>320</v>
      </c>
      <c r="D67" s="24" t="s">
        <v>326</v>
      </c>
      <c r="E67" s="24" t="s">
        <v>327</v>
      </c>
      <c r="F67" s="24" t="s">
        <v>328</v>
      </c>
      <c r="G67" s="24" t="s">
        <v>329</v>
      </c>
      <c r="H67" s="24" t="s">
        <v>330</v>
      </c>
      <c r="I67" s="24"/>
      <c r="J67" s="24"/>
      <c r="K67" s="24"/>
      <c r="L67" s="24"/>
      <c r="M67" s="24"/>
      <c r="N67" s="24"/>
      <c r="O67" s="24"/>
      <c r="P67" s="24"/>
      <c r="Q67" s="24"/>
      <c r="R67" s="24"/>
      <c r="S67" s="24"/>
      <c r="T67" s="24"/>
      <c r="U67" s="24"/>
      <c r="V67" s="24"/>
      <c r="W67" s="24"/>
      <c r="X67" s="24"/>
      <c r="Y67" s="24"/>
      <c r="Z67" s="24"/>
    </row>
    <row r="68" ht="32" customHeight="1" spans="1:26">
      <c r="A68" s="50">
        <v>58</v>
      </c>
      <c r="B68" s="50" t="s">
        <v>319</v>
      </c>
      <c r="C68" s="50" t="s">
        <v>320</v>
      </c>
      <c r="D68" s="24" t="s">
        <v>331</v>
      </c>
      <c r="E68" s="24" t="s">
        <v>332</v>
      </c>
      <c r="F68" s="24" t="s">
        <v>331</v>
      </c>
      <c r="G68" s="24" t="s">
        <v>333</v>
      </c>
      <c r="H68" s="24" t="s">
        <v>334</v>
      </c>
      <c r="I68" s="24"/>
      <c r="J68" s="24"/>
      <c r="K68" s="24"/>
      <c r="L68" s="24"/>
      <c r="M68" s="24"/>
      <c r="N68" s="24"/>
      <c r="O68" s="24"/>
      <c r="P68" s="24"/>
      <c r="Q68" s="24"/>
      <c r="R68" s="24"/>
      <c r="S68" s="24"/>
      <c r="T68" s="24"/>
      <c r="U68" s="24"/>
      <c r="V68" s="24"/>
      <c r="W68" s="24"/>
      <c r="X68" s="24"/>
      <c r="Y68" s="24"/>
      <c r="Z68" s="24"/>
    </row>
    <row r="69" ht="32" customHeight="1" spans="1:26">
      <c r="A69" s="50">
        <v>59</v>
      </c>
      <c r="B69" s="50" t="s">
        <v>319</v>
      </c>
      <c r="C69" s="50" t="s">
        <v>320</v>
      </c>
      <c r="D69" s="24" t="s">
        <v>335</v>
      </c>
      <c r="E69" s="24" t="s">
        <v>336</v>
      </c>
      <c r="F69" s="24" t="s">
        <v>335</v>
      </c>
      <c r="G69" s="24" t="s">
        <v>337</v>
      </c>
      <c r="H69" s="24" t="s">
        <v>330</v>
      </c>
      <c r="I69" s="24"/>
      <c r="J69" s="24"/>
      <c r="K69" s="24"/>
      <c r="L69" s="24"/>
      <c r="M69" s="24"/>
      <c r="N69" s="24"/>
      <c r="O69" s="24"/>
      <c r="P69" s="24"/>
      <c r="Q69" s="24"/>
      <c r="R69" s="24"/>
      <c r="S69" s="24"/>
      <c r="T69" s="24"/>
      <c r="U69" s="24"/>
      <c r="V69" s="24"/>
      <c r="W69" s="24"/>
      <c r="X69" s="24"/>
      <c r="Y69" s="24"/>
      <c r="Z69" s="24"/>
    </row>
    <row r="70" ht="58" customHeight="1" spans="1:26">
      <c r="A70" s="50">
        <v>60</v>
      </c>
      <c r="B70" s="50" t="s">
        <v>319</v>
      </c>
      <c r="C70" s="50" t="s">
        <v>320</v>
      </c>
      <c r="D70" s="24" t="s">
        <v>338</v>
      </c>
      <c r="E70" s="24" t="s">
        <v>339</v>
      </c>
      <c r="F70" s="24" t="s">
        <v>338</v>
      </c>
      <c r="G70" s="24" t="s">
        <v>340</v>
      </c>
      <c r="H70" s="24" t="s">
        <v>341</v>
      </c>
      <c r="I70" s="24"/>
      <c r="J70" s="24"/>
      <c r="K70" s="24"/>
      <c r="L70" s="24"/>
      <c r="M70" s="24"/>
      <c r="N70" s="24"/>
      <c r="O70" s="24"/>
      <c r="P70" s="24"/>
      <c r="Q70" s="24"/>
      <c r="R70" s="24"/>
      <c r="S70" s="24"/>
      <c r="T70" s="24"/>
      <c r="U70" s="24"/>
      <c r="V70" s="24"/>
      <c r="W70" s="24"/>
      <c r="X70" s="24"/>
      <c r="Y70" s="24"/>
      <c r="Z70" s="24"/>
    </row>
    <row r="71" ht="32" customHeight="1" spans="1:26">
      <c r="A71" s="50">
        <v>61</v>
      </c>
      <c r="B71" s="50" t="s">
        <v>319</v>
      </c>
      <c r="C71" s="50" t="s">
        <v>320</v>
      </c>
      <c r="D71" s="24" t="s">
        <v>342</v>
      </c>
      <c r="E71" s="24" t="s">
        <v>343</v>
      </c>
      <c r="F71" s="24" t="s">
        <v>342</v>
      </c>
      <c r="G71" s="24" t="s">
        <v>344</v>
      </c>
      <c r="H71" s="24" t="s">
        <v>345</v>
      </c>
      <c r="I71" s="24"/>
      <c r="J71" s="24"/>
      <c r="K71" s="24"/>
      <c r="L71" s="24"/>
      <c r="M71" s="24"/>
      <c r="N71" s="24"/>
      <c r="O71" s="24"/>
      <c r="P71" s="24"/>
      <c r="Q71" s="24"/>
      <c r="R71" s="24"/>
      <c r="S71" s="24"/>
      <c r="T71" s="24"/>
      <c r="U71" s="24"/>
      <c r="V71" s="24"/>
      <c r="W71" s="24"/>
      <c r="X71" s="24"/>
      <c r="Y71" s="24"/>
      <c r="Z71" s="24"/>
    </row>
    <row r="72" ht="32" customHeight="1" spans="1:26">
      <c r="A72" s="50">
        <v>62</v>
      </c>
      <c r="B72" s="50" t="s">
        <v>319</v>
      </c>
      <c r="C72" s="50" t="s">
        <v>320</v>
      </c>
      <c r="D72" s="24" t="s">
        <v>346</v>
      </c>
      <c r="E72" s="24" t="s">
        <v>347</v>
      </c>
      <c r="F72" s="24" t="s">
        <v>346</v>
      </c>
      <c r="G72" s="24" t="s">
        <v>348</v>
      </c>
      <c r="H72" s="24" t="s">
        <v>349</v>
      </c>
      <c r="I72" s="24"/>
      <c r="J72" s="24"/>
      <c r="K72" s="24"/>
      <c r="L72" s="24"/>
      <c r="M72" s="24"/>
      <c r="N72" s="24"/>
      <c r="O72" s="24"/>
      <c r="P72" s="24"/>
      <c r="Q72" s="24"/>
      <c r="R72" s="24"/>
      <c r="S72" s="24"/>
      <c r="T72" s="24"/>
      <c r="U72" s="24"/>
      <c r="V72" s="24"/>
      <c r="W72" s="24"/>
      <c r="X72" s="24"/>
      <c r="Y72" s="24"/>
      <c r="Z72" s="24"/>
    </row>
    <row r="73" ht="32" customHeight="1" spans="1:26">
      <c r="A73" s="50">
        <v>63</v>
      </c>
      <c r="B73" s="50" t="s">
        <v>319</v>
      </c>
      <c r="C73" s="50" t="s">
        <v>320</v>
      </c>
      <c r="D73" s="24" t="s">
        <v>350</v>
      </c>
      <c r="E73" s="24" t="s">
        <v>351</v>
      </c>
      <c r="F73" s="24" t="s">
        <v>350</v>
      </c>
      <c r="G73" s="24" t="s">
        <v>352</v>
      </c>
      <c r="H73" s="24" t="s">
        <v>353</v>
      </c>
      <c r="I73" s="24"/>
      <c r="J73" s="24"/>
      <c r="K73" s="24"/>
      <c r="L73" s="24"/>
      <c r="M73" s="24"/>
      <c r="N73" s="24"/>
      <c r="O73" s="24"/>
      <c r="P73" s="24"/>
      <c r="Q73" s="24"/>
      <c r="R73" s="24"/>
      <c r="S73" s="24"/>
      <c r="T73" s="24"/>
      <c r="U73" s="24"/>
      <c r="V73" s="24"/>
      <c r="W73" s="24"/>
      <c r="X73" s="24"/>
      <c r="Y73" s="24"/>
      <c r="Z73" s="24"/>
    </row>
    <row r="74" ht="32" customHeight="1" spans="1:26">
      <c r="A74" s="50">
        <v>64</v>
      </c>
      <c r="B74" s="50" t="s">
        <v>319</v>
      </c>
      <c r="C74" s="50" t="s">
        <v>320</v>
      </c>
      <c r="D74" s="24" t="s">
        <v>354</v>
      </c>
      <c r="E74" s="24" t="s">
        <v>355</v>
      </c>
      <c r="F74" s="24" t="s">
        <v>354</v>
      </c>
      <c r="G74" s="24" t="s">
        <v>356</v>
      </c>
      <c r="H74" s="24" t="s">
        <v>357</v>
      </c>
      <c r="I74" s="24"/>
      <c r="J74" s="24"/>
      <c r="K74" s="24"/>
      <c r="L74" s="24"/>
      <c r="M74" s="24"/>
      <c r="N74" s="24"/>
      <c r="O74" s="24"/>
      <c r="P74" s="24"/>
      <c r="Q74" s="24"/>
      <c r="R74" s="24"/>
      <c r="S74" s="24"/>
      <c r="T74" s="24"/>
      <c r="U74" s="24"/>
      <c r="V74" s="24"/>
      <c r="W74" s="24"/>
      <c r="X74" s="24"/>
      <c r="Y74" s="24"/>
      <c r="Z74" s="24"/>
    </row>
    <row r="75" ht="32" customHeight="1" spans="1:26">
      <c r="A75" s="50">
        <v>65</v>
      </c>
      <c r="B75" s="50" t="s">
        <v>319</v>
      </c>
      <c r="C75" s="50" t="s">
        <v>320</v>
      </c>
      <c r="D75" s="24" t="s">
        <v>358</v>
      </c>
      <c r="E75" s="24" t="s">
        <v>359</v>
      </c>
      <c r="F75" s="24" t="s">
        <v>358</v>
      </c>
      <c r="G75" s="24" t="s">
        <v>360</v>
      </c>
      <c r="H75" s="24" t="s">
        <v>361</v>
      </c>
      <c r="I75" s="24"/>
      <c r="J75" s="24"/>
      <c r="K75" s="24"/>
      <c r="L75" s="24"/>
      <c r="M75" s="24"/>
      <c r="N75" s="24"/>
      <c r="O75" s="24"/>
      <c r="P75" s="24"/>
      <c r="Q75" s="24"/>
      <c r="R75" s="24"/>
      <c r="S75" s="24"/>
      <c r="T75" s="24"/>
      <c r="U75" s="24"/>
      <c r="V75" s="24"/>
      <c r="W75" s="24"/>
      <c r="X75" s="24"/>
      <c r="Y75" s="24"/>
      <c r="Z75" s="24"/>
    </row>
    <row r="76" ht="32" customHeight="1" spans="1:26">
      <c r="A76" s="50">
        <v>66</v>
      </c>
      <c r="B76" s="50" t="s">
        <v>319</v>
      </c>
      <c r="C76" s="50" t="s">
        <v>320</v>
      </c>
      <c r="D76" s="24" t="s">
        <v>362</v>
      </c>
      <c r="E76" s="24" t="s">
        <v>363</v>
      </c>
      <c r="F76" s="24" t="s">
        <v>362</v>
      </c>
      <c r="G76" s="24" t="s">
        <v>364</v>
      </c>
      <c r="H76" s="24" t="s">
        <v>365</v>
      </c>
      <c r="I76" s="24"/>
      <c r="J76" s="24"/>
      <c r="K76" s="24"/>
      <c r="L76" s="24"/>
      <c r="M76" s="24"/>
      <c r="N76" s="24"/>
      <c r="O76" s="24"/>
      <c r="P76" s="24"/>
      <c r="Q76" s="24"/>
      <c r="R76" s="24"/>
      <c r="S76" s="24"/>
      <c r="T76" s="24"/>
      <c r="U76" s="24"/>
      <c r="V76" s="24"/>
      <c r="W76" s="24"/>
      <c r="X76" s="24"/>
      <c r="Y76" s="24"/>
      <c r="Z76" s="24"/>
    </row>
    <row r="77" ht="32" customHeight="1" spans="1:26">
      <c r="A77" s="50">
        <v>67</v>
      </c>
      <c r="B77" s="50" t="s">
        <v>319</v>
      </c>
      <c r="C77" s="50" t="s">
        <v>320</v>
      </c>
      <c r="D77" s="24" t="s">
        <v>366</v>
      </c>
      <c r="E77" s="24" t="s">
        <v>367</v>
      </c>
      <c r="F77" s="24" t="s">
        <v>366</v>
      </c>
      <c r="G77" s="24" t="s">
        <v>368</v>
      </c>
      <c r="H77" s="24" t="s">
        <v>369</v>
      </c>
      <c r="I77" s="24"/>
      <c r="J77" s="24"/>
      <c r="K77" s="24"/>
      <c r="L77" s="24"/>
      <c r="M77" s="24"/>
      <c r="N77" s="24"/>
      <c r="O77" s="24"/>
      <c r="P77" s="24"/>
      <c r="Q77" s="24"/>
      <c r="R77" s="24"/>
      <c r="S77" s="24"/>
      <c r="T77" s="24"/>
      <c r="U77" s="24"/>
      <c r="V77" s="24"/>
      <c r="W77" s="24"/>
      <c r="X77" s="24"/>
      <c r="Y77" s="24"/>
      <c r="Z77" s="24"/>
    </row>
    <row r="78" ht="32" customHeight="1" spans="1:26">
      <c r="A78" s="50">
        <v>68</v>
      </c>
      <c r="B78" s="50" t="s">
        <v>319</v>
      </c>
      <c r="C78" s="50" t="s">
        <v>320</v>
      </c>
      <c r="D78" s="24" t="s">
        <v>370</v>
      </c>
      <c r="E78" s="24" t="s">
        <v>371</v>
      </c>
      <c r="F78" s="24" t="s">
        <v>370</v>
      </c>
      <c r="G78" s="24" t="s">
        <v>372</v>
      </c>
      <c r="H78" s="24" t="s">
        <v>373</v>
      </c>
      <c r="I78" s="24"/>
      <c r="J78" s="24"/>
      <c r="K78" s="24"/>
      <c r="L78" s="24"/>
      <c r="M78" s="24"/>
      <c r="N78" s="24"/>
      <c r="O78" s="24"/>
      <c r="P78" s="24"/>
      <c r="Q78" s="24"/>
      <c r="R78" s="24"/>
      <c r="S78" s="24"/>
      <c r="T78" s="24"/>
      <c r="U78" s="24"/>
      <c r="V78" s="24"/>
      <c r="W78" s="24"/>
      <c r="X78" s="24"/>
      <c r="Y78" s="24"/>
      <c r="Z78" s="24"/>
    </row>
    <row r="79" ht="32" customHeight="1" spans="1:26">
      <c r="A79" s="50">
        <v>69</v>
      </c>
      <c r="B79" s="50" t="s">
        <v>319</v>
      </c>
      <c r="C79" s="50" t="s">
        <v>320</v>
      </c>
      <c r="D79" s="24" t="s">
        <v>374</v>
      </c>
      <c r="E79" s="24" t="s">
        <v>375</v>
      </c>
      <c r="F79" s="24" t="s">
        <v>374</v>
      </c>
      <c r="G79" s="24" t="s">
        <v>376</v>
      </c>
      <c r="H79" s="24" t="s">
        <v>377</v>
      </c>
      <c r="I79" s="24"/>
      <c r="J79" s="24"/>
      <c r="K79" s="24"/>
      <c r="L79" s="24"/>
      <c r="M79" s="24"/>
      <c r="N79" s="24"/>
      <c r="O79" s="24"/>
      <c r="P79" s="24"/>
      <c r="Q79" s="24"/>
      <c r="R79" s="24"/>
      <c r="S79" s="24"/>
      <c r="T79" s="24"/>
      <c r="U79" s="24"/>
      <c r="V79" s="24"/>
      <c r="W79" s="24"/>
      <c r="X79" s="24"/>
      <c r="Y79" s="24"/>
      <c r="Z79" s="24"/>
    </row>
    <row r="80" ht="19" customHeight="1" spans="1:26">
      <c r="A80" s="50">
        <v>70</v>
      </c>
      <c r="B80" s="50" t="s">
        <v>319</v>
      </c>
      <c r="C80" s="50" t="s">
        <v>320</v>
      </c>
      <c r="D80" s="24" t="s">
        <v>378</v>
      </c>
      <c r="E80" s="24" t="s">
        <v>379</v>
      </c>
      <c r="F80" s="24" t="s">
        <v>378</v>
      </c>
      <c r="G80" s="24" t="s">
        <v>380</v>
      </c>
      <c r="H80" s="24" t="s">
        <v>381</v>
      </c>
      <c r="I80" s="24"/>
      <c r="J80" s="24"/>
      <c r="K80" s="24"/>
      <c r="L80" s="24"/>
      <c r="M80" s="24"/>
      <c r="N80" s="24"/>
      <c r="O80" s="24"/>
      <c r="P80" s="24"/>
      <c r="Q80" s="24"/>
      <c r="R80" s="24"/>
      <c r="S80" s="24"/>
      <c r="T80" s="24"/>
      <c r="U80" s="24"/>
      <c r="V80" s="24"/>
      <c r="W80" s="24"/>
      <c r="X80" s="24"/>
      <c r="Y80" s="24"/>
      <c r="Z80" s="24"/>
    </row>
    <row r="81" ht="32" customHeight="1" spans="1:26">
      <c r="A81" s="50">
        <v>71</v>
      </c>
      <c r="B81" s="50" t="s">
        <v>319</v>
      </c>
      <c r="C81" s="50" t="s">
        <v>320</v>
      </c>
      <c r="D81" s="24" t="s">
        <v>382</v>
      </c>
      <c r="E81" s="24" t="s">
        <v>383</v>
      </c>
      <c r="F81" s="24" t="s">
        <v>382</v>
      </c>
      <c r="G81" s="24" t="s">
        <v>384</v>
      </c>
      <c r="H81" s="24" t="s">
        <v>385</v>
      </c>
      <c r="I81" s="24"/>
      <c r="J81" s="24"/>
      <c r="K81" s="24"/>
      <c r="L81" s="24"/>
      <c r="M81" s="24"/>
      <c r="N81" s="24"/>
      <c r="O81" s="24"/>
      <c r="P81" s="24"/>
      <c r="Q81" s="24"/>
      <c r="R81" s="24"/>
      <c r="S81" s="24"/>
      <c r="T81" s="24"/>
      <c r="U81" s="24"/>
      <c r="V81" s="24"/>
      <c r="W81" s="24"/>
      <c r="X81" s="24"/>
      <c r="Y81" s="24"/>
      <c r="Z81" s="24"/>
    </row>
    <row r="82" ht="19" customHeight="1" spans="1:26">
      <c r="A82" s="50">
        <v>72</v>
      </c>
      <c r="B82" s="50" t="s">
        <v>386</v>
      </c>
      <c r="C82" s="50" t="s">
        <v>387</v>
      </c>
      <c r="D82" s="24" t="s">
        <v>388</v>
      </c>
      <c r="E82" s="24" t="s">
        <v>389</v>
      </c>
      <c r="F82" s="24" t="s">
        <v>388</v>
      </c>
      <c r="G82" s="24" t="s">
        <v>390</v>
      </c>
      <c r="H82" s="24" t="s">
        <v>391</v>
      </c>
      <c r="I82" s="24"/>
      <c r="J82" s="24"/>
      <c r="K82" s="24"/>
      <c r="L82" s="24"/>
      <c r="M82" s="24"/>
      <c r="N82" s="24"/>
      <c r="O82" s="24"/>
      <c r="P82" s="24"/>
      <c r="Q82" s="24"/>
      <c r="R82" s="24"/>
      <c r="S82" s="24"/>
      <c r="T82" s="24"/>
      <c r="U82" s="24"/>
      <c r="V82" s="24"/>
      <c r="W82" s="24"/>
      <c r="X82" s="24"/>
      <c r="Y82" s="24"/>
      <c r="Z82" s="24"/>
    </row>
    <row r="83" ht="32" customHeight="1" spans="1:26">
      <c r="A83" s="50">
        <v>73</v>
      </c>
      <c r="B83" s="50" t="s">
        <v>386</v>
      </c>
      <c r="C83" s="50" t="s">
        <v>387</v>
      </c>
      <c r="D83" s="24" t="s">
        <v>392</v>
      </c>
      <c r="E83" s="24" t="s">
        <v>393</v>
      </c>
      <c r="F83" s="24" t="s">
        <v>392</v>
      </c>
      <c r="G83" s="24" t="s">
        <v>394</v>
      </c>
      <c r="H83" s="24" t="s">
        <v>391</v>
      </c>
      <c r="I83" s="24"/>
      <c r="J83" s="24"/>
      <c r="K83" s="24"/>
      <c r="L83" s="24"/>
      <c r="M83" s="24"/>
      <c r="N83" s="24"/>
      <c r="O83" s="24"/>
      <c r="P83" s="24"/>
      <c r="Q83" s="24"/>
      <c r="R83" s="24"/>
      <c r="S83" s="24"/>
      <c r="T83" s="24"/>
      <c r="U83" s="24"/>
      <c r="V83" s="24"/>
      <c r="W83" s="24"/>
      <c r="X83" s="24"/>
      <c r="Y83" s="24"/>
      <c r="Z83" s="24"/>
    </row>
    <row r="84" ht="19" customHeight="1" spans="1:26">
      <c r="A84" s="50">
        <v>74</v>
      </c>
      <c r="B84" s="50" t="s">
        <v>386</v>
      </c>
      <c r="C84" s="50" t="s">
        <v>387</v>
      </c>
      <c r="D84" s="24" t="s">
        <v>395</v>
      </c>
      <c r="E84" s="24" t="s">
        <v>396</v>
      </c>
      <c r="F84" s="24" t="s">
        <v>395</v>
      </c>
      <c r="G84" s="24" t="s">
        <v>397</v>
      </c>
      <c r="H84" s="24" t="s">
        <v>391</v>
      </c>
      <c r="I84" s="24"/>
      <c r="J84" s="24"/>
      <c r="K84" s="24"/>
      <c r="L84" s="24"/>
      <c r="M84" s="24"/>
      <c r="N84" s="24"/>
      <c r="O84" s="24"/>
      <c r="P84" s="24"/>
      <c r="Q84" s="24"/>
      <c r="R84" s="24"/>
      <c r="S84" s="24"/>
      <c r="T84" s="24"/>
      <c r="U84" s="24"/>
      <c r="V84" s="24"/>
      <c r="W84" s="24"/>
      <c r="X84" s="24"/>
      <c r="Y84" s="24"/>
      <c r="Z84" s="24"/>
    </row>
    <row r="85" ht="32" customHeight="1" spans="1:26">
      <c r="A85" s="50">
        <v>75</v>
      </c>
      <c r="B85" s="50" t="s">
        <v>386</v>
      </c>
      <c r="C85" s="50" t="s">
        <v>387</v>
      </c>
      <c r="D85" s="24" t="s">
        <v>398</v>
      </c>
      <c r="E85" s="24" t="s">
        <v>399</v>
      </c>
      <c r="F85" s="24" t="s">
        <v>398</v>
      </c>
      <c r="G85" s="24" t="s">
        <v>400</v>
      </c>
      <c r="H85" s="24" t="s">
        <v>401</v>
      </c>
      <c r="I85" s="24"/>
      <c r="J85" s="24"/>
      <c r="K85" s="24"/>
      <c r="L85" s="24"/>
      <c r="M85" s="24"/>
      <c r="N85" s="24"/>
      <c r="O85" s="24"/>
      <c r="P85" s="24"/>
      <c r="Q85" s="24"/>
      <c r="R85" s="24"/>
      <c r="S85" s="24"/>
      <c r="T85" s="24"/>
      <c r="U85" s="24"/>
      <c r="V85" s="24"/>
      <c r="W85" s="24"/>
      <c r="X85" s="24"/>
      <c r="Y85" s="24"/>
      <c r="Z85" s="24"/>
    </row>
    <row r="86" ht="32" customHeight="1" spans="1:26">
      <c r="A86" s="50">
        <v>76</v>
      </c>
      <c r="B86" s="50" t="s">
        <v>386</v>
      </c>
      <c r="C86" s="50" t="s">
        <v>387</v>
      </c>
      <c r="D86" s="24" t="s">
        <v>402</v>
      </c>
      <c r="E86" s="24" t="s">
        <v>403</v>
      </c>
      <c r="F86" s="24" t="s">
        <v>402</v>
      </c>
      <c r="G86" s="24" t="s">
        <v>404</v>
      </c>
      <c r="H86" s="24" t="s">
        <v>405</v>
      </c>
      <c r="I86" s="24"/>
      <c r="J86" s="24"/>
      <c r="K86" s="24"/>
      <c r="L86" s="24"/>
      <c r="M86" s="24"/>
      <c r="N86" s="24"/>
      <c r="O86" s="24"/>
      <c r="P86" s="24"/>
      <c r="Q86" s="24"/>
      <c r="R86" s="24"/>
      <c r="S86" s="24"/>
      <c r="T86" s="24"/>
      <c r="U86" s="24"/>
      <c r="V86" s="24"/>
      <c r="W86" s="24"/>
      <c r="X86" s="24"/>
      <c r="Y86" s="24"/>
      <c r="Z86" s="24"/>
    </row>
    <row r="87" ht="32" customHeight="1" spans="1:26">
      <c r="A87" s="50">
        <v>77</v>
      </c>
      <c r="B87" s="50" t="s">
        <v>406</v>
      </c>
      <c r="C87" s="50" t="s">
        <v>407</v>
      </c>
      <c r="D87" s="24" t="s">
        <v>408</v>
      </c>
      <c r="E87" s="24" t="s">
        <v>409</v>
      </c>
      <c r="F87" s="24" t="s">
        <v>408</v>
      </c>
      <c r="G87" s="24" t="s">
        <v>410</v>
      </c>
      <c r="H87" s="24" t="s">
        <v>411</v>
      </c>
      <c r="I87" s="24"/>
      <c r="J87" s="24"/>
      <c r="K87" s="24"/>
      <c r="L87" s="24"/>
      <c r="M87" s="24"/>
      <c r="N87" s="24"/>
      <c r="O87" s="24"/>
      <c r="P87" s="24"/>
      <c r="Q87" s="24"/>
      <c r="R87" s="24"/>
      <c r="S87" s="24"/>
      <c r="T87" s="24"/>
      <c r="U87" s="24"/>
      <c r="V87" s="24"/>
      <c r="W87" s="24"/>
      <c r="X87" s="24"/>
      <c r="Y87" s="24"/>
      <c r="Z87" s="24"/>
    </row>
    <row r="88" ht="19" customHeight="1" spans="1:26">
      <c r="A88" s="50">
        <v>78</v>
      </c>
      <c r="B88" s="50" t="s">
        <v>412</v>
      </c>
      <c r="C88" s="50" t="s">
        <v>413</v>
      </c>
      <c r="D88" s="24" t="s">
        <v>414</v>
      </c>
      <c r="E88" s="24" t="s">
        <v>415</v>
      </c>
      <c r="F88" s="24" t="s">
        <v>414</v>
      </c>
      <c r="G88" s="24" t="s">
        <v>416</v>
      </c>
      <c r="H88" s="24" t="s">
        <v>417</v>
      </c>
      <c r="I88" s="24"/>
      <c r="J88" s="24"/>
      <c r="K88" s="24"/>
      <c r="L88" s="24"/>
      <c r="M88" s="24"/>
      <c r="N88" s="24"/>
      <c r="O88" s="24"/>
      <c r="P88" s="24"/>
      <c r="Q88" s="24"/>
      <c r="R88" s="24"/>
      <c r="S88" s="24"/>
      <c r="T88" s="24"/>
      <c r="U88" s="24"/>
      <c r="V88" s="24"/>
      <c r="W88" s="24"/>
      <c r="X88" s="24"/>
      <c r="Y88" s="24"/>
      <c r="Z88" s="24"/>
    </row>
    <row r="89" ht="45" customHeight="1" spans="1:26">
      <c r="A89" s="50">
        <v>79</v>
      </c>
      <c r="B89" s="50" t="s">
        <v>418</v>
      </c>
      <c r="C89" s="50" t="s">
        <v>419</v>
      </c>
      <c r="D89" s="24" t="s">
        <v>420</v>
      </c>
      <c r="E89" s="24" t="s">
        <v>421</v>
      </c>
      <c r="F89" s="24" t="s">
        <v>420</v>
      </c>
      <c r="G89" s="24" t="s">
        <v>422</v>
      </c>
      <c r="H89" s="24" t="s">
        <v>423</v>
      </c>
      <c r="I89" s="24"/>
      <c r="J89" s="24"/>
      <c r="K89" s="24"/>
      <c r="L89" s="24"/>
      <c r="M89" s="24"/>
      <c r="N89" s="24"/>
      <c r="O89" s="24"/>
      <c r="P89" s="24"/>
      <c r="Q89" s="24"/>
      <c r="R89" s="24"/>
      <c r="S89" s="24"/>
      <c r="T89" s="24"/>
      <c r="U89" s="24"/>
      <c r="V89" s="24"/>
      <c r="W89" s="24"/>
      <c r="X89" s="24"/>
      <c r="Y89" s="24"/>
      <c r="Z89" s="24"/>
    </row>
    <row r="90" ht="32" customHeight="1" spans="1:26">
      <c r="A90" s="50">
        <v>80</v>
      </c>
      <c r="B90" s="50" t="s">
        <v>424</v>
      </c>
      <c r="C90" s="50" t="s">
        <v>425</v>
      </c>
      <c r="D90" s="24" t="s">
        <v>426</v>
      </c>
      <c r="E90" s="24" t="s">
        <v>427</v>
      </c>
      <c r="F90" s="24" t="s">
        <v>426</v>
      </c>
      <c r="G90" s="24" t="s">
        <v>428</v>
      </c>
      <c r="H90" s="24" t="s">
        <v>429</v>
      </c>
      <c r="I90" s="24"/>
      <c r="J90" s="24"/>
      <c r="K90" s="24"/>
      <c r="L90" s="24"/>
      <c r="M90" s="24"/>
      <c r="N90" s="24"/>
      <c r="O90" s="24"/>
      <c r="P90" s="24"/>
      <c r="Q90" s="24"/>
      <c r="R90" s="24"/>
      <c r="S90" s="24"/>
      <c r="T90" s="24"/>
      <c r="U90" s="24"/>
      <c r="V90" s="24"/>
      <c r="W90" s="24"/>
      <c r="X90" s="24"/>
      <c r="Y90" s="24"/>
      <c r="Z90" s="24"/>
    </row>
    <row r="91" ht="32" customHeight="1" spans="1:26">
      <c r="A91" s="50">
        <v>81</v>
      </c>
      <c r="B91" s="50" t="s">
        <v>424</v>
      </c>
      <c r="C91" s="50" t="s">
        <v>425</v>
      </c>
      <c r="D91" s="24" t="s">
        <v>430</v>
      </c>
      <c r="E91" s="24" t="s">
        <v>431</v>
      </c>
      <c r="F91" s="24" t="s">
        <v>430</v>
      </c>
      <c r="G91" s="24" t="s">
        <v>432</v>
      </c>
      <c r="H91" s="24" t="s">
        <v>433</v>
      </c>
      <c r="I91" s="24"/>
      <c r="J91" s="24"/>
      <c r="K91" s="24"/>
      <c r="L91" s="24"/>
      <c r="M91" s="24"/>
      <c r="N91" s="24"/>
      <c r="O91" s="24"/>
      <c r="P91" s="24"/>
      <c r="Q91" s="24"/>
      <c r="R91" s="24"/>
      <c r="S91" s="24"/>
      <c r="T91" s="24"/>
      <c r="U91" s="24"/>
      <c r="V91" s="24"/>
      <c r="W91" s="24"/>
      <c r="X91" s="24"/>
      <c r="Y91" s="24"/>
      <c r="Z91" s="24"/>
    </row>
    <row r="92" ht="32" customHeight="1" spans="1:26">
      <c r="A92" s="50">
        <v>82</v>
      </c>
      <c r="B92" s="50" t="s">
        <v>424</v>
      </c>
      <c r="C92" s="50" t="s">
        <v>425</v>
      </c>
      <c r="D92" s="24" t="s">
        <v>434</v>
      </c>
      <c r="E92" s="24" t="s">
        <v>435</v>
      </c>
      <c r="F92" s="24" t="s">
        <v>434</v>
      </c>
      <c r="G92" s="24" t="s">
        <v>436</v>
      </c>
      <c r="H92" s="24" t="s">
        <v>437</v>
      </c>
      <c r="I92" s="24"/>
      <c r="J92" s="24"/>
      <c r="K92" s="24"/>
      <c r="L92" s="24"/>
      <c r="M92" s="24"/>
      <c r="N92" s="24"/>
      <c r="O92" s="24"/>
      <c r="P92" s="24"/>
      <c r="Q92" s="24"/>
      <c r="R92" s="24"/>
      <c r="S92" s="24"/>
      <c r="T92" s="24"/>
      <c r="U92" s="24"/>
      <c r="V92" s="24"/>
      <c r="W92" s="24"/>
      <c r="X92" s="24"/>
      <c r="Y92" s="24"/>
      <c r="Z92" s="24"/>
    </row>
    <row r="93" ht="32" customHeight="1" spans="1:26">
      <c r="A93" s="50">
        <v>83</v>
      </c>
      <c r="B93" s="50" t="s">
        <v>424</v>
      </c>
      <c r="C93" s="50" t="s">
        <v>425</v>
      </c>
      <c r="D93" s="24" t="s">
        <v>438</v>
      </c>
      <c r="E93" s="24" t="s">
        <v>439</v>
      </c>
      <c r="F93" s="24" t="s">
        <v>438</v>
      </c>
      <c r="G93" s="24" t="s">
        <v>440</v>
      </c>
      <c r="H93" s="24" t="s">
        <v>441</v>
      </c>
      <c r="I93" s="24"/>
      <c r="J93" s="24"/>
      <c r="K93" s="24"/>
      <c r="L93" s="24"/>
      <c r="M93" s="24"/>
      <c r="N93" s="24"/>
      <c r="O93" s="24"/>
      <c r="P93" s="24"/>
      <c r="Q93" s="24"/>
      <c r="R93" s="24"/>
      <c r="S93" s="24"/>
      <c r="T93" s="24"/>
      <c r="U93" s="24"/>
      <c r="V93" s="24"/>
      <c r="W93" s="24"/>
      <c r="X93" s="24"/>
      <c r="Y93" s="24"/>
      <c r="Z93" s="24"/>
    </row>
    <row r="94" ht="32" customHeight="1" spans="1:26">
      <c r="A94" s="50">
        <v>84</v>
      </c>
      <c r="B94" s="50" t="s">
        <v>424</v>
      </c>
      <c r="C94" s="50" t="s">
        <v>425</v>
      </c>
      <c r="D94" s="24" t="s">
        <v>442</v>
      </c>
      <c r="E94" s="24" t="s">
        <v>443</v>
      </c>
      <c r="F94" s="24" t="s">
        <v>442</v>
      </c>
      <c r="G94" s="24" t="s">
        <v>444</v>
      </c>
      <c r="H94" s="24" t="s">
        <v>445</v>
      </c>
      <c r="I94" s="24"/>
      <c r="J94" s="24"/>
      <c r="K94" s="24"/>
      <c r="L94" s="24"/>
      <c r="M94" s="24"/>
      <c r="N94" s="24"/>
      <c r="O94" s="24"/>
      <c r="P94" s="24"/>
      <c r="Q94" s="24"/>
      <c r="R94" s="24"/>
      <c r="S94" s="24"/>
      <c r="T94" s="24"/>
      <c r="U94" s="24"/>
      <c r="V94" s="24"/>
      <c r="W94" s="24"/>
      <c r="X94" s="24"/>
      <c r="Y94" s="24"/>
      <c r="Z94" s="24"/>
    </row>
    <row r="95" ht="32" customHeight="1" spans="1:26">
      <c r="A95" s="50">
        <v>85</v>
      </c>
      <c r="B95" s="50" t="s">
        <v>424</v>
      </c>
      <c r="C95" s="50" t="s">
        <v>425</v>
      </c>
      <c r="D95" s="24" t="s">
        <v>446</v>
      </c>
      <c r="E95" s="24" t="s">
        <v>447</v>
      </c>
      <c r="F95" s="24" t="s">
        <v>446</v>
      </c>
      <c r="G95" s="24" t="s">
        <v>448</v>
      </c>
      <c r="H95" s="24" t="s">
        <v>449</v>
      </c>
      <c r="I95" s="24"/>
      <c r="J95" s="24"/>
      <c r="K95" s="24"/>
      <c r="L95" s="24"/>
      <c r="M95" s="24"/>
      <c r="N95" s="24"/>
      <c r="O95" s="24"/>
      <c r="P95" s="24"/>
      <c r="Q95" s="24"/>
      <c r="R95" s="24"/>
      <c r="S95" s="24"/>
      <c r="T95" s="24"/>
      <c r="U95" s="24"/>
      <c r="V95" s="24"/>
      <c r="W95" s="24"/>
      <c r="X95" s="24"/>
      <c r="Y95" s="24"/>
      <c r="Z95" s="24"/>
    </row>
    <row r="96" ht="32" customHeight="1" spans="1:26">
      <c r="A96" s="50">
        <v>86</v>
      </c>
      <c r="B96" s="50" t="s">
        <v>424</v>
      </c>
      <c r="C96" s="50" t="s">
        <v>425</v>
      </c>
      <c r="D96" s="24" t="s">
        <v>450</v>
      </c>
      <c r="E96" s="24" t="s">
        <v>451</v>
      </c>
      <c r="F96" s="24" t="s">
        <v>450</v>
      </c>
      <c r="G96" s="24" t="s">
        <v>452</v>
      </c>
      <c r="H96" s="24" t="s">
        <v>453</v>
      </c>
      <c r="I96" s="24"/>
      <c r="J96" s="24"/>
      <c r="K96" s="24"/>
      <c r="L96" s="24"/>
      <c r="M96" s="24"/>
      <c r="N96" s="24"/>
      <c r="O96" s="24"/>
      <c r="P96" s="24"/>
      <c r="Q96" s="24"/>
      <c r="R96" s="24"/>
      <c r="S96" s="24"/>
      <c r="T96" s="24"/>
      <c r="U96" s="24"/>
      <c r="V96" s="24"/>
      <c r="W96" s="24"/>
      <c r="X96" s="24"/>
      <c r="Y96" s="24"/>
      <c r="Z96" s="24"/>
    </row>
    <row r="97" ht="32" customHeight="1" spans="1:26">
      <c r="A97" s="50">
        <v>87</v>
      </c>
      <c r="B97" s="50" t="s">
        <v>424</v>
      </c>
      <c r="C97" s="50" t="s">
        <v>425</v>
      </c>
      <c r="D97" s="24" t="s">
        <v>454</v>
      </c>
      <c r="E97" s="24" t="s">
        <v>455</v>
      </c>
      <c r="F97" s="24" t="s">
        <v>454</v>
      </c>
      <c r="G97" s="24" t="s">
        <v>456</v>
      </c>
      <c r="H97" s="24" t="s">
        <v>457</v>
      </c>
      <c r="I97" s="24"/>
      <c r="J97" s="24"/>
      <c r="K97" s="24"/>
      <c r="L97" s="24"/>
      <c r="M97" s="24"/>
      <c r="N97" s="24"/>
      <c r="O97" s="24"/>
      <c r="P97" s="24"/>
      <c r="Q97" s="24"/>
      <c r="R97" s="24"/>
      <c r="S97" s="24"/>
      <c r="T97" s="24"/>
      <c r="U97" s="24"/>
      <c r="V97" s="24"/>
      <c r="W97" s="24"/>
      <c r="X97" s="24"/>
      <c r="Y97" s="24"/>
      <c r="Z97" s="24"/>
    </row>
    <row r="98" ht="45" customHeight="1" spans="1:26">
      <c r="A98" s="50">
        <v>88</v>
      </c>
      <c r="B98" s="50" t="s">
        <v>424</v>
      </c>
      <c r="C98" s="50" t="s">
        <v>425</v>
      </c>
      <c r="D98" s="24" t="s">
        <v>458</v>
      </c>
      <c r="E98" s="24" t="s">
        <v>459</v>
      </c>
      <c r="F98" s="24" t="s">
        <v>458</v>
      </c>
      <c r="G98" s="24" t="s">
        <v>460</v>
      </c>
      <c r="H98" s="24" t="s">
        <v>461</v>
      </c>
      <c r="I98" s="24"/>
      <c r="J98" s="24"/>
      <c r="K98" s="24"/>
      <c r="L98" s="24"/>
      <c r="M98" s="24"/>
      <c r="N98" s="24"/>
      <c r="O98" s="24"/>
      <c r="P98" s="24"/>
      <c r="Q98" s="24"/>
      <c r="R98" s="24"/>
      <c r="S98" s="24"/>
      <c r="T98" s="24"/>
      <c r="U98" s="24"/>
      <c r="V98" s="24"/>
      <c r="W98" s="24"/>
      <c r="X98" s="24"/>
      <c r="Y98" s="24"/>
      <c r="Z98" s="24"/>
    </row>
    <row r="99" ht="45" customHeight="1" spans="1:26">
      <c r="A99" s="50">
        <v>89</v>
      </c>
      <c r="B99" s="50" t="s">
        <v>424</v>
      </c>
      <c r="C99" s="50" t="s">
        <v>425</v>
      </c>
      <c r="D99" s="24" t="s">
        <v>462</v>
      </c>
      <c r="E99" s="24" t="s">
        <v>463</v>
      </c>
      <c r="F99" s="24" t="s">
        <v>462</v>
      </c>
      <c r="G99" s="24" t="s">
        <v>464</v>
      </c>
      <c r="H99" s="24" t="s">
        <v>465</v>
      </c>
      <c r="I99" s="24"/>
      <c r="J99" s="24"/>
      <c r="K99" s="24"/>
      <c r="L99" s="24"/>
      <c r="M99" s="24"/>
      <c r="N99" s="24"/>
      <c r="O99" s="24"/>
      <c r="P99" s="24"/>
      <c r="Q99" s="24"/>
      <c r="R99" s="24"/>
      <c r="S99" s="24"/>
      <c r="T99" s="24"/>
      <c r="U99" s="24"/>
      <c r="V99" s="24"/>
      <c r="W99" s="24"/>
      <c r="X99" s="24"/>
      <c r="Y99" s="24"/>
      <c r="Z99" s="24"/>
    </row>
    <row r="100" ht="45" customHeight="1" spans="1:26">
      <c r="A100" s="50">
        <v>90</v>
      </c>
      <c r="B100" s="50" t="s">
        <v>424</v>
      </c>
      <c r="C100" s="50" t="s">
        <v>425</v>
      </c>
      <c r="D100" s="24" t="s">
        <v>466</v>
      </c>
      <c r="E100" s="24" t="s">
        <v>467</v>
      </c>
      <c r="F100" s="24" t="s">
        <v>466</v>
      </c>
      <c r="G100" s="24" t="s">
        <v>468</v>
      </c>
      <c r="H100" s="24" t="s">
        <v>469</v>
      </c>
      <c r="I100" s="24"/>
      <c r="J100" s="24"/>
      <c r="K100" s="24"/>
      <c r="L100" s="24"/>
      <c r="M100" s="24"/>
      <c r="N100" s="24"/>
      <c r="O100" s="24"/>
      <c r="P100" s="24"/>
      <c r="Q100" s="24"/>
      <c r="R100" s="24"/>
      <c r="S100" s="24"/>
      <c r="T100" s="24"/>
      <c r="U100" s="24"/>
      <c r="V100" s="24"/>
      <c r="W100" s="24"/>
      <c r="X100" s="24"/>
      <c r="Y100" s="24"/>
      <c r="Z100" s="24"/>
    </row>
    <row r="101" ht="45" customHeight="1" spans="1:26">
      <c r="A101" s="50">
        <v>91</v>
      </c>
      <c r="B101" s="50" t="s">
        <v>470</v>
      </c>
      <c r="C101" s="50" t="s">
        <v>471</v>
      </c>
      <c r="D101" s="24" t="s">
        <v>472</v>
      </c>
      <c r="E101" s="24" t="s">
        <v>473</v>
      </c>
      <c r="F101" s="24" t="s">
        <v>474</v>
      </c>
      <c r="G101" s="24" t="s">
        <v>475</v>
      </c>
      <c r="H101" s="24" t="s">
        <v>476</v>
      </c>
      <c r="I101" s="24"/>
      <c r="J101" s="24"/>
      <c r="K101" s="24"/>
      <c r="L101" s="24"/>
      <c r="M101" s="24"/>
      <c r="N101" s="24"/>
      <c r="O101" s="24"/>
      <c r="P101" s="24"/>
      <c r="Q101" s="24"/>
      <c r="R101" s="24"/>
      <c r="S101" s="24"/>
      <c r="T101" s="24"/>
      <c r="U101" s="24"/>
      <c r="V101" s="24"/>
      <c r="W101" s="24"/>
      <c r="X101" s="24"/>
      <c r="Y101" s="24"/>
      <c r="Z101" s="24"/>
    </row>
    <row r="102" ht="32" customHeight="1" spans="1:26">
      <c r="A102" s="50">
        <v>92</v>
      </c>
      <c r="B102" s="50" t="s">
        <v>470</v>
      </c>
      <c r="C102" s="50" t="s">
        <v>471</v>
      </c>
      <c r="D102" s="24" t="s">
        <v>477</v>
      </c>
      <c r="E102" s="24" t="s">
        <v>478</v>
      </c>
      <c r="F102" s="24" t="s">
        <v>477</v>
      </c>
      <c r="G102" s="24" t="s">
        <v>479</v>
      </c>
      <c r="H102" s="24" t="s">
        <v>480</v>
      </c>
      <c r="I102" s="24"/>
      <c r="J102" s="24"/>
      <c r="K102" s="24"/>
      <c r="L102" s="24"/>
      <c r="M102" s="24"/>
      <c r="N102" s="24"/>
      <c r="O102" s="24"/>
      <c r="P102" s="24"/>
      <c r="Q102" s="24"/>
      <c r="R102" s="24"/>
      <c r="S102" s="24"/>
      <c r="T102" s="24"/>
      <c r="U102" s="24"/>
      <c r="V102" s="24"/>
      <c r="W102" s="24"/>
      <c r="X102" s="24"/>
      <c r="Y102" s="24"/>
      <c r="Z102" s="24"/>
    </row>
    <row r="103" ht="32" customHeight="1" spans="1:26">
      <c r="A103" s="50">
        <v>93</v>
      </c>
      <c r="B103" s="50" t="s">
        <v>470</v>
      </c>
      <c r="C103" s="50" t="s">
        <v>471</v>
      </c>
      <c r="D103" s="24" t="s">
        <v>481</v>
      </c>
      <c r="E103" s="24" t="s">
        <v>482</v>
      </c>
      <c r="F103" s="24" t="s">
        <v>481</v>
      </c>
      <c r="G103" s="24" t="s">
        <v>483</v>
      </c>
      <c r="H103" s="24" t="s">
        <v>484</v>
      </c>
      <c r="I103" s="24"/>
      <c r="J103" s="24"/>
      <c r="K103" s="24"/>
      <c r="L103" s="24"/>
      <c r="M103" s="24"/>
      <c r="N103" s="24"/>
      <c r="O103" s="24"/>
      <c r="P103" s="24"/>
      <c r="Q103" s="24"/>
      <c r="R103" s="24"/>
      <c r="S103" s="24"/>
      <c r="T103" s="24"/>
      <c r="U103" s="24"/>
      <c r="V103" s="24"/>
      <c r="W103" s="24"/>
      <c r="X103" s="24"/>
      <c r="Y103" s="24"/>
      <c r="Z103" s="24"/>
    </row>
    <row r="104" ht="45" customHeight="1" spans="1:26">
      <c r="A104" s="50">
        <v>94</v>
      </c>
      <c r="B104" s="50" t="s">
        <v>470</v>
      </c>
      <c r="C104" s="50" t="s">
        <v>471</v>
      </c>
      <c r="D104" s="24" t="s">
        <v>485</v>
      </c>
      <c r="E104" s="24" t="s">
        <v>486</v>
      </c>
      <c r="F104" s="24" t="s">
        <v>485</v>
      </c>
      <c r="G104" s="24" t="s">
        <v>487</v>
      </c>
      <c r="H104" s="24" t="s">
        <v>488</v>
      </c>
      <c r="I104" s="24"/>
      <c r="J104" s="24"/>
      <c r="K104" s="24"/>
      <c r="L104" s="24"/>
      <c r="M104" s="24"/>
      <c r="N104" s="24"/>
      <c r="O104" s="24"/>
      <c r="P104" s="24"/>
      <c r="Q104" s="24"/>
      <c r="R104" s="24"/>
      <c r="S104" s="24"/>
      <c r="T104" s="24"/>
      <c r="U104" s="24"/>
      <c r="V104" s="24"/>
      <c r="W104" s="24"/>
      <c r="X104" s="24"/>
      <c r="Y104" s="24"/>
      <c r="Z104" s="24"/>
    </row>
    <row r="105" ht="45" customHeight="1" spans="1:26">
      <c r="A105" s="50">
        <v>95</v>
      </c>
      <c r="B105" s="50" t="s">
        <v>470</v>
      </c>
      <c r="C105" s="50" t="s">
        <v>471</v>
      </c>
      <c r="D105" s="24" t="s">
        <v>489</v>
      </c>
      <c r="E105" s="24" t="s">
        <v>490</v>
      </c>
      <c r="F105" s="24" t="s">
        <v>489</v>
      </c>
      <c r="G105" s="24" t="s">
        <v>491</v>
      </c>
      <c r="H105" s="24" t="s">
        <v>492</v>
      </c>
      <c r="I105" s="24"/>
      <c r="J105" s="24"/>
      <c r="K105" s="24"/>
      <c r="L105" s="24"/>
      <c r="M105" s="24"/>
      <c r="N105" s="24"/>
      <c r="O105" s="24"/>
      <c r="P105" s="24"/>
      <c r="Q105" s="24"/>
      <c r="R105" s="24"/>
      <c r="S105" s="24"/>
      <c r="T105" s="24"/>
      <c r="U105" s="24"/>
      <c r="V105" s="24"/>
      <c r="W105" s="24"/>
      <c r="X105" s="24"/>
      <c r="Y105" s="24"/>
      <c r="Z105" s="24"/>
    </row>
    <row r="106" ht="58" customHeight="1" spans="1:26">
      <c r="A106" s="50">
        <v>96</v>
      </c>
      <c r="B106" s="50" t="s">
        <v>470</v>
      </c>
      <c r="C106" s="50" t="s">
        <v>471</v>
      </c>
      <c r="D106" s="24" t="s">
        <v>493</v>
      </c>
      <c r="E106" s="24" t="s">
        <v>494</v>
      </c>
      <c r="F106" s="24" t="s">
        <v>493</v>
      </c>
      <c r="G106" s="24" t="s">
        <v>495</v>
      </c>
      <c r="H106" s="24" t="s">
        <v>496</v>
      </c>
      <c r="I106" s="24"/>
      <c r="J106" s="24"/>
      <c r="K106" s="24"/>
      <c r="L106" s="24"/>
      <c r="M106" s="24"/>
      <c r="N106" s="24"/>
      <c r="O106" s="24"/>
      <c r="P106" s="24"/>
      <c r="Q106" s="24"/>
      <c r="R106" s="24"/>
      <c r="S106" s="24"/>
      <c r="T106" s="24"/>
      <c r="U106" s="24"/>
      <c r="V106" s="24"/>
      <c r="W106" s="24"/>
      <c r="X106" s="24"/>
      <c r="Y106" s="24"/>
      <c r="Z106" s="24"/>
    </row>
    <row r="107" ht="45" customHeight="1" spans="1:26">
      <c r="A107" s="50">
        <v>97</v>
      </c>
      <c r="B107" s="50" t="s">
        <v>470</v>
      </c>
      <c r="C107" s="50" t="s">
        <v>471</v>
      </c>
      <c r="D107" s="24" t="s">
        <v>497</v>
      </c>
      <c r="E107" s="24" t="s">
        <v>498</v>
      </c>
      <c r="F107" s="24" t="s">
        <v>499</v>
      </c>
      <c r="G107" s="24" t="s">
        <v>500</v>
      </c>
      <c r="H107" s="24" t="s">
        <v>501</v>
      </c>
      <c r="I107" s="24"/>
      <c r="J107" s="24"/>
      <c r="K107" s="24"/>
      <c r="L107" s="24"/>
      <c r="M107" s="24"/>
      <c r="N107" s="24"/>
      <c r="O107" s="24"/>
      <c r="P107" s="24"/>
      <c r="Q107" s="24"/>
      <c r="R107" s="24"/>
      <c r="S107" s="24"/>
      <c r="T107" s="24"/>
      <c r="U107" s="24"/>
      <c r="V107" s="24"/>
      <c r="W107" s="24"/>
      <c r="X107" s="24"/>
      <c r="Y107" s="24"/>
      <c r="Z107" s="24"/>
    </row>
    <row r="108" ht="19" customHeight="1" spans="1:26">
      <c r="A108" s="50">
        <v>98</v>
      </c>
      <c r="B108" s="50" t="s">
        <v>502</v>
      </c>
      <c r="C108" s="50" t="s">
        <v>503</v>
      </c>
      <c r="D108" s="24" t="s">
        <v>504</v>
      </c>
      <c r="E108" s="24" t="s">
        <v>505</v>
      </c>
      <c r="F108" s="24" t="s">
        <v>504</v>
      </c>
      <c r="G108" s="24" t="s">
        <v>506</v>
      </c>
      <c r="H108" s="24" t="s">
        <v>507</v>
      </c>
      <c r="I108" s="24"/>
      <c r="J108" s="24"/>
      <c r="K108" s="24"/>
      <c r="L108" s="24"/>
      <c r="M108" s="24"/>
      <c r="N108" s="24"/>
      <c r="O108" s="24"/>
      <c r="P108" s="24"/>
      <c r="Q108" s="24"/>
      <c r="R108" s="24"/>
      <c r="S108" s="24"/>
      <c r="T108" s="24"/>
      <c r="U108" s="24"/>
      <c r="V108" s="24"/>
      <c r="W108" s="24"/>
      <c r="X108" s="24"/>
      <c r="Y108" s="24"/>
      <c r="Z108" s="24"/>
    </row>
    <row r="109" ht="32" customHeight="1" spans="1:26">
      <c r="A109" s="50">
        <v>99</v>
      </c>
      <c r="B109" s="50" t="s">
        <v>502</v>
      </c>
      <c r="C109" s="50" t="s">
        <v>503</v>
      </c>
      <c r="D109" s="24" t="s">
        <v>508</v>
      </c>
      <c r="E109" s="24" t="s">
        <v>509</v>
      </c>
      <c r="F109" s="24" t="s">
        <v>508</v>
      </c>
      <c r="G109" s="24" t="s">
        <v>510</v>
      </c>
      <c r="H109" s="24" t="s">
        <v>511</v>
      </c>
      <c r="I109" s="24"/>
      <c r="J109" s="24"/>
      <c r="K109" s="24"/>
      <c r="L109" s="24"/>
      <c r="M109" s="24"/>
      <c r="N109" s="24"/>
      <c r="O109" s="24"/>
      <c r="P109" s="24"/>
      <c r="Q109" s="24"/>
      <c r="R109" s="24"/>
      <c r="S109" s="24"/>
      <c r="T109" s="24"/>
      <c r="U109" s="24"/>
      <c r="V109" s="24"/>
      <c r="W109" s="24"/>
      <c r="X109" s="24"/>
      <c r="Y109" s="24"/>
      <c r="Z109" s="24"/>
    </row>
    <row r="110" ht="45" customHeight="1" spans="1:26">
      <c r="A110" s="50">
        <v>100</v>
      </c>
      <c r="B110" s="50" t="s">
        <v>502</v>
      </c>
      <c r="C110" s="50" t="s">
        <v>503</v>
      </c>
      <c r="D110" s="24" t="s">
        <v>512</v>
      </c>
      <c r="E110" s="24" t="s">
        <v>513</v>
      </c>
      <c r="F110" s="24" t="s">
        <v>512</v>
      </c>
      <c r="G110" s="24" t="s">
        <v>514</v>
      </c>
      <c r="H110" s="24" t="s">
        <v>515</v>
      </c>
      <c r="I110" s="24"/>
      <c r="J110" s="24"/>
      <c r="K110" s="24"/>
      <c r="L110" s="24"/>
      <c r="M110" s="24"/>
      <c r="N110" s="24"/>
      <c r="O110" s="24"/>
      <c r="P110" s="24"/>
      <c r="Q110" s="24"/>
      <c r="R110" s="24"/>
      <c r="S110" s="24"/>
      <c r="T110" s="24"/>
      <c r="U110" s="24"/>
      <c r="V110" s="24"/>
      <c r="W110" s="24"/>
      <c r="X110" s="24"/>
      <c r="Y110" s="24"/>
      <c r="Z110" s="24"/>
    </row>
    <row r="111" ht="32" customHeight="1" spans="1:26">
      <c r="A111" s="50">
        <v>101</v>
      </c>
      <c r="B111" s="50" t="s">
        <v>502</v>
      </c>
      <c r="C111" s="50" t="s">
        <v>503</v>
      </c>
      <c r="D111" s="24" t="s">
        <v>516</v>
      </c>
      <c r="E111" s="24" t="s">
        <v>517</v>
      </c>
      <c r="F111" s="24" t="s">
        <v>516</v>
      </c>
      <c r="G111" s="24" t="s">
        <v>518</v>
      </c>
      <c r="H111" s="24" t="s">
        <v>519</v>
      </c>
      <c r="I111" s="24"/>
      <c r="J111" s="24"/>
      <c r="K111" s="24"/>
      <c r="L111" s="24"/>
      <c r="M111" s="24"/>
      <c r="N111" s="24"/>
      <c r="O111" s="24"/>
      <c r="P111" s="24"/>
      <c r="Q111" s="24"/>
      <c r="R111" s="24"/>
      <c r="S111" s="24"/>
      <c r="T111" s="24"/>
      <c r="U111" s="24"/>
      <c r="V111" s="24"/>
      <c r="W111" s="24"/>
      <c r="X111" s="24"/>
      <c r="Y111" s="24"/>
      <c r="Z111" s="24"/>
    </row>
    <row r="112" ht="32" customHeight="1" spans="1:26">
      <c r="A112" s="50">
        <v>102</v>
      </c>
      <c r="B112" s="50" t="s">
        <v>502</v>
      </c>
      <c r="C112" s="50" t="s">
        <v>503</v>
      </c>
      <c r="D112" s="24" t="s">
        <v>520</v>
      </c>
      <c r="E112" s="24" t="s">
        <v>521</v>
      </c>
      <c r="F112" s="24" t="s">
        <v>520</v>
      </c>
      <c r="G112" s="24" t="s">
        <v>522</v>
      </c>
      <c r="H112" s="24" t="s">
        <v>523</v>
      </c>
      <c r="I112" s="24"/>
      <c r="J112" s="24"/>
      <c r="K112" s="24"/>
      <c r="L112" s="24"/>
      <c r="M112" s="24"/>
      <c r="N112" s="24"/>
      <c r="O112" s="24"/>
      <c r="P112" s="24"/>
      <c r="Q112" s="24"/>
      <c r="R112" s="24"/>
      <c r="S112" s="24"/>
      <c r="T112" s="24"/>
      <c r="U112" s="24"/>
      <c r="V112" s="24"/>
      <c r="W112" s="24"/>
      <c r="X112" s="24"/>
      <c r="Y112" s="24"/>
      <c r="Z112" s="24"/>
    </row>
    <row r="113" ht="45" customHeight="1" spans="1:26">
      <c r="A113" s="50">
        <v>103</v>
      </c>
      <c r="B113" s="50" t="s">
        <v>502</v>
      </c>
      <c r="C113" s="50" t="s">
        <v>503</v>
      </c>
      <c r="D113" s="24" t="s">
        <v>524</v>
      </c>
      <c r="E113" s="24" t="s">
        <v>525</v>
      </c>
      <c r="F113" s="24" t="s">
        <v>524</v>
      </c>
      <c r="G113" s="24" t="s">
        <v>526</v>
      </c>
      <c r="H113" s="24" t="s">
        <v>527</v>
      </c>
      <c r="I113" s="24"/>
      <c r="J113" s="24"/>
      <c r="K113" s="24"/>
      <c r="L113" s="24"/>
      <c r="M113" s="24"/>
      <c r="N113" s="24"/>
      <c r="O113" s="24"/>
      <c r="P113" s="24"/>
      <c r="Q113" s="24"/>
      <c r="R113" s="24"/>
      <c r="S113" s="24"/>
      <c r="T113" s="24"/>
      <c r="U113" s="24"/>
      <c r="V113" s="24"/>
      <c r="W113" s="24"/>
      <c r="X113" s="24"/>
      <c r="Y113" s="24"/>
      <c r="Z113" s="24"/>
    </row>
    <row r="114" ht="45" customHeight="1" spans="1:26">
      <c r="A114" s="50">
        <v>104</v>
      </c>
      <c r="B114" s="50" t="s">
        <v>502</v>
      </c>
      <c r="C114" s="50" t="s">
        <v>503</v>
      </c>
      <c r="D114" s="24" t="s">
        <v>528</v>
      </c>
      <c r="E114" s="24" t="s">
        <v>529</v>
      </c>
      <c r="F114" s="24" t="s">
        <v>530</v>
      </c>
      <c r="G114" s="24" t="s">
        <v>531</v>
      </c>
      <c r="H114" s="24" t="s">
        <v>532</v>
      </c>
      <c r="I114" s="24"/>
      <c r="J114" s="24"/>
      <c r="K114" s="24"/>
      <c r="L114" s="24"/>
      <c r="M114" s="24"/>
      <c r="N114" s="24"/>
      <c r="O114" s="24"/>
      <c r="P114" s="24"/>
      <c r="Q114" s="24"/>
      <c r="R114" s="24"/>
      <c r="S114" s="24"/>
      <c r="T114" s="24"/>
      <c r="U114" s="24"/>
      <c r="V114" s="24"/>
      <c r="W114" s="24"/>
      <c r="X114" s="24"/>
      <c r="Y114" s="24"/>
      <c r="Z114" s="24"/>
    </row>
    <row r="115" ht="45" customHeight="1" spans="1:26">
      <c r="A115" s="50">
        <v>105</v>
      </c>
      <c r="B115" s="50" t="s">
        <v>502</v>
      </c>
      <c r="C115" s="50" t="s">
        <v>503</v>
      </c>
      <c r="D115" s="24" t="s">
        <v>533</v>
      </c>
      <c r="E115" s="24" t="s">
        <v>534</v>
      </c>
      <c r="F115" s="24" t="s">
        <v>533</v>
      </c>
      <c r="G115" s="24" t="s">
        <v>535</v>
      </c>
      <c r="H115" s="24" t="s">
        <v>536</v>
      </c>
      <c r="I115" s="24"/>
      <c r="J115" s="24"/>
      <c r="K115" s="24"/>
      <c r="L115" s="24"/>
      <c r="M115" s="24"/>
      <c r="N115" s="24"/>
      <c r="O115" s="24"/>
      <c r="P115" s="24"/>
      <c r="Q115" s="24"/>
      <c r="R115" s="24"/>
      <c r="S115" s="24"/>
      <c r="T115" s="24"/>
      <c r="U115" s="24"/>
      <c r="V115" s="24"/>
      <c r="W115" s="24"/>
      <c r="X115" s="24"/>
      <c r="Y115" s="24"/>
      <c r="Z115" s="24"/>
    </row>
    <row r="116" ht="45" customHeight="1" spans="1:26">
      <c r="A116" s="50">
        <v>106</v>
      </c>
      <c r="B116" s="50" t="s">
        <v>502</v>
      </c>
      <c r="C116" s="50" t="s">
        <v>503</v>
      </c>
      <c r="D116" s="24" t="s">
        <v>537</v>
      </c>
      <c r="E116" s="24" t="s">
        <v>538</v>
      </c>
      <c r="F116" s="24" t="s">
        <v>537</v>
      </c>
      <c r="G116" s="24" t="s">
        <v>539</v>
      </c>
      <c r="H116" s="24" t="s">
        <v>540</v>
      </c>
      <c r="I116" s="24"/>
      <c r="J116" s="24"/>
      <c r="K116" s="24"/>
      <c r="L116" s="24"/>
      <c r="M116" s="24"/>
      <c r="N116" s="24"/>
      <c r="O116" s="24"/>
      <c r="P116" s="24"/>
      <c r="Q116" s="24"/>
      <c r="R116" s="24"/>
      <c r="S116" s="24"/>
      <c r="T116" s="24"/>
      <c r="U116" s="24"/>
      <c r="V116" s="24"/>
      <c r="W116" s="24"/>
      <c r="X116" s="24"/>
      <c r="Y116" s="24"/>
      <c r="Z116" s="24"/>
    </row>
    <row r="117" ht="45" customHeight="1" spans="1:26">
      <c r="A117" s="50">
        <v>107</v>
      </c>
      <c r="B117" s="50" t="s">
        <v>502</v>
      </c>
      <c r="C117" s="50" t="s">
        <v>503</v>
      </c>
      <c r="D117" s="24" t="s">
        <v>541</v>
      </c>
      <c r="E117" s="24" t="s">
        <v>542</v>
      </c>
      <c r="F117" s="24" t="s">
        <v>543</v>
      </c>
      <c r="G117" s="24" t="s">
        <v>544</v>
      </c>
      <c r="H117" s="24" t="s">
        <v>545</v>
      </c>
      <c r="I117" s="24"/>
      <c r="J117" s="24"/>
      <c r="K117" s="24"/>
      <c r="L117" s="24"/>
      <c r="M117" s="24"/>
      <c r="N117" s="24"/>
      <c r="O117" s="24"/>
      <c r="P117" s="24"/>
      <c r="Q117" s="24"/>
      <c r="R117" s="24"/>
      <c r="S117" s="24"/>
      <c r="T117" s="24"/>
      <c r="U117" s="24"/>
      <c r="V117" s="24"/>
      <c r="W117" s="24"/>
      <c r="X117" s="24"/>
      <c r="Y117" s="24"/>
      <c r="Z117" s="24"/>
    </row>
    <row r="118" ht="45" customHeight="1" spans="1:26">
      <c r="A118" s="50">
        <v>108</v>
      </c>
      <c r="B118" s="50" t="s">
        <v>546</v>
      </c>
      <c r="C118" s="50" t="s">
        <v>547</v>
      </c>
      <c r="D118" s="24" t="s">
        <v>548</v>
      </c>
      <c r="E118" s="24" t="s">
        <v>549</v>
      </c>
      <c r="F118" s="24" t="s">
        <v>548</v>
      </c>
      <c r="G118" s="24" t="s">
        <v>550</v>
      </c>
      <c r="H118" s="24" t="s">
        <v>551</v>
      </c>
      <c r="I118" s="24"/>
      <c r="J118" s="24"/>
      <c r="K118" s="24"/>
      <c r="L118" s="24"/>
      <c r="M118" s="24"/>
      <c r="N118" s="24"/>
      <c r="O118" s="24"/>
      <c r="P118" s="24"/>
      <c r="Q118" s="24"/>
      <c r="R118" s="24"/>
      <c r="S118" s="24"/>
      <c r="T118" s="24"/>
      <c r="U118" s="24"/>
      <c r="V118" s="24"/>
      <c r="W118" s="24"/>
      <c r="X118" s="24"/>
      <c r="Y118" s="24"/>
      <c r="Z118" s="24"/>
    </row>
    <row r="119" ht="45" customHeight="1" spans="1:26">
      <c r="A119" s="50">
        <v>109</v>
      </c>
      <c r="B119" s="50" t="s">
        <v>546</v>
      </c>
      <c r="C119" s="50" t="s">
        <v>547</v>
      </c>
      <c r="D119" s="24" t="s">
        <v>552</v>
      </c>
      <c r="E119" s="24" t="s">
        <v>553</v>
      </c>
      <c r="F119" s="24" t="s">
        <v>552</v>
      </c>
      <c r="G119" s="24" t="s">
        <v>554</v>
      </c>
      <c r="H119" s="24" t="s">
        <v>555</v>
      </c>
      <c r="I119" s="24"/>
      <c r="J119" s="24"/>
      <c r="K119" s="24"/>
      <c r="L119" s="24"/>
      <c r="M119" s="24"/>
      <c r="N119" s="24"/>
      <c r="O119" s="24"/>
      <c r="P119" s="24"/>
      <c r="Q119" s="24"/>
      <c r="R119" s="24"/>
      <c r="S119" s="24"/>
      <c r="T119" s="24"/>
      <c r="U119" s="24"/>
      <c r="V119" s="24"/>
      <c r="W119" s="24"/>
      <c r="X119" s="24"/>
      <c r="Y119" s="24"/>
      <c r="Z119" s="24"/>
    </row>
    <row r="120" ht="58" customHeight="1" spans="1:26">
      <c r="A120" s="50">
        <v>110</v>
      </c>
      <c r="B120" s="50" t="s">
        <v>546</v>
      </c>
      <c r="C120" s="50" t="s">
        <v>547</v>
      </c>
      <c r="D120" s="24" t="s">
        <v>556</v>
      </c>
      <c r="E120" s="24" t="s">
        <v>557</v>
      </c>
      <c r="F120" s="24" t="s">
        <v>558</v>
      </c>
      <c r="G120" s="24" t="s">
        <v>559</v>
      </c>
      <c r="H120" s="24" t="s">
        <v>560</v>
      </c>
      <c r="I120" s="24"/>
      <c r="J120" s="24"/>
      <c r="K120" s="24"/>
      <c r="L120" s="24"/>
      <c r="M120" s="24"/>
      <c r="N120" s="24"/>
      <c r="O120" s="24"/>
      <c r="P120" s="24"/>
      <c r="Q120" s="24"/>
      <c r="R120" s="24"/>
      <c r="S120" s="24"/>
      <c r="T120" s="24"/>
      <c r="U120" s="24"/>
      <c r="V120" s="24"/>
      <c r="W120" s="24"/>
      <c r="X120" s="24"/>
      <c r="Y120" s="24"/>
      <c r="Z120" s="24"/>
    </row>
    <row r="121" ht="45" customHeight="1" spans="1:26">
      <c r="A121" s="50">
        <v>111</v>
      </c>
      <c r="B121" s="50" t="s">
        <v>546</v>
      </c>
      <c r="C121" s="50" t="s">
        <v>547</v>
      </c>
      <c r="D121" s="24" t="s">
        <v>561</v>
      </c>
      <c r="E121" s="24" t="s">
        <v>562</v>
      </c>
      <c r="F121" s="24" t="s">
        <v>561</v>
      </c>
      <c r="G121" s="24" t="s">
        <v>563</v>
      </c>
      <c r="H121" s="24" t="s">
        <v>564</v>
      </c>
      <c r="I121" s="24"/>
      <c r="J121" s="24"/>
      <c r="K121" s="24"/>
      <c r="L121" s="24"/>
      <c r="M121" s="24"/>
      <c r="N121" s="24"/>
      <c r="O121" s="24"/>
      <c r="P121" s="24"/>
      <c r="Q121" s="24"/>
      <c r="R121" s="24"/>
      <c r="S121" s="24"/>
      <c r="T121" s="24"/>
      <c r="U121" s="24"/>
      <c r="V121" s="24"/>
      <c r="W121" s="24"/>
      <c r="X121" s="24"/>
      <c r="Y121" s="24"/>
      <c r="Z121" s="24"/>
    </row>
    <row r="122" ht="58" customHeight="1" spans="1:26">
      <c r="A122" s="50">
        <v>112</v>
      </c>
      <c r="B122" s="50" t="s">
        <v>546</v>
      </c>
      <c r="C122" s="50" t="s">
        <v>547</v>
      </c>
      <c r="D122" s="24" t="s">
        <v>565</v>
      </c>
      <c r="E122" s="24" t="s">
        <v>566</v>
      </c>
      <c r="F122" s="24" t="s">
        <v>567</v>
      </c>
      <c r="G122" s="24" t="s">
        <v>568</v>
      </c>
      <c r="H122" s="24" t="s">
        <v>569</v>
      </c>
      <c r="I122" s="24"/>
      <c r="J122" s="24"/>
      <c r="K122" s="24"/>
      <c r="L122" s="24"/>
      <c r="M122" s="24"/>
      <c r="N122" s="24"/>
      <c r="O122" s="24"/>
      <c r="P122" s="24"/>
      <c r="Q122" s="24"/>
      <c r="R122" s="24"/>
      <c r="S122" s="24"/>
      <c r="T122" s="24"/>
      <c r="U122" s="24"/>
      <c r="V122" s="24"/>
      <c r="W122" s="24"/>
      <c r="X122" s="24"/>
      <c r="Y122" s="24"/>
      <c r="Z122" s="24"/>
    </row>
    <row r="123" ht="45" customHeight="1" spans="1:26">
      <c r="A123" s="50">
        <v>113</v>
      </c>
      <c r="B123" s="50" t="s">
        <v>546</v>
      </c>
      <c r="C123" s="50" t="s">
        <v>547</v>
      </c>
      <c r="D123" s="24" t="s">
        <v>570</v>
      </c>
      <c r="E123" s="24" t="s">
        <v>571</v>
      </c>
      <c r="F123" s="24" t="s">
        <v>572</v>
      </c>
      <c r="G123" s="24" t="s">
        <v>573</v>
      </c>
      <c r="H123" s="24" t="s">
        <v>574</v>
      </c>
      <c r="I123" s="24"/>
      <c r="J123" s="24"/>
      <c r="K123" s="24"/>
      <c r="L123" s="24"/>
      <c r="M123" s="24"/>
      <c r="N123" s="24"/>
      <c r="O123" s="24"/>
      <c r="P123" s="24"/>
      <c r="Q123" s="24"/>
      <c r="R123" s="24"/>
      <c r="S123" s="24"/>
      <c r="T123" s="24"/>
      <c r="U123" s="24"/>
      <c r="V123" s="24"/>
      <c r="W123" s="24"/>
      <c r="X123" s="24"/>
      <c r="Y123" s="24"/>
      <c r="Z123" s="24"/>
    </row>
    <row r="124" ht="58" customHeight="1" spans="1:26">
      <c r="A124" s="50">
        <v>114</v>
      </c>
      <c r="B124" s="50" t="s">
        <v>546</v>
      </c>
      <c r="C124" s="50" t="s">
        <v>547</v>
      </c>
      <c r="D124" s="24" t="s">
        <v>575</v>
      </c>
      <c r="E124" s="24" t="s">
        <v>576</v>
      </c>
      <c r="F124" s="24" t="s">
        <v>577</v>
      </c>
      <c r="G124" s="24" t="s">
        <v>578</v>
      </c>
      <c r="H124" s="24" t="s">
        <v>579</v>
      </c>
      <c r="I124" s="24"/>
      <c r="J124" s="24"/>
      <c r="K124" s="24"/>
      <c r="L124" s="24"/>
      <c r="M124" s="24"/>
      <c r="N124" s="24"/>
      <c r="O124" s="24"/>
      <c r="P124" s="24"/>
      <c r="Q124" s="24"/>
      <c r="R124" s="24"/>
      <c r="S124" s="24"/>
      <c r="T124" s="24"/>
      <c r="U124" s="24"/>
      <c r="V124" s="24"/>
      <c r="W124" s="24"/>
      <c r="X124" s="24"/>
      <c r="Y124" s="24"/>
      <c r="Z124" s="24"/>
    </row>
    <row r="125" ht="32" customHeight="1" spans="1:26">
      <c r="A125" s="50">
        <v>115</v>
      </c>
      <c r="B125" s="50" t="s">
        <v>546</v>
      </c>
      <c r="C125" s="50" t="s">
        <v>547</v>
      </c>
      <c r="D125" s="24" t="s">
        <v>580</v>
      </c>
      <c r="E125" s="24" t="s">
        <v>581</v>
      </c>
      <c r="F125" s="24" t="s">
        <v>580</v>
      </c>
      <c r="G125" s="24" t="s">
        <v>582</v>
      </c>
      <c r="H125" s="24" t="s">
        <v>583</v>
      </c>
      <c r="I125" s="24"/>
      <c r="J125" s="24"/>
      <c r="K125" s="24"/>
      <c r="L125" s="24"/>
      <c r="M125" s="24"/>
      <c r="N125" s="24"/>
      <c r="O125" s="24"/>
      <c r="P125" s="24"/>
      <c r="Q125" s="24"/>
      <c r="R125" s="24"/>
      <c r="S125" s="24"/>
      <c r="T125" s="24"/>
      <c r="U125" s="24"/>
      <c r="V125" s="24"/>
      <c r="W125" s="24"/>
      <c r="X125" s="24"/>
      <c r="Y125" s="24"/>
      <c r="Z125" s="24"/>
    </row>
    <row r="126" ht="71" customHeight="1" spans="1:26">
      <c r="A126" s="50">
        <v>116</v>
      </c>
      <c r="B126" s="50" t="s">
        <v>584</v>
      </c>
      <c r="C126" s="50" t="s">
        <v>585</v>
      </c>
      <c r="D126" s="24" t="s">
        <v>586</v>
      </c>
      <c r="E126" s="24" t="s">
        <v>587</v>
      </c>
      <c r="F126" s="24" t="s">
        <v>588</v>
      </c>
      <c r="G126" s="24" t="s">
        <v>589</v>
      </c>
      <c r="H126" s="24" t="s">
        <v>590</v>
      </c>
      <c r="I126" s="24"/>
      <c r="J126" s="24"/>
      <c r="K126" s="24"/>
      <c r="L126" s="24"/>
      <c r="M126" s="24"/>
      <c r="N126" s="24"/>
      <c r="O126" s="24"/>
      <c r="P126" s="24"/>
      <c r="Q126" s="24"/>
      <c r="R126" s="24"/>
      <c r="S126" s="24"/>
      <c r="T126" s="24"/>
      <c r="U126" s="24"/>
      <c r="V126" s="24"/>
      <c r="W126" s="24"/>
      <c r="X126" s="24"/>
      <c r="Y126" s="24"/>
      <c r="Z126" s="24"/>
    </row>
    <row r="127" ht="71" customHeight="1" spans="1:26">
      <c r="A127" s="50">
        <v>117</v>
      </c>
      <c r="B127" s="50" t="s">
        <v>584</v>
      </c>
      <c r="C127" s="50" t="s">
        <v>585</v>
      </c>
      <c r="D127" s="24" t="s">
        <v>591</v>
      </c>
      <c r="E127" s="24" t="s">
        <v>592</v>
      </c>
      <c r="F127" s="24" t="s">
        <v>591</v>
      </c>
      <c r="G127" s="24" t="s">
        <v>593</v>
      </c>
      <c r="H127" s="24" t="s">
        <v>594</v>
      </c>
      <c r="I127" s="24"/>
      <c r="J127" s="24"/>
      <c r="K127" s="24"/>
      <c r="L127" s="24"/>
      <c r="M127" s="24"/>
      <c r="N127" s="24"/>
      <c r="O127" s="24"/>
      <c r="P127" s="24"/>
      <c r="Q127" s="24"/>
      <c r="R127" s="24"/>
      <c r="S127" s="24"/>
      <c r="T127" s="24"/>
      <c r="U127" s="24"/>
      <c r="V127" s="24"/>
      <c r="W127" s="24"/>
      <c r="X127" s="24"/>
      <c r="Y127" s="24"/>
      <c r="Z127" s="24"/>
    </row>
    <row r="128" ht="58" customHeight="1" spans="1:26">
      <c r="A128" s="50">
        <v>118</v>
      </c>
      <c r="B128" s="50" t="s">
        <v>584</v>
      </c>
      <c r="C128" s="50" t="s">
        <v>585</v>
      </c>
      <c r="D128" s="24" t="s">
        <v>595</v>
      </c>
      <c r="E128" s="24" t="s">
        <v>596</v>
      </c>
      <c r="F128" s="24" t="s">
        <v>597</v>
      </c>
      <c r="G128" s="24" t="s">
        <v>598</v>
      </c>
      <c r="H128" s="24" t="s">
        <v>599</v>
      </c>
      <c r="I128" s="24"/>
      <c r="J128" s="24"/>
      <c r="K128" s="24"/>
      <c r="L128" s="24"/>
      <c r="M128" s="24"/>
      <c r="N128" s="24"/>
      <c r="O128" s="24"/>
      <c r="P128" s="24"/>
      <c r="Q128" s="24"/>
      <c r="R128" s="24"/>
      <c r="S128" s="24"/>
      <c r="T128" s="24"/>
      <c r="U128" s="24"/>
      <c r="V128" s="24"/>
      <c r="W128" s="24"/>
      <c r="X128" s="24"/>
      <c r="Y128" s="24"/>
      <c r="Z128" s="24"/>
    </row>
    <row r="129" ht="58" customHeight="1" spans="1:26">
      <c r="A129" s="50">
        <v>119</v>
      </c>
      <c r="B129" s="50" t="s">
        <v>584</v>
      </c>
      <c r="C129" s="50" t="s">
        <v>585</v>
      </c>
      <c r="D129" s="24" t="s">
        <v>600</v>
      </c>
      <c r="E129" s="24" t="s">
        <v>601</v>
      </c>
      <c r="F129" s="24" t="s">
        <v>600</v>
      </c>
      <c r="G129" s="24" t="s">
        <v>602</v>
      </c>
      <c r="H129" s="24" t="s">
        <v>603</v>
      </c>
      <c r="I129" s="24"/>
      <c r="J129" s="24"/>
      <c r="K129" s="24"/>
      <c r="L129" s="24"/>
      <c r="M129" s="24"/>
      <c r="N129" s="24"/>
      <c r="O129" s="24"/>
      <c r="P129" s="24"/>
      <c r="Q129" s="24"/>
      <c r="R129" s="24"/>
      <c r="S129" s="24"/>
      <c r="T129" s="24"/>
      <c r="U129" s="24"/>
      <c r="V129" s="24"/>
      <c r="W129" s="24"/>
      <c r="X129" s="24"/>
      <c r="Y129" s="24"/>
      <c r="Z129" s="24"/>
    </row>
    <row r="130" ht="45" customHeight="1" spans="1:26">
      <c r="A130" s="50">
        <v>120</v>
      </c>
      <c r="B130" s="50" t="s">
        <v>604</v>
      </c>
      <c r="C130" s="50" t="s">
        <v>605</v>
      </c>
      <c r="D130" s="24" t="s">
        <v>606</v>
      </c>
      <c r="E130" s="24" t="s">
        <v>607</v>
      </c>
      <c r="F130" s="24" t="s">
        <v>606</v>
      </c>
      <c r="G130" s="24" t="s">
        <v>608</v>
      </c>
      <c r="H130" s="24" t="s">
        <v>609</v>
      </c>
      <c r="I130" s="24"/>
      <c r="J130" s="24"/>
      <c r="K130" s="24"/>
      <c r="L130" s="24"/>
      <c r="M130" s="24"/>
      <c r="N130" s="24"/>
      <c r="O130" s="24"/>
      <c r="P130" s="24"/>
      <c r="Q130" s="24"/>
      <c r="R130" s="24"/>
      <c r="S130" s="24"/>
      <c r="T130" s="24"/>
      <c r="U130" s="24"/>
      <c r="V130" s="24"/>
      <c r="W130" s="24"/>
      <c r="X130" s="24"/>
      <c r="Y130" s="24"/>
      <c r="Z130" s="24"/>
    </row>
    <row r="131" ht="45" customHeight="1" spans="1:26">
      <c r="A131" s="50">
        <v>121</v>
      </c>
      <c r="B131" s="50" t="s">
        <v>604</v>
      </c>
      <c r="C131" s="50" t="s">
        <v>605</v>
      </c>
      <c r="D131" s="24" t="s">
        <v>610</v>
      </c>
      <c r="E131" s="24" t="s">
        <v>611</v>
      </c>
      <c r="F131" s="24" t="s">
        <v>610</v>
      </c>
      <c r="G131" s="24" t="s">
        <v>612</v>
      </c>
      <c r="H131" s="24" t="s">
        <v>613</v>
      </c>
      <c r="I131" s="24"/>
      <c r="J131" s="24"/>
      <c r="K131" s="24"/>
      <c r="L131" s="24"/>
      <c r="M131" s="24"/>
      <c r="N131" s="24"/>
      <c r="O131" s="24"/>
      <c r="P131" s="24"/>
      <c r="Q131" s="24"/>
      <c r="R131" s="24"/>
      <c r="S131" s="24"/>
      <c r="T131" s="24"/>
      <c r="U131" s="24"/>
      <c r="V131" s="24"/>
      <c r="W131" s="24"/>
      <c r="X131" s="24"/>
      <c r="Y131" s="24"/>
      <c r="Z131" s="24"/>
    </row>
    <row r="132" ht="58" customHeight="1" spans="1:26">
      <c r="A132" s="50">
        <v>122</v>
      </c>
      <c r="B132" s="50" t="s">
        <v>604</v>
      </c>
      <c r="C132" s="50" t="s">
        <v>605</v>
      </c>
      <c r="D132" s="24" t="s">
        <v>614</v>
      </c>
      <c r="E132" s="24" t="s">
        <v>615</v>
      </c>
      <c r="F132" s="24" t="s">
        <v>614</v>
      </c>
      <c r="G132" s="24" t="s">
        <v>616</v>
      </c>
      <c r="H132" s="24" t="s">
        <v>617</v>
      </c>
      <c r="I132" s="24"/>
      <c r="J132" s="24"/>
      <c r="K132" s="24"/>
      <c r="L132" s="24"/>
      <c r="M132" s="24"/>
      <c r="N132" s="24"/>
      <c r="O132" s="24"/>
      <c r="P132" s="24"/>
      <c r="Q132" s="24"/>
      <c r="R132" s="24"/>
      <c r="S132" s="24"/>
      <c r="T132" s="24"/>
      <c r="U132" s="24"/>
      <c r="V132" s="24"/>
      <c r="W132" s="24"/>
      <c r="X132" s="24"/>
      <c r="Y132" s="24"/>
      <c r="Z132" s="24"/>
    </row>
    <row r="133" ht="45" customHeight="1" spans="1:26">
      <c r="A133" s="50">
        <v>123</v>
      </c>
      <c r="B133" s="50" t="s">
        <v>604</v>
      </c>
      <c r="C133" s="50" t="s">
        <v>605</v>
      </c>
      <c r="D133" s="24" t="s">
        <v>618</v>
      </c>
      <c r="E133" s="24" t="s">
        <v>619</v>
      </c>
      <c r="F133" s="24" t="s">
        <v>618</v>
      </c>
      <c r="G133" s="24" t="s">
        <v>620</v>
      </c>
      <c r="H133" s="24" t="s">
        <v>621</v>
      </c>
      <c r="I133" s="24"/>
      <c r="J133" s="24"/>
      <c r="K133" s="24"/>
      <c r="L133" s="24"/>
      <c r="M133" s="24"/>
      <c r="N133" s="24"/>
      <c r="O133" s="24"/>
      <c r="P133" s="24"/>
      <c r="Q133" s="24"/>
      <c r="R133" s="24"/>
      <c r="S133" s="24"/>
      <c r="T133" s="24"/>
      <c r="U133" s="24"/>
      <c r="V133" s="24"/>
      <c r="W133" s="24"/>
      <c r="X133" s="24"/>
      <c r="Y133" s="24"/>
      <c r="Z133" s="24"/>
    </row>
    <row r="134" ht="45" customHeight="1" spans="1:26">
      <c r="A134" s="50">
        <v>124</v>
      </c>
      <c r="B134" s="50" t="s">
        <v>604</v>
      </c>
      <c r="C134" s="50" t="s">
        <v>605</v>
      </c>
      <c r="D134" s="24" t="s">
        <v>622</v>
      </c>
      <c r="E134" s="24" t="s">
        <v>623</v>
      </c>
      <c r="F134" s="24" t="s">
        <v>622</v>
      </c>
      <c r="G134" s="24" t="s">
        <v>624</v>
      </c>
      <c r="H134" s="24" t="s">
        <v>625</v>
      </c>
      <c r="I134" s="24"/>
      <c r="J134" s="24"/>
      <c r="K134" s="24"/>
      <c r="L134" s="24"/>
      <c r="M134" s="24"/>
      <c r="N134" s="24"/>
      <c r="O134" s="24"/>
      <c r="P134" s="24"/>
      <c r="Q134" s="24"/>
      <c r="R134" s="24"/>
      <c r="S134" s="24"/>
      <c r="T134" s="24"/>
      <c r="U134" s="24"/>
      <c r="V134" s="24"/>
      <c r="W134" s="24"/>
      <c r="X134" s="24"/>
      <c r="Y134" s="24"/>
      <c r="Z134" s="24"/>
    </row>
    <row r="135" ht="45" customHeight="1" spans="1:26">
      <c r="A135" s="50">
        <v>125</v>
      </c>
      <c r="B135" s="50" t="s">
        <v>604</v>
      </c>
      <c r="C135" s="50" t="s">
        <v>605</v>
      </c>
      <c r="D135" s="24" t="s">
        <v>626</v>
      </c>
      <c r="E135" s="24" t="s">
        <v>627</v>
      </c>
      <c r="F135" s="24" t="s">
        <v>626</v>
      </c>
      <c r="G135" s="24" t="s">
        <v>628</v>
      </c>
      <c r="H135" s="24" t="s">
        <v>629</v>
      </c>
      <c r="I135" s="24"/>
      <c r="J135" s="24"/>
      <c r="K135" s="24"/>
      <c r="L135" s="24"/>
      <c r="M135" s="24"/>
      <c r="N135" s="24"/>
      <c r="O135" s="24"/>
      <c r="P135" s="24"/>
      <c r="Q135" s="24"/>
      <c r="R135" s="24"/>
      <c r="S135" s="24"/>
      <c r="T135" s="24"/>
      <c r="U135" s="24"/>
      <c r="V135" s="24"/>
      <c r="W135" s="24"/>
      <c r="X135" s="24"/>
      <c r="Y135" s="24"/>
      <c r="Z135" s="24"/>
    </row>
    <row r="136" ht="58" customHeight="1" spans="1:26">
      <c r="A136" s="50">
        <v>126</v>
      </c>
      <c r="B136" s="50" t="s">
        <v>604</v>
      </c>
      <c r="C136" s="50" t="s">
        <v>605</v>
      </c>
      <c r="D136" s="24" t="s">
        <v>630</v>
      </c>
      <c r="E136" s="24" t="s">
        <v>631</v>
      </c>
      <c r="F136" s="24" t="s">
        <v>630</v>
      </c>
      <c r="G136" s="24" t="s">
        <v>632</v>
      </c>
      <c r="H136" s="24" t="s">
        <v>633</v>
      </c>
      <c r="I136" s="24"/>
      <c r="J136" s="24"/>
      <c r="K136" s="24"/>
      <c r="L136" s="24"/>
      <c r="M136" s="24"/>
      <c r="N136" s="24"/>
      <c r="O136" s="24"/>
      <c r="P136" s="24"/>
      <c r="Q136" s="24"/>
      <c r="R136" s="24"/>
      <c r="S136" s="24"/>
      <c r="T136" s="24"/>
      <c r="U136" s="24"/>
      <c r="V136" s="24"/>
      <c r="W136" s="24"/>
      <c r="X136" s="24"/>
      <c r="Y136" s="24"/>
      <c r="Z136" s="24"/>
    </row>
    <row r="137" ht="58" customHeight="1" spans="1:26">
      <c r="A137" s="50">
        <v>127</v>
      </c>
      <c r="B137" s="50" t="s">
        <v>604</v>
      </c>
      <c r="C137" s="50" t="s">
        <v>605</v>
      </c>
      <c r="D137" s="24" t="s">
        <v>634</v>
      </c>
      <c r="E137" s="24" t="s">
        <v>635</v>
      </c>
      <c r="F137" s="24" t="s">
        <v>634</v>
      </c>
      <c r="G137" s="24" t="s">
        <v>636</v>
      </c>
      <c r="H137" s="24" t="s">
        <v>637</v>
      </c>
      <c r="I137" s="24"/>
      <c r="J137" s="24"/>
      <c r="K137" s="24"/>
      <c r="L137" s="24"/>
      <c r="M137" s="24"/>
      <c r="N137" s="24"/>
      <c r="O137" s="24"/>
      <c r="P137" s="24"/>
      <c r="Q137" s="24"/>
      <c r="R137" s="24"/>
      <c r="S137" s="24"/>
      <c r="T137" s="24"/>
      <c r="U137" s="24"/>
      <c r="V137" s="24"/>
      <c r="W137" s="24"/>
      <c r="X137" s="24"/>
      <c r="Y137" s="24"/>
      <c r="Z137" s="24"/>
    </row>
    <row r="138" ht="32" customHeight="1" spans="1:26">
      <c r="A138" s="50">
        <v>128</v>
      </c>
      <c r="B138" s="50" t="s">
        <v>604</v>
      </c>
      <c r="C138" s="50" t="s">
        <v>605</v>
      </c>
      <c r="D138" s="24" t="s">
        <v>638</v>
      </c>
      <c r="E138" s="24" t="s">
        <v>639</v>
      </c>
      <c r="F138" s="24" t="s">
        <v>638</v>
      </c>
      <c r="G138" s="24" t="s">
        <v>640</v>
      </c>
      <c r="H138" s="24" t="s">
        <v>641</v>
      </c>
      <c r="I138" s="24"/>
      <c r="J138" s="24"/>
      <c r="K138" s="24"/>
      <c r="L138" s="24"/>
      <c r="M138" s="24"/>
      <c r="N138" s="24"/>
      <c r="O138" s="24"/>
      <c r="P138" s="24"/>
      <c r="Q138" s="24"/>
      <c r="R138" s="24"/>
      <c r="S138" s="24"/>
      <c r="T138" s="24"/>
      <c r="U138" s="24"/>
      <c r="V138" s="24"/>
      <c r="W138" s="24"/>
      <c r="X138" s="24"/>
      <c r="Y138" s="24"/>
      <c r="Z138" s="24"/>
    </row>
    <row r="139" ht="58" customHeight="1" spans="1:26">
      <c r="A139" s="50">
        <v>129</v>
      </c>
      <c r="B139" s="50" t="s">
        <v>642</v>
      </c>
      <c r="C139" s="50" t="s">
        <v>643</v>
      </c>
      <c r="D139" s="24" t="s">
        <v>644</v>
      </c>
      <c r="E139" s="24" t="s">
        <v>645</v>
      </c>
      <c r="F139" s="24" t="s">
        <v>644</v>
      </c>
      <c r="G139" s="24" t="s">
        <v>646</v>
      </c>
      <c r="H139" s="24" t="s">
        <v>647</v>
      </c>
      <c r="I139" s="24"/>
      <c r="J139" s="24"/>
      <c r="K139" s="24"/>
      <c r="L139" s="24"/>
      <c r="M139" s="24"/>
      <c r="N139" s="24"/>
      <c r="O139" s="24"/>
      <c r="P139" s="24"/>
      <c r="Q139" s="24"/>
      <c r="R139" s="24"/>
      <c r="S139" s="24"/>
      <c r="T139" s="24"/>
      <c r="U139" s="24"/>
      <c r="V139" s="24"/>
      <c r="W139" s="24"/>
      <c r="X139" s="24"/>
      <c r="Y139" s="24"/>
      <c r="Z139" s="24"/>
    </row>
    <row r="140" ht="45" customHeight="1" spans="1:26">
      <c r="A140" s="50">
        <v>130</v>
      </c>
      <c r="B140" s="50" t="s">
        <v>642</v>
      </c>
      <c r="C140" s="50" t="s">
        <v>643</v>
      </c>
      <c r="D140" s="24" t="s">
        <v>648</v>
      </c>
      <c r="E140" s="24" t="s">
        <v>649</v>
      </c>
      <c r="F140" s="24" t="s">
        <v>650</v>
      </c>
      <c r="G140" s="24" t="s">
        <v>651</v>
      </c>
      <c r="H140" s="24" t="s">
        <v>652</v>
      </c>
      <c r="I140" s="24"/>
      <c r="J140" s="24"/>
      <c r="K140" s="24"/>
      <c r="L140" s="24"/>
      <c r="M140" s="24"/>
      <c r="N140" s="24"/>
      <c r="O140" s="24"/>
      <c r="P140" s="24"/>
      <c r="Q140" s="24"/>
      <c r="R140" s="24"/>
      <c r="S140" s="24"/>
      <c r="T140" s="24"/>
      <c r="U140" s="24"/>
      <c r="V140" s="24"/>
      <c r="W140" s="24"/>
      <c r="X140" s="24"/>
      <c r="Y140" s="24"/>
      <c r="Z140" s="24"/>
    </row>
    <row r="141" ht="58" customHeight="1" spans="1:26">
      <c r="A141" s="50">
        <v>131</v>
      </c>
      <c r="B141" s="50" t="s">
        <v>642</v>
      </c>
      <c r="C141" s="50" t="s">
        <v>643</v>
      </c>
      <c r="D141" s="24" t="s">
        <v>653</v>
      </c>
      <c r="E141" s="24" t="s">
        <v>654</v>
      </c>
      <c r="F141" s="24" t="s">
        <v>655</v>
      </c>
      <c r="G141" s="24" t="s">
        <v>656</v>
      </c>
      <c r="H141" s="24" t="s">
        <v>657</v>
      </c>
      <c r="I141" s="24"/>
      <c r="J141" s="24"/>
      <c r="K141" s="24"/>
      <c r="L141" s="24"/>
      <c r="M141" s="24"/>
      <c r="N141" s="24"/>
      <c r="O141" s="24"/>
      <c r="P141" s="24"/>
      <c r="Q141" s="24"/>
      <c r="R141" s="24"/>
      <c r="S141" s="24"/>
      <c r="T141" s="24"/>
      <c r="U141" s="24"/>
      <c r="V141" s="24"/>
      <c r="W141" s="24"/>
      <c r="X141" s="24"/>
      <c r="Y141" s="24"/>
      <c r="Z141" s="24"/>
    </row>
    <row r="142" ht="58" customHeight="1" spans="1:26">
      <c r="A142" s="50">
        <v>132</v>
      </c>
      <c r="B142" s="50" t="s">
        <v>642</v>
      </c>
      <c r="C142" s="50" t="s">
        <v>643</v>
      </c>
      <c r="D142" s="24" t="s">
        <v>658</v>
      </c>
      <c r="E142" s="24" t="s">
        <v>659</v>
      </c>
      <c r="F142" s="24" t="s">
        <v>658</v>
      </c>
      <c r="G142" s="24" t="s">
        <v>660</v>
      </c>
      <c r="H142" s="24" t="s">
        <v>661</v>
      </c>
      <c r="I142" s="24"/>
      <c r="J142" s="24"/>
      <c r="K142" s="24"/>
      <c r="L142" s="24"/>
      <c r="M142" s="24"/>
      <c r="N142" s="24"/>
      <c r="O142" s="24"/>
      <c r="P142" s="24"/>
      <c r="Q142" s="24"/>
      <c r="R142" s="24"/>
      <c r="S142" s="24"/>
      <c r="T142" s="24"/>
      <c r="U142" s="24"/>
      <c r="V142" s="24"/>
      <c r="W142" s="24"/>
      <c r="X142" s="24"/>
      <c r="Y142" s="24"/>
      <c r="Z142" s="24"/>
    </row>
    <row r="143" ht="58" customHeight="1" spans="1:26">
      <c r="A143" s="50">
        <v>133</v>
      </c>
      <c r="B143" s="50" t="s">
        <v>642</v>
      </c>
      <c r="C143" s="50" t="s">
        <v>643</v>
      </c>
      <c r="D143" s="24" t="s">
        <v>662</v>
      </c>
      <c r="E143" s="24" t="s">
        <v>663</v>
      </c>
      <c r="F143" s="24" t="s">
        <v>662</v>
      </c>
      <c r="G143" s="24" t="s">
        <v>664</v>
      </c>
      <c r="H143" s="24" t="s">
        <v>665</v>
      </c>
      <c r="I143" s="24"/>
      <c r="J143" s="24"/>
      <c r="K143" s="24"/>
      <c r="L143" s="24"/>
      <c r="M143" s="24"/>
      <c r="N143" s="24"/>
      <c r="O143" s="24"/>
      <c r="P143" s="24"/>
      <c r="Q143" s="24"/>
      <c r="R143" s="24"/>
      <c r="S143" s="24"/>
      <c r="T143" s="24"/>
      <c r="U143" s="24"/>
      <c r="V143" s="24"/>
      <c r="W143" s="24"/>
      <c r="X143" s="24"/>
      <c r="Y143" s="24"/>
      <c r="Z143" s="24"/>
    </row>
    <row r="144" ht="71" customHeight="1" spans="1:26">
      <c r="A144" s="50">
        <v>134</v>
      </c>
      <c r="B144" s="50" t="s">
        <v>642</v>
      </c>
      <c r="C144" s="50" t="s">
        <v>643</v>
      </c>
      <c r="D144" s="24" t="s">
        <v>666</v>
      </c>
      <c r="E144" s="24" t="s">
        <v>667</v>
      </c>
      <c r="F144" s="24" t="s">
        <v>668</v>
      </c>
      <c r="G144" s="24" t="s">
        <v>669</v>
      </c>
      <c r="H144" s="24" t="s">
        <v>670</v>
      </c>
      <c r="I144" s="24"/>
      <c r="J144" s="24"/>
      <c r="K144" s="24"/>
      <c r="L144" s="24"/>
      <c r="M144" s="24"/>
      <c r="N144" s="24"/>
      <c r="O144" s="24"/>
      <c r="P144" s="24"/>
      <c r="Q144" s="24"/>
      <c r="R144" s="24"/>
      <c r="S144" s="24"/>
      <c r="T144" s="24"/>
      <c r="U144" s="24"/>
      <c r="V144" s="24"/>
      <c r="W144" s="24"/>
      <c r="X144" s="24"/>
      <c r="Y144" s="24"/>
      <c r="Z144" s="24"/>
    </row>
    <row r="145" ht="58" customHeight="1" spans="1:26">
      <c r="A145" s="50">
        <v>135</v>
      </c>
      <c r="B145" s="50" t="s">
        <v>642</v>
      </c>
      <c r="C145" s="50" t="s">
        <v>643</v>
      </c>
      <c r="D145" s="24" t="s">
        <v>671</v>
      </c>
      <c r="E145" s="24" t="s">
        <v>672</v>
      </c>
      <c r="F145" s="24" t="s">
        <v>673</v>
      </c>
      <c r="G145" s="24" t="s">
        <v>674</v>
      </c>
      <c r="H145" s="24" t="s">
        <v>675</v>
      </c>
      <c r="I145" s="24"/>
      <c r="J145" s="24"/>
      <c r="K145" s="24"/>
      <c r="L145" s="24"/>
      <c r="M145" s="24"/>
      <c r="N145" s="24"/>
      <c r="O145" s="24"/>
      <c r="P145" s="24"/>
      <c r="Q145" s="24"/>
      <c r="R145" s="24"/>
      <c r="S145" s="24"/>
      <c r="T145" s="24"/>
      <c r="U145" s="24"/>
      <c r="V145" s="24"/>
      <c r="W145" s="24"/>
      <c r="X145" s="24"/>
      <c r="Y145" s="24"/>
      <c r="Z145" s="24"/>
    </row>
    <row r="146" ht="58" customHeight="1" spans="1:26">
      <c r="A146" s="50">
        <v>136</v>
      </c>
      <c r="B146" s="50" t="s">
        <v>642</v>
      </c>
      <c r="C146" s="50" t="s">
        <v>643</v>
      </c>
      <c r="D146" s="24" t="s">
        <v>676</v>
      </c>
      <c r="E146" s="24" t="s">
        <v>677</v>
      </c>
      <c r="F146" s="24" t="s">
        <v>678</v>
      </c>
      <c r="G146" s="24" t="s">
        <v>679</v>
      </c>
      <c r="H146" s="24" t="s">
        <v>680</v>
      </c>
      <c r="I146" s="24"/>
      <c r="J146" s="24"/>
      <c r="K146" s="24"/>
      <c r="L146" s="24"/>
      <c r="M146" s="24"/>
      <c r="N146" s="24"/>
      <c r="O146" s="24"/>
      <c r="P146" s="24"/>
      <c r="Q146" s="24"/>
      <c r="R146" s="24"/>
      <c r="S146" s="24"/>
      <c r="T146" s="24"/>
      <c r="U146" s="24"/>
      <c r="V146" s="24"/>
      <c r="W146" s="24"/>
      <c r="X146" s="24"/>
      <c r="Y146" s="24"/>
      <c r="Z146" s="24"/>
    </row>
    <row r="147" ht="58" customHeight="1" spans="1:26">
      <c r="A147" s="50">
        <v>137</v>
      </c>
      <c r="B147" s="50" t="s">
        <v>642</v>
      </c>
      <c r="C147" s="50" t="s">
        <v>643</v>
      </c>
      <c r="D147" s="24" t="s">
        <v>681</v>
      </c>
      <c r="E147" s="24" t="s">
        <v>682</v>
      </c>
      <c r="F147" s="24" t="s">
        <v>681</v>
      </c>
      <c r="G147" s="24" t="s">
        <v>683</v>
      </c>
      <c r="H147" s="24" t="s">
        <v>684</v>
      </c>
      <c r="I147" s="24"/>
      <c r="J147" s="24"/>
      <c r="K147" s="24"/>
      <c r="L147" s="24"/>
      <c r="M147" s="24"/>
      <c r="N147" s="24"/>
      <c r="O147" s="24"/>
      <c r="P147" s="24"/>
      <c r="Q147" s="24"/>
      <c r="R147" s="24"/>
      <c r="S147" s="24"/>
      <c r="T147" s="24"/>
      <c r="U147" s="24"/>
      <c r="V147" s="24"/>
      <c r="W147" s="24"/>
      <c r="X147" s="24"/>
      <c r="Y147" s="24"/>
      <c r="Z147" s="24"/>
    </row>
    <row r="148" ht="58" customHeight="1" spans="1:26">
      <c r="A148" s="50">
        <v>138</v>
      </c>
      <c r="B148" s="50" t="s">
        <v>642</v>
      </c>
      <c r="C148" s="50" t="s">
        <v>643</v>
      </c>
      <c r="D148" s="24" t="s">
        <v>685</v>
      </c>
      <c r="E148" s="24" t="s">
        <v>686</v>
      </c>
      <c r="F148" s="24" t="s">
        <v>685</v>
      </c>
      <c r="G148" s="24" t="s">
        <v>687</v>
      </c>
      <c r="H148" s="24" t="s">
        <v>688</v>
      </c>
      <c r="I148" s="24"/>
      <c r="J148" s="24"/>
      <c r="K148" s="24"/>
      <c r="L148" s="24"/>
      <c r="M148" s="24"/>
      <c r="N148" s="24"/>
      <c r="O148" s="24"/>
      <c r="P148" s="24"/>
      <c r="Q148" s="24"/>
      <c r="R148" s="24"/>
      <c r="S148" s="24"/>
      <c r="T148" s="24"/>
      <c r="U148" s="24"/>
      <c r="V148" s="24"/>
      <c r="W148" s="24"/>
      <c r="X148" s="24"/>
      <c r="Y148" s="24"/>
      <c r="Z148" s="24"/>
    </row>
    <row r="149" ht="45" customHeight="1" spans="1:26">
      <c r="A149" s="50">
        <v>139</v>
      </c>
      <c r="B149" s="50" t="s">
        <v>642</v>
      </c>
      <c r="C149" s="50" t="s">
        <v>643</v>
      </c>
      <c r="D149" s="24" t="s">
        <v>689</v>
      </c>
      <c r="E149" s="24" t="s">
        <v>690</v>
      </c>
      <c r="F149" s="24" t="s">
        <v>689</v>
      </c>
      <c r="G149" s="24" t="s">
        <v>691</v>
      </c>
      <c r="H149" s="24" t="s">
        <v>692</v>
      </c>
      <c r="I149" s="24"/>
      <c r="J149" s="24"/>
      <c r="K149" s="24"/>
      <c r="L149" s="24"/>
      <c r="M149" s="24"/>
      <c r="N149" s="24"/>
      <c r="O149" s="24"/>
      <c r="P149" s="24"/>
      <c r="Q149" s="24"/>
      <c r="R149" s="24"/>
      <c r="S149" s="24"/>
      <c r="T149" s="24"/>
      <c r="U149" s="24"/>
      <c r="V149" s="24"/>
      <c r="W149" s="24"/>
      <c r="X149" s="24"/>
      <c r="Y149" s="24"/>
      <c r="Z149" s="24"/>
    </row>
    <row r="150" ht="45" customHeight="1" spans="1:26">
      <c r="A150" s="50">
        <v>140</v>
      </c>
      <c r="B150" s="50" t="s">
        <v>642</v>
      </c>
      <c r="C150" s="50" t="s">
        <v>643</v>
      </c>
      <c r="D150" s="24" t="s">
        <v>693</v>
      </c>
      <c r="E150" s="24" t="s">
        <v>694</v>
      </c>
      <c r="F150" s="24" t="s">
        <v>695</v>
      </c>
      <c r="G150" s="24" t="s">
        <v>696</v>
      </c>
      <c r="H150" s="24" t="s">
        <v>697</v>
      </c>
      <c r="I150" s="24"/>
      <c r="J150" s="24"/>
      <c r="K150" s="24"/>
      <c r="L150" s="24"/>
      <c r="M150" s="24"/>
      <c r="N150" s="24"/>
      <c r="O150" s="24"/>
      <c r="P150" s="24"/>
      <c r="Q150" s="24"/>
      <c r="R150" s="24"/>
      <c r="S150" s="24"/>
      <c r="T150" s="24"/>
      <c r="U150" s="24"/>
      <c r="V150" s="24"/>
      <c r="W150" s="24"/>
      <c r="X150" s="24"/>
      <c r="Y150" s="24"/>
      <c r="Z150" s="24"/>
    </row>
    <row r="151" ht="45" customHeight="1" spans="1:26">
      <c r="A151" s="50">
        <v>141</v>
      </c>
      <c r="B151" s="50" t="s">
        <v>642</v>
      </c>
      <c r="C151" s="50" t="s">
        <v>643</v>
      </c>
      <c r="D151" s="24" t="s">
        <v>698</v>
      </c>
      <c r="E151" s="24" t="s">
        <v>699</v>
      </c>
      <c r="F151" s="24" t="s">
        <v>698</v>
      </c>
      <c r="G151" s="24" t="s">
        <v>700</v>
      </c>
      <c r="H151" s="24" t="s">
        <v>701</v>
      </c>
      <c r="I151" s="24"/>
      <c r="J151" s="24"/>
      <c r="K151" s="24"/>
      <c r="L151" s="24"/>
      <c r="M151" s="24"/>
      <c r="N151" s="24"/>
      <c r="O151" s="24"/>
      <c r="P151" s="24"/>
      <c r="Q151" s="24"/>
      <c r="R151" s="24"/>
      <c r="S151" s="24"/>
      <c r="T151" s="24"/>
      <c r="U151" s="24"/>
      <c r="V151" s="24"/>
      <c r="W151" s="24"/>
      <c r="X151" s="24"/>
      <c r="Y151" s="24"/>
      <c r="Z151" s="24"/>
    </row>
    <row r="152" ht="45" customHeight="1" spans="1:26">
      <c r="A152" s="50">
        <v>142</v>
      </c>
      <c r="B152" s="50" t="s">
        <v>642</v>
      </c>
      <c r="C152" s="50" t="s">
        <v>643</v>
      </c>
      <c r="D152" s="24" t="s">
        <v>702</v>
      </c>
      <c r="E152" s="24" t="s">
        <v>703</v>
      </c>
      <c r="F152" s="24" t="s">
        <v>702</v>
      </c>
      <c r="G152" s="24" t="s">
        <v>704</v>
      </c>
      <c r="H152" s="24" t="s">
        <v>705</v>
      </c>
      <c r="I152" s="24"/>
      <c r="J152" s="24"/>
      <c r="K152" s="24"/>
      <c r="L152" s="24"/>
      <c r="M152" s="24"/>
      <c r="N152" s="24"/>
      <c r="O152" s="24"/>
      <c r="P152" s="24"/>
      <c r="Q152" s="24"/>
      <c r="R152" s="24"/>
      <c r="S152" s="24"/>
      <c r="T152" s="24"/>
      <c r="U152" s="24"/>
      <c r="V152" s="24"/>
      <c r="W152" s="24"/>
      <c r="X152" s="24"/>
      <c r="Y152" s="24"/>
      <c r="Z152" s="24"/>
    </row>
    <row r="153" ht="45" customHeight="1" spans="1:26">
      <c r="A153" s="50">
        <v>143</v>
      </c>
      <c r="B153" s="50" t="s">
        <v>642</v>
      </c>
      <c r="C153" s="50" t="s">
        <v>643</v>
      </c>
      <c r="D153" s="24" t="s">
        <v>706</v>
      </c>
      <c r="E153" s="24" t="s">
        <v>707</v>
      </c>
      <c r="F153" s="24" t="s">
        <v>706</v>
      </c>
      <c r="G153" s="24" t="s">
        <v>708</v>
      </c>
      <c r="H153" s="24" t="s">
        <v>709</v>
      </c>
      <c r="I153" s="24"/>
      <c r="J153" s="24"/>
      <c r="K153" s="24"/>
      <c r="L153" s="24"/>
      <c r="M153" s="24"/>
      <c r="N153" s="24"/>
      <c r="O153" s="24"/>
      <c r="P153" s="24"/>
      <c r="Q153" s="24"/>
      <c r="R153" s="24"/>
      <c r="S153" s="24"/>
      <c r="T153" s="24"/>
      <c r="U153" s="24"/>
      <c r="V153" s="24"/>
      <c r="W153" s="24"/>
      <c r="X153" s="24"/>
      <c r="Y153" s="24"/>
      <c r="Z153" s="24"/>
    </row>
    <row r="154" ht="32" customHeight="1" spans="1:26">
      <c r="A154" s="50">
        <v>144</v>
      </c>
      <c r="B154" s="50" t="s">
        <v>642</v>
      </c>
      <c r="C154" s="50" t="s">
        <v>643</v>
      </c>
      <c r="D154" s="24" t="s">
        <v>710</v>
      </c>
      <c r="E154" s="24" t="s">
        <v>711</v>
      </c>
      <c r="F154" s="24" t="s">
        <v>710</v>
      </c>
      <c r="G154" s="24" t="s">
        <v>712</v>
      </c>
      <c r="H154" s="24" t="s">
        <v>713</v>
      </c>
      <c r="I154" s="24"/>
      <c r="J154" s="24"/>
      <c r="K154" s="24"/>
      <c r="L154" s="24"/>
      <c r="M154" s="24"/>
      <c r="N154" s="24"/>
      <c r="O154" s="24"/>
      <c r="P154" s="24"/>
      <c r="Q154" s="24"/>
      <c r="R154" s="24"/>
      <c r="S154" s="24"/>
      <c r="T154" s="24"/>
      <c r="U154" s="24"/>
      <c r="V154" s="24"/>
      <c r="W154" s="24"/>
      <c r="X154" s="24"/>
      <c r="Y154" s="24"/>
      <c r="Z154" s="24"/>
    </row>
    <row r="155" ht="71" customHeight="1" spans="1:26">
      <c r="A155" s="50">
        <v>145</v>
      </c>
      <c r="B155" s="50" t="s">
        <v>714</v>
      </c>
      <c r="C155" s="50" t="s">
        <v>715</v>
      </c>
      <c r="D155" s="24" t="s">
        <v>716</v>
      </c>
      <c r="E155" s="24" t="s">
        <v>717</v>
      </c>
      <c r="F155" s="24" t="s">
        <v>716</v>
      </c>
      <c r="G155" s="24" t="s">
        <v>718</v>
      </c>
      <c r="H155" s="24" t="s">
        <v>719</v>
      </c>
      <c r="I155" s="24"/>
      <c r="J155" s="24"/>
      <c r="K155" s="24"/>
      <c r="L155" s="24"/>
      <c r="M155" s="24"/>
      <c r="N155" s="24"/>
      <c r="O155" s="24"/>
      <c r="P155" s="24"/>
      <c r="Q155" s="24"/>
      <c r="R155" s="24"/>
      <c r="S155" s="24"/>
      <c r="T155" s="24"/>
      <c r="U155" s="24"/>
      <c r="V155" s="24"/>
      <c r="W155" s="24"/>
      <c r="X155" s="24"/>
      <c r="Y155" s="24"/>
      <c r="Z155" s="24"/>
    </row>
    <row r="156" ht="71" customHeight="1" spans="1:26">
      <c r="A156" s="50">
        <v>146</v>
      </c>
      <c r="B156" s="50" t="s">
        <v>714</v>
      </c>
      <c r="C156" s="50" t="s">
        <v>715</v>
      </c>
      <c r="D156" s="24" t="s">
        <v>720</v>
      </c>
      <c r="E156" s="24" t="s">
        <v>721</v>
      </c>
      <c r="F156" s="24" t="s">
        <v>720</v>
      </c>
      <c r="G156" s="24" t="s">
        <v>722</v>
      </c>
      <c r="H156" s="24" t="s">
        <v>723</v>
      </c>
      <c r="I156" s="24"/>
      <c r="J156" s="24"/>
      <c r="K156" s="24"/>
      <c r="L156" s="24"/>
      <c r="M156" s="24"/>
      <c r="N156" s="24"/>
      <c r="O156" s="24"/>
      <c r="P156" s="24"/>
      <c r="Q156" s="24"/>
      <c r="R156" s="24"/>
      <c r="S156" s="24"/>
      <c r="T156" s="24"/>
      <c r="U156" s="24"/>
      <c r="V156" s="24"/>
      <c r="W156" s="24"/>
      <c r="X156" s="24"/>
      <c r="Y156" s="24"/>
      <c r="Z156" s="24"/>
    </row>
    <row r="157" ht="58" customHeight="1" spans="1:26">
      <c r="A157" s="50">
        <v>147</v>
      </c>
      <c r="B157" s="50" t="s">
        <v>714</v>
      </c>
      <c r="C157" s="50" t="s">
        <v>715</v>
      </c>
      <c r="D157" s="24" t="s">
        <v>724</v>
      </c>
      <c r="E157" s="24" t="s">
        <v>725</v>
      </c>
      <c r="F157" s="24" t="s">
        <v>724</v>
      </c>
      <c r="G157" s="24" t="s">
        <v>726</v>
      </c>
      <c r="H157" s="24" t="s">
        <v>727</v>
      </c>
      <c r="I157" s="24"/>
      <c r="J157" s="24"/>
      <c r="K157" s="24"/>
      <c r="L157" s="24"/>
      <c r="M157" s="24"/>
      <c r="N157" s="24"/>
      <c r="O157" s="24"/>
      <c r="P157" s="24"/>
      <c r="Q157" s="24"/>
      <c r="R157" s="24"/>
      <c r="S157" s="24"/>
      <c r="T157" s="24"/>
      <c r="U157" s="24"/>
      <c r="V157" s="24"/>
      <c r="W157" s="24"/>
      <c r="X157" s="24"/>
      <c r="Y157" s="24"/>
      <c r="Z157" s="24"/>
    </row>
    <row r="158" ht="45" customHeight="1" spans="1:26">
      <c r="A158" s="50">
        <v>148</v>
      </c>
      <c r="B158" s="50" t="s">
        <v>714</v>
      </c>
      <c r="C158" s="50" t="s">
        <v>715</v>
      </c>
      <c r="D158" s="24" t="s">
        <v>728</v>
      </c>
      <c r="E158" s="24" t="s">
        <v>729</v>
      </c>
      <c r="F158" s="24" t="s">
        <v>728</v>
      </c>
      <c r="G158" s="24" t="s">
        <v>730</v>
      </c>
      <c r="H158" s="24" t="s">
        <v>731</v>
      </c>
      <c r="I158" s="24"/>
      <c r="J158" s="24"/>
      <c r="K158" s="24"/>
      <c r="L158" s="24"/>
      <c r="M158" s="24"/>
      <c r="N158" s="24"/>
      <c r="O158" s="24"/>
      <c r="P158" s="24"/>
      <c r="Q158" s="24"/>
      <c r="R158" s="24"/>
      <c r="S158" s="24"/>
      <c r="T158" s="24"/>
      <c r="U158" s="24"/>
      <c r="V158" s="24"/>
      <c r="W158" s="24"/>
      <c r="X158" s="24"/>
      <c r="Y158" s="24"/>
      <c r="Z158" s="24"/>
    </row>
    <row r="159" ht="58" customHeight="1" spans="1:26">
      <c r="A159" s="50">
        <v>149</v>
      </c>
      <c r="B159" s="50" t="s">
        <v>714</v>
      </c>
      <c r="C159" s="50" t="s">
        <v>715</v>
      </c>
      <c r="D159" s="24" t="s">
        <v>732</v>
      </c>
      <c r="E159" s="24" t="s">
        <v>733</v>
      </c>
      <c r="F159" s="24" t="s">
        <v>734</v>
      </c>
      <c r="G159" s="24" t="s">
        <v>735</v>
      </c>
      <c r="H159" s="24" t="s">
        <v>736</v>
      </c>
      <c r="I159" s="24"/>
      <c r="J159" s="24"/>
      <c r="K159" s="24"/>
      <c r="L159" s="24"/>
      <c r="M159" s="24"/>
      <c r="N159" s="24"/>
      <c r="O159" s="24"/>
      <c r="P159" s="24"/>
      <c r="Q159" s="24"/>
      <c r="R159" s="24"/>
      <c r="S159" s="24"/>
      <c r="T159" s="24"/>
      <c r="U159" s="24"/>
      <c r="V159" s="24"/>
      <c r="W159" s="24"/>
      <c r="X159" s="24"/>
      <c r="Y159" s="24"/>
      <c r="Z159" s="24"/>
    </row>
    <row r="160" ht="32" customHeight="1" spans="1:26">
      <c r="A160" s="50">
        <v>150</v>
      </c>
      <c r="B160" s="50" t="s">
        <v>714</v>
      </c>
      <c r="C160" s="50" t="s">
        <v>715</v>
      </c>
      <c r="D160" s="24" t="s">
        <v>737</v>
      </c>
      <c r="E160" s="24" t="s">
        <v>738</v>
      </c>
      <c r="F160" s="24" t="s">
        <v>737</v>
      </c>
      <c r="G160" s="24" t="s">
        <v>739</v>
      </c>
      <c r="H160" s="24" t="s">
        <v>740</v>
      </c>
      <c r="I160" s="24"/>
      <c r="J160" s="24"/>
      <c r="K160" s="24"/>
      <c r="L160" s="24"/>
      <c r="M160" s="24"/>
      <c r="N160" s="24"/>
      <c r="O160" s="24"/>
      <c r="P160" s="24"/>
      <c r="Q160" s="24"/>
      <c r="R160" s="24"/>
      <c r="S160" s="24"/>
      <c r="T160" s="24"/>
      <c r="U160" s="24"/>
      <c r="V160" s="24"/>
      <c r="W160" s="24"/>
      <c r="X160" s="24"/>
      <c r="Y160" s="24"/>
      <c r="Z160" s="24"/>
    </row>
    <row r="161" ht="45" customHeight="1" spans="1:26">
      <c r="A161" s="50">
        <v>151</v>
      </c>
      <c r="B161" s="50" t="s">
        <v>741</v>
      </c>
      <c r="C161" s="50" t="s">
        <v>742</v>
      </c>
      <c r="D161" s="24" t="s">
        <v>743</v>
      </c>
      <c r="E161" s="24" t="s">
        <v>744</v>
      </c>
      <c r="F161" s="24" t="s">
        <v>743</v>
      </c>
      <c r="G161" s="24" t="s">
        <v>745</v>
      </c>
      <c r="H161" s="24" t="s">
        <v>746</v>
      </c>
      <c r="I161" s="24"/>
      <c r="J161" s="24"/>
      <c r="K161" s="24"/>
      <c r="L161" s="24"/>
      <c r="M161" s="24"/>
      <c r="N161" s="24"/>
      <c r="O161" s="24"/>
      <c r="P161" s="24"/>
      <c r="Q161" s="24"/>
      <c r="R161" s="24"/>
      <c r="S161" s="24"/>
      <c r="T161" s="24"/>
      <c r="U161" s="24"/>
      <c r="V161" s="24"/>
      <c r="W161" s="24"/>
      <c r="X161" s="24"/>
      <c r="Y161" s="24"/>
      <c r="Z161" s="24"/>
    </row>
    <row r="162" ht="58" customHeight="1" spans="1:26">
      <c r="A162" s="50">
        <v>152</v>
      </c>
      <c r="B162" s="50" t="s">
        <v>741</v>
      </c>
      <c r="C162" s="50" t="s">
        <v>742</v>
      </c>
      <c r="D162" s="24" t="s">
        <v>747</v>
      </c>
      <c r="E162" s="24" t="s">
        <v>748</v>
      </c>
      <c r="F162" s="24" t="s">
        <v>747</v>
      </c>
      <c r="G162" s="24" t="s">
        <v>749</v>
      </c>
      <c r="H162" s="24" t="s">
        <v>750</v>
      </c>
      <c r="I162" s="24"/>
      <c r="J162" s="24"/>
      <c r="K162" s="24"/>
      <c r="L162" s="24"/>
      <c r="M162" s="24"/>
      <c r="N162" s="24"/>
      <c r="O162" s="24"/>
      <c r="P162" s="24"/>
      <c r="Q162" s="24"/>
      <c r="R162" s="24"/>
      <c r="S162" s="24"/>
      <c r="T162" s="24"/>
      <c r="U162" s="24"/>
      <c r="V162" s="24"/>
      <c r="W162" s="24"/>
      <c r="X162" s="24"/>
      <c r="Y162" s="24"/>
      <c r="Z162" s="24"/>
    </row>
    <row r="163" ht="58" customHeight="1" spans="1:26">
      <c r="A163" s="50">
        <v>153</v>
      </c>
      <c r="B163" s="50" t="s">
        <v>741</v>
      </c>
      <c r="C163" s="50" t="s">
        <v>742</v>
      </c>
      <c r="D163" s="24" t="s">
        <v>751</v>
      </c>
      <c r="E163" s="24" t="s">
        <v>752</v>
      </c>
      <c r="F163" s="24" t="s">
        <v>751</v>
      </c>
      <c r="G163" s="24" t="s">
        <v>753</v>
      </c>
      <c r="H163" s="24" t="s">
        <v>754</v>
      </c>
      <c r="I163" s="24"/>
      <c r="J163" s="24"/>
      <c r="K163" s="24"/>
      <c r="L163" s="24"/>
      <c r="M163" s="24"/>
      <c r="N163" s="24"/>
      <c r="O163" s="24"/>
      <c r="P163" s="24"/>
      <c r="Q163" s="24"/>
      <c r="R163" s="24"/>
      <c r="S163" s="24"/>
      <c r="T163" s="24"/>
      <c r="U163" s="24"/>
      <c r="V163" s="24"/>
      <c r="W163" s="24"/>
      <c r="X163" s="24"/>
      <c r="Y163" s="24"/>
      <c r="Z163" s="24"/>
    </row>
    <row r="164" ht="58" customHeight="1" spans="1:26">
      <c r="A164" s="50">
        <v>154</v>
      </c>
      <c r="B164" s="50" t="s">
        <v>741</v>
      </c>
      <c r="C164" s="50" t="s">
        <v>742</v>
      </c>
      <c r="D164" s="24" t="s">
        <v>755</v>
      </c>
      <c r="E164" s="24" t="s">
        <v>756</v>
      </c>
      <c r="F164" s="24" t="s">
        <v>755</v>
      </c>
      <c r="G164" s="24" t="s">
        <v>757</v>
      </c>
      <c r="H164" s="24" t="s">
        <v>758</v>
      </c>
      <c r="I164" s="24"/>
      <c r="J164" s="24"/>
      <c r="K164" s="24"/>
      <c r="L164" s="24"/>
      <c r="M164" s="24"/>
      <c r="N164" s="24"/>
      <c r="O164" s="24"/>
      <c r="P164" s="24"/>
      <c r="Q164" s="24"/>
      <c r="R164" s="24"/>
      <c r="S164" s="24"/>
      <c r="T164" s="24"/>
      <c r="U164" s="24"/>
      <c r="V164" s="24"/>
      <c r="W164" s="24"/>
      <c r="X164" s="24"/>
      <c r="Y164" s="24"/>
      <c r="Z164" s="24"/>
    </row>
    <row r="165" ht="58" customHeight="1" spans="1:26">
      <c r="A165" s="50">
        <v>155</v>
      </c>
      <c r="B165" s="50" t="s">
        <v>741</v>
      </c>
      <c r="C165" s="50" t="s">
        <v>742</v>
      </c>
      <c r="D165" s="24" t="s">
        <v>759</v>
      </c>
      <c r="E165" s="24" t="s">
        <v>760</v>
      </c>
      <c r="F165" s="24" t="s">
        <v>761</v>
      </c>
      <c r="G165" s="24" t="s">
        <v>762</v>
      </c>
      <c r="H165" s="24" t="s">
        <v>763</v>
      </c>
      <c r="I165" s="24"/>
      <c r="J165" s="24"/>
      <c r="K165" s="24"/>
      <c r="L165" s="24"/>
      <c r="M165" s="24"/>
      <c r="N165" s="24"/>
      <c r="O165" s="24"/>
      <c r="P165" s="24"/>
      <c r="Q165" s="24"/>
      <c r="R165" s="24"/>
      <c r="S165" s="24"/>
      <c r="T165" s="24"/>
      <c r="U165" s="24"/>
      <c r="V165" s="24"/>
      <c r="W165" s="24"/>
      <c r="X165" s="24"/>
      <c r="Y165" s="24"/>
      <c r="Z165" s="24"/>
    </row>
    <row r="166" ht="58" customHeight="1" spans="1:26">
      <c r="A166" s="50">
        <v>156</v>
      </c>
      <c r="B166" s="50" t="s">
        <v>741</v>
      </c>
      <c r="C166" s="50" t="s">
        <v>742</v>
      </c>
      <c r="D166" s="24" t="s">
        <v>764</v>
      </c>
      <c r="E166" s="24" t="s">
        <v>765</v>
      </c>
      <c r="F166" s="24" t="s">
        <v>766</v>
      </c>
      <c r="G166" s="24" t="s">
        <v>767</v>
      </c>
      <c r="H166" s="24" t="s">
        <v>768</v>
      </c>
      <c r="I166" s="24"/>
      <c r="J166" s="24"/>
      <c r="K166" s="24"/>
      <c r="L166" s="24"/>
      <c r="M166" s="24"/>
      <c r="N166" s="24"/>
      <c r="O166" s="24"/>
      <c r="P166" s="24"/>
      <c r="Q166" s="24"/>
      <c r="R166" s="24"/>
      <c r="S166" s="24"/>
      <c r="T166" s="24"/>
      <c r="U166" s="24"/>
      <c r="V166" s="24"/>
      <c r="W166" s="24"/>
      <c r="X166" s="24"/>
      <c r="Y166" s="24"/>
      <c r="Z166" s="24"/>
    </row>
    <row r="167" ht="45" customHeight="1" spans="1:26">
      <c r="A167" s="50">
        <v>157</v>
      </c>
      <c r="B167" s="50" t="s">
        <v>741</v>
      </c>
      <c r="C167" s="50" t="s">
        <v>742</v>
      </c>
      <c r="D167" s="24" t="s">
        <v>769</v>
      </c>
      <c r="E167" s="24" t="s">
        <v>770</v>
      </c>
      <c r="F167" s="24" t="s">
        <v>771</v>
      </c>
      <c r="G167" s="24" t="s">
        <v>772</v>
      </c>
      <c r="H167" s="24" t="s">
        <v>773</v>
      </c>
      <c r="I167" s="24"/>
      <c r="J167" s="24"/>
      <c r="K167" s="24"/>
      <c r="L167" s="24"/>
      <c r="M167" s="24"/>
      <c r="N167" s="24"/>
      <c r="O167" s="24"/>
      <c r="P167" s="24"/>
      <c r="Q167" s="24"/>
      <c r="R167" s="24"/>
      <c r="S167" s="24"/>
      <c r="T167" s="24"/>
      <c r="U167" s="24"/>
      <c r="V167" s="24"/>
      <c r="W167" s="24"/>
      <c r="X167" s="24"/>
      <c r="Y167" s="24"/>
      <c r="Z167" s="24"/>
    </row>
    <row r="168" ht="58" customHeight="1" spans="1:26">
      <c r="A168" s="50">
        <v>158</v>
      </c>
      <c r="B168" s="50" t="s">
        <v>741</v>
      </c>
      <c r="C168" s="50" t="s">
        <v>742</v>
      </c>
      <c r="D168" s="24" t="s">
        <v>774</v>
      </c>
      <c r="E168" s="24" t="s">
        <v>775</v>
      </c>
      <c r="F168" s="24" t="s">
        <v>776</v>
      </c>
      <c r="G168" s="24" t="s">
        <v>777</v>
      </c>
      <c r="H168" s="24" t="s">
        <v>778</v>
      </c>
      <c r="I168" s="24"/>
      <c r="J168" s="24"/>
      <c r="K168" s="24"/>
      <c r="L168" s="24"/>
      <c r="M168" s="24"/>
      <c r="N168" s="24"/>
      <c r="O168" s="24"/>
      <c r="P168" s="24"/>
      <c r="Q168" s="24"/>
      <c r="R168" s="24"/>
      <c r="S168" s="24"/>
      <c r="T168" s="24"/>
      <c r="U168" s="24"/>
      <c r="V168" s="24"/>
      <c r="W168" s="24"/>
      <c r="X168" s="24"/>
      <c r="Y168" s="24"/>
      <c r="Z168" s="24"/>
    </row>
    <row r="169" ht="45" customHeight="1" spans="1:26">
      <c r="A169" s="50">
        <v>159</v>
      </c>
      <c r="B169" s="50" t="s">
        <v>741</v>
      </c>
      <c r="C169" s="50" t="s">
        <v>742</v>
      </c>
      <c r="D169" s="24" t="s">
        <v>779</v>
      </c>
      <c r="E169" s="24" t="s">
        <v>780</v>
      </c>
      <c r="F169" s="24" t="s">
        <v>779</v>
      </c>
      <c r="G169" s="24" t="s">
        <v>781</v>
      </c>
      <c r="H169" s="24" t="s">
        <v>782</v>
      </c>
      <c r="I169" s="24"/>
      <c r="J169" s="24"/>
      <c r="K169" s="24"/>
      <c r="L169" s="24"/>
      <c r="M169" s="24"/>
      <c r="N169" s="24"/>
      <c r="O169" s="24"/>
      <c r="P169" s="24"/>
      <c r="Q169" s="24"/>
      <c r="R169" s="24"/>
      <c r="S169" s="24"/>
      <c r="T169" s="24"/>
      <c r="U169" s="24"/>
      <c r="V169" s="24"/>
      <c r="W169" s="24"/>
      <c r="X169" s="24"/>
      <c r="Y169" s="24"/>
      <c r="Z169" s="24"/>
    </row>
    <row r="170" ht="45" customHeight="1" spans="1:26">
      <c r="A170" s="50">
        <v>160</v>
      </c>
      <c r="B170" s="50" t="s">
        <v>741</v>
      </c>
      <c r="C170" s="50" t="s">
        <v>742</v>
      </c>
      <c r="D170" s="24" t="s">
        <v>783</v>
      </c>
      <c r="E170" s="24" t="s">
        <v>784</v>
      </c>
      <c r="F170" s="24" t="s">
        <v>783</v>
      </c>
      <c r="G170" s="24" t="s">
        <v>785</v>
      </c>
      <c r="H170" s="24" t="s">
        <v>786</v>
      </c>
      <c r="I170" s="24"/>
      <c r="J170" s="24"/>
      <c r="K170" s="24"/>
      <c r="L170" s="24"/>
      <c r="M170" s="24"/>
      <c r="N170" s="24"/>
      <c r="O170" s="24"/>
      <c r="P170" s="24"/>
      <c r="Q170" s="24"/>
      <c r="R170" s="24"/>
      <c r="S170" s="24"/>
      <c r="T170" s="24"/>
      <c r="U170" s="24"/>
      <c r="V170" s="24"/>
      <c r="W170" s="24"/>
      <c r="X170" s="24"/>
      <c r="Y170" s="24"/>
      <c r="Z170" s="24"/>
    </row>
    <row r="171" ht="45" customHeight="1" spans="1:26">
      <c r="A171" s="50">
        <v>161</v>
      </c>
      <c r="B171" s="50" t="s">
        <v>741</v>
      </c>
      <c r="C171" s="50" t="s">
        <v>742</v>
      </c>
      <c r="D171" s="24" t="s">
        <v>787</v>
      </c>
      <c r="E171" s="24" t="s">
        <v>788</v>
      </c>
      <c r="F171" s="24" t="s">
        <v>787</v>
      </c>
      <c r="G171" s="24" t="s">
        <v>789</v>
      </c>
      <c r="H171" s="24" t="s">
        <v>790</v>
      </c>
      <c r="I171" s="24"/>
      <c r="J171" s="24"/>
      <c r="K171" s="24"/>
      <c r="L171" s="24"/>
      <c r="M171" s="24"/>
      <c r="N171" s="24"/>
      <c r="O171" s="24"/>
      <c r="P171" s="24"/>
      <c r="Q171" s="24"/>
      <c r="R171" s="24"/>
      <c r="S171" s="24"/>
      <c r="T171" s="24"/>
      <c r="U171" s="24"/>
      <c r="V171" s="24"/>
      <c r="W171" s="24"/>
      <c r="X171" s="24"/>
      <c r="Y171" s="24"/>
      <c r="Z171" s="24"/>
    </row>
    <row r="172" ht="58" customHeight="1" spans="1:26">
      <c r="A172" s="50">
        <v>162</v>
      </c>
      <c r="B172" s="50" t="s">
        <v>741</v>
      </c>
      <c r="C172" s="50" t="s">
        <v>742</v>
      </c>
      <c r="D172" s="24" t="s">
        <v>791</v>
      </c>
      <c r="E172" s="24" t="s">
        <v>792</v>
      </c>
      <c r="F172" s="24" t="s">
        <v>793</v>
      </c>
      <c r="G172" s="24" t="s">
        <v>794</v>
      </c>
      <c r="H172" s="24" t="s">
        <v>795</v>
      </c>
      <c r="I172" s="24"/>
      <c r="J172" s="24"/>
      <c r="K172" s="24"/>
      <c r="L172" s="24"/>
      <c r="M172" s="24"/>
      <c r="N172" s="24"/>
      <c r="O172" s="24"/>
      <c r="P172" s="24"/>
      <c r="Q172" s="24"/>
      <c r="R172" s="24"/>
      <c r="S172" s="24"/>
      <c r="T172" s="24"/>
      <c r="U172" s="24"/>
      <c r="V172" s="24"/>
      <c r="W172" s="24"/>
      <c r="X172" s="24"/>
      <c r="Y172" s="24"/>
      <c r="Z172" s="24"/>
    </row>
    <row r="173" ht="97" customHeight="1" spans="1:26">
      <c r="A173" s="50">
        <v>163</v>
      </c>
      <c r="B173" s="50" t="s">
        <v>741</v>
      </c>
      <c r="C173" s="50" t="s">
        <v>742</v>
      </c>
      <c r="D173" s="24" t="s">
        <v>796</v>
      </c>
      <c r="E173" s="24" t="s">
        <v>797</v>
      </c>
      <c r="F173" s="24" t="s">
        <v>798</v>
      </c>
      <c r="G173" s="24" t="s">
        <v>799</v>
      </c>
      <c r="H173" s="24" t="s">
        <v>800</v>
      </c>
      <c r="I173" s="24"/>
      <c r="J173" s="24"/>
      <c r="K173" s="24"/>
      <c r="L173" s="24"/>
      <c r="M173" s="24"/>
      <c r="N173" s="24"/>
      <c r="O173" s="24"/>
      <c r="P173" s="24"/>
      <c r="Q173" s="24"/>
      <c r="R173" s="24"/>
      <c r="S173" s="24"/>
      <c r="T173" s="24"/>
      <c r="U173" s="24"/>
      <c r="V173" s="24"/>
      <c r="W173" s="24"/>
      <c r="X173" s="24"/>
      <c r="Y173" s="24"/>
      <c r="Z173" s="24"/>
    </row>
    <row r="174" ht="97" customHeight="1" spans="1:26">
      <c r="A174" s="50">
        <v>164</v>
      </c>
      <c r="B174" s="50" t="s">
        <v>741</v>
      </c>
      <c r="C174" s="50" t="s">
        <v>742</v>
      </c>
      <c r="D174" s="24" t="s">
        <v>801</v>
      </c>
      <c r="E174" s="24" t="s">
        <v>802</v>
      </c>
      <c r="F174" s="24" t="s">
        <v>801</v>
      </c>
      <c r="G174" s="24" t="s">
        <v>803</v>
      </c>
      <c r="H174" s="24" t="s">
        <v>804</v>
      </c>
      <c r="I174" s="24"/>
      <c r="J174" s="24"/>
      <c r="K174" s="24"/>
      <c r="L174" s="24"/>
      <c r="M174" s="24"/>
      <c r="N174" s="24"/>
      <c r="O174" s="24"/>
      <c r="P174" s="24"/>
      <c r="Q174" s="24"/>
      <c r="R174" s="24"/>
      <c r="S174" s="24"/>
      <c r="T174" s="24"/>
      <c r="U174" s="24"/>
      <c r="V174" s="24"/>
      <c r="W174" s="24"/>
      <c r="X174" s="24"/>
      <c r="Y174" s="24"/>
      <c r="Z174" s="24"/>
    </row>
    <row r="175" ht="58" customHeight="1" spans="1:26">
      <c r="A175" s="50">
        <v>165</v>
      </c>
      <c r="B175" s="50" t="s">
        <v>741</v>
      </c>
      <c r="C175" s="50" t="s">
        <v>742</v>
      </c>
      <c r="D175" s="24" t="s">
        <v>805</v>
      </c>
      <c r="E175" s="24" t="s">
        <v>806</v>
      </c>
      <c r="F175" s="24" t="s">
        <v>807</v>
      </c>
      <c r="G175" s="24" t="s">
        <v>808</v>
      </c>
      <c r="H175" s="24" t="s">
        <v>809</v>
      </c>
      <c r="I175" s="24"/>
      <c r="J175" s="24"/>
      <c r="K175" s="24"/>
      <c r="L175" s="24"/>
      <c r="M175" s="24"/>
      <c r="N175" s="24"/>
      <c r="O175" s="24"/>
      <c r="P175" s="24"/>
      <c r="Q175" s="24"/>
      <c r="R175" s="24"/>
      <c r="S175" s="24"/>
      <c r="T175" s="24"/>
      <c r="U175" s="24"/>
      <c r="V175" s="24"/>
      <c r="W175" s="24"/>
      <c r="X175" s="24"/>
      <c r="Y175" s="24"/>
      <c r="Z175" s="24"/>
    </row>
    <row r="176" ht="58" customHeight="1" spans="1:26">
      <c r="A176" s="50">
        <v>166</v>
      </c>
      <c r="B176" s="50" t="s">
        <v>741</v>
      </c>
      <c r="C176" s="50" t="s">
        <v>742</v>
      </c>
      <c r="D176" s="24" t="s">
        <v>810</v>
      </c>
      <c r="E176" s="24" t="s">
        <v>811</v>
      </c>
      <c r="F176" s="24" t="s">
        <v>810</v>
      </c>
      <c r="G176" s="24" t="s">
        <v>812</v>
      </c>
      <c r="H176" s="24" t="s">
        <v>813</v>
      </c>
      <c r="I176" s="24"/>
      <c r="J176" s="24"/>
      <c r="K176" s="24"/>
      <c r="L176" s="24"/>
      <c r="M176" s="24"/>
      <c r="N176" s="24"/>
      <c r="O176" s="24"/>
      <c r="P176" s="24"/>
      <c r="Q176" s="24"/>
      <c r="R176" s="24"/>
      <c r="S176" s="24"/>
      <c r="T176" s="24"/>
      <c r="U176" s="24"/>
      <c r="V176" s="24"/>
      <c r="W176" s="24"/>
      <c r="X176" s="24"/>
      <c r="Y176" s="24"/>
      <c r="Z176" s="24"/>
    </row>
    <row r="177" ht="32" customHeight="1" spans="1:26">
      <c r="A177" s="50">
        <v>167</v>
      </c>
      <c r="B177" s="50" t="s">
        <v>714</v>
      </c>
      <c r="C177" s="50" t="s">
        <v>715</v>
      </c>
      <c r="D177" s="24" t="s">
        <v>814</v>
      </c>
      <c r="E177" s="24" t="s">
        <v>815</v>
      </c>
      <c r="F177" s="24" t="s">
        <v>814</v>
      </c>
      <c r="G177" s="24" t="s">
        <v>816</v>
      </c>
      <c r="H177" s="24" t="s">
        <v>817</v>
      </c>
      <c r="I177" s="24"/>
      <c r="J177" s="24"/>
      <c r="K177" s="24"/>
      <c r="L177" s="24"/>
      <c r="M177" s="24"/>
      <c r="N177" s="24"/>
      <c r="O177" s="24"/>
      <c r="P177" s="24"/>
      <c r="Q177" s="24"/>
      <c r="R177" s="24"/>
      <c r="S177" s="24"/>
      <c r="T177" s="24"/>
      <c r="U177" s="24"/>
      <c r="V177" s="24"/>
      <c r="W177" s="24"/>
      <c r="X177" s="24"/>
      <c r="Y177" s="24"/>
      <c r="Z177" s="24"/>
    </row>
    <row r="178" ht="71" customHeight="1" spans="1:26">
      <c r="A178" s="50">
        <v>168</v>
      </c>
      <c r="B178" s="50" t="s">
        <v>714</v>
      </c>
      <c r="C178" s="50" t="s">
        <v>715</v>
      </c>
      <c r="D178" s="24" t="s">
        <v>818</v>
      </c>
      <c r="E178" s="24" t="s">
        <v>819</v>
      </c>
      <c r="F178" s="24" t="s">
        <v>820</v>
      </c>
      <c r="G178" s="24" t="s">
        <v>821</v>
      </c>
      <c r="H178" s="24" t="s">
        <v>822</v>
      </c>
      <c r="I178" s="24"/>
      <c r="J178" s="24"/>
      <c r="K178" s="24"/>
      <c r="L178" s="24"/>
      <c r="M178" s="24"/>
      <c r="N178" s="24"/>
      <c r="O178" s="24"/>
      <c r="P178" s="24"/>
      <c r="Q178" s="24"/>
      <c r="R178" s="24"/>
      <c r="S178" s="24"/>
      <c r="T178" s="24"/>
      <c r="U178" s="24"/>
      <c r="V178" s="24"/>
      <c r="W178" s="24"/>
      <c r="X178" s="24"/>
      <c r="Y178" s="24"/>
      <c r="Z178" s="24"/>
    </row>
    <row r="179" ht="84" customHeight="1" spans="1:26">
      <c r="A179" s="50">
        <v>169</v>
      </c>
      <c r="B179" s="50" t="s">
        <v>714</v>
      </c>
      <c r="C179" s="50" t="s">
        <v>715</v>
      </c>
      <c r="D179" s="24" t="s">
        <v>823</v>
      </c>
      <c r="E179" s="24" t="s">
        <v>824</v>
      </c>
      <c r="F179" s="24" t="s">
        <v>823</v>
      </c>
      <c r="G179" s="24" t="s">
        <v>825</v>
      </c>
      <c r="H179" s="24" t="s">
        <v>826</v>
      </c>
      <c r="I179" s="24"/>
      <c r="J179" s="24"/>
      <c r="K179" s="24"/>
      <c r="L179" s="24"/>
      <c r="M179" s="24"/>
      <c r="N179" s="24"/>
      <c r="O179" s="24"/>
      <c r="P179" s="24"/>
      <c r="Q179" s="24"/>
      <c r="R179" s="24"/>
      <c r="S179" s="24"/>
      <c r="T179" s="24"/>
      <c r="U179" s="24"/>
      <c r="V179" s="24"/>
      <c r="W179" s="24"/>
      <c r="X179" s="24"/>
      <c r="Y179" s="24"/>
      <c r="Z179" s="24"/>
    </row>
    <row r="180" ht="45" customHeight="1" spans="1:26">
      <c r="A180" s="50">
        <v>170</v>
      </c>
      <c r="B180" s="50" t="s">
        <v>714</v>
      </c>
      <c r="C180" s="50" t="s">
        <v>715</v>
      </c>
      <c r="D180" s="24" t="s">
        <v>827</v>
      </c>
      <c r="E180" s="24" t="s">
        <v>828</v>
      </c>
      <c r="F180" s="24" t="s">
        <v>827</v>
      </c>
      <c r="G180" s="24" t="s">
        <v>829</v>
      </c>
      <c r="H180" s="24" t="s">
        <v>830</v>
      </c>
      <c r="I180" s="24"/>
      <c r="J180" s="24"/>
      <c r="K180" s="24"/>
      <c r="L180" s="24"/>
      <c r="M180" s="24"/>
      <c r="N180" s="24"/>
      <c r="O180" s="24"/>
      <c r="P180" s="24"/>
      <c r="Q180" s="24"/>
      <c r="R180" s="24"/>
      <c r="S180" s="24"/>
      <c r="T180" s="24"/>
      <c r="U180" s="24"/>
      <c r="V180" s="24"/>
      <c r="W180" s="24"/>
      <c r="X180" s="24"/>
      <c r="Y180" s="24"/>
      <c r="Z180" s="24"/>
    </row>
    <row r="181" ht="84" customHeight="1" spans="1:26">
      <c r="A181" s="50">
        <v>171</v>
      </c>
      <c r="B181" s="50" t="s">
        <v>714</v>
      </c>
      <c r="C181" s="50" t="s">
        <v>715</v>
      </c>
      <c r="D181" s="24" t="s">
        <v>831</v>
      </c>
      <c r="E181" s="24" t="s">
        <v>832</v>
      </c>
      <c r="F181" s="24" t="s">
        <v>831</v>
      </c>
      <c r="G181" s="24" t="s">
        <v>833</v>
      </c>
      <c r="H181" s="24" t="s">
        <v>834</v>
      </c>
      <c r="I181" s="24"/>
      <c r="J181" s="24"/>
      <c r="K181" s="24"/>
      <c r="L181" s="24"/>
      <c r="M181" s="24"/>
      <c r="N181" s="24"/>
      <c r="O181" s="24"/>
      <c r="P181" s="24"/>
      <c r="Q181" s="24"/>
      <c r="R181" s="24"/>
      <c r="S181" s="24"/>
      <c r="T181" s="24"/>
      <c r="U181" s="24"/>
      <c r="V181" s="24"/>
      <c r="W181" s="24"/>
      <c r="X181" s="24"/>
      <c r="Y181" s="24"/>
      <c r="Z181" s="24"/>
    </row>
    <row r="182" ht="32" customHeight="1" spans="1:26">
      <c r="A182" s="50">
        <v>172</v>
      </c>
      <c r="B182" s="50" t="s">
        <v>714</v>
      </c>
      <c r="C182" s="50" t="s">
        <v>715</v>
      </c>
      <c r="D182" s="24" t="s">
        <v>835</v>
      </c>
      <c r="E182" s="24" t="s">
        <v>836</v>
      </c>
      <c r="F182" s="24" t="s">
        <v>835</v>
      </c>
      <c r="G182" s="24" t="s">
        <v>837</v>
      </c>
      <c r="H182" s="24" t="s">
        <v>838</v>
      </c>
      <c r="I182" s="24"/>
      <c r="J182" s="24"/>
      <c r="K182" s="24"/>
      <c r="L182" s="24"/>
      <c r="M182" s="24"/>
      <c r="N182" s="24"/>
      <c r="O182" s="24"/>
      <c r="P182" s="24"/>
      <c r="Q182" s="24"/>
      <c r="R182" s="24"/>
      <c r="S182" s="24"/>
      <c r="T182" s="24"/>
      <c r="U182" s="24"/>
      <c r="V182" s="24"/>
      <c r="W182" s="24"/>
      <c r="X182" s="24"/>
      <c r="Y182" s="24"/>
      <c r="Z182" s="24"/>
    </row>
    <row r="183" ht="71" customHeight="1" spans="1:26">
      <c r="A183" s="50">
        <v>173</v>
      </c>
      <c r="B183" s="50" t="s">
        <v>714</v>
      </c>
      <c r="C183" s="50" t="s">
        <v>715</v>
      </c>
      <c r="D183" s="24" t="s">
        <v>839</v>
      </c>
      <c r="E183" s="24" t="s">
        <v>840</v>
      </c>
      <c r="F183" s="24" t="s">
        <v>841</v>
      </c>
      <c r="G183" s="24" t="s">
        <v>842</v>
      </c>
      <c r="H183" s="24" t="s">
        <v>843</v>
      </c>
      <c r="I183" s="24"/>
      <c r="J183" s="24"/>
      <c r="K183" s="24"/>
      <c r="L183" s="24"/>
      <c r="M183" s="24"/>
      <c r="N183" s="24"/>
      <c r="O183" s="24"/>
      <c r="P183" s="24"/>
      <c r="Q183" s="24"/>
      <c r="R183" s="24"/>
      <c r="S183" s="24"/>
      <c r="T183" s="24"/>
      <c r="U183" s="24"/>
      <c r="V183" s="24"/>
      <c r="W183" s="24"/>
      <c r="X183" s="24"/>
      <c r="Y183" s="24"/>
      <c r="Z183" s="24"/>
    </row>
    <row r="184" ht="84" customHeight="1" spans="1:26">
      <c r="A184" s="50">
        <v>174</v>
      </c>
      <c r="B184" s="50" t="s">
        <v>714</v>
      </c>
      <c r="C184" s="50" t="s">
        <v>715</v>
      </c>
      <c r="D184" s="24" t="s">
        <v>844</v>
      </c>
      <c r="E184" s="24" t="s">
        <v>845</v>
      </c>
      <c r="F184" s="24" t="s">
        <v>846</v>
      </c>
      <c r="G184" s="24" t="s">
        <v>847</v>
      </c>
      <c r="H184" s="24" t="s">
        <v>848</v>
      </c>
      <c r="I184" s="24"/>
      <c r="J184" s="24"/>
      <c r="K184" s="24"/>
      <c r="L184" s="24"/>
      <c r="M184" s="24"/>
      <c r="N184" s="24"/>
      <c r="O184" s="24"/>
      <c r="P184" s="24"/>
      <c r="Q184" s="24"/>
      <c r="R184" s="24"/>
      <c r="S184" s="24"/>
      <c r="T184" s="24"/>
      <c r="U184" s="24"/>
      <c r="V184" s="24"/>
      <c r="W184" s="24"/>
      <c r="X184" s="24"/>
      <c r="Y184" s="24"/>
      <c r="Z184" s="24"/>
    </row>
    <row r="185" ht="58" customHeight="1" spans="1:26">
      <c r="A185" s="50">
        <v>175</v>
      </c>
      <c r="B185" s="50" t="s">
        <v>714</v>
      </c>
      <c r="C185" s="50" t="s">
        <v>715</v>
      </c>
      <c r="D185" s="24" t="s">
        <v>849</v>
      </c>
      <c r="E185" s="24" t="s">
        <v>850</v>
      </c>
      <c r="F185" s="24" t="s">
        <v>851</v>
      </c>
      <c r="G185" s="24" t="s">
        <v>852</v>
      </c>
      <c r="H185" s="24" t="s">
        <v>853</v>
      </c>
      <c r="I185" s="24"/>
      <c r="J185" s="24"/>
      <c r="K185" s="24"/>
      <c r="L185" s="24"/>
      <c r="M185" s="24"/>
      <c r="N185" s="24"/>
      <c r="O185" s="24"/>
      <c r="P185" s="24"/>
      <c r="Q185" s="24"/>
      <c r="R185" s="24"/>
      <c r="S185" s="24"/>
      <c r="T185" s="24"/>
      <c r="U185" s="24"/>
      <c r="V185" s="24"/>
      <c r="W185" s="24"/>
      <c r="X185" s="24"/>
      <c r="Y185" s="24"/>
      <c r="Z185" s="24"/>
    </row>
    <row r="186" ht="58" customHeight="1" spans="1:26">
      <c r="A186" s="50">
        <v>176</v>
      </c>
      <c r="B186" s="50" t="s">
        <v>741</v>
      </c>
      <c r="C186" s="50" t="s">
        <v>742</v>
      </c>
      <c r="D186" s="24" t="s">
        <v>854</v>
      </c>
      <c r="E186" s="24" t="s">
        <v>855</v>
      </c>
      <c r="F186" s="24" t="s">
        <v>854</v>
      </c>
      <c r="G186" s="24" t="s">
        <v>856</v>
      </c>
      <c r="H186" s="24" t="s">
        <v>857</v>
      </c>
      <c r="I186" s="24"/>
      <c r="J186" s="24"/>
      <c r="K186" s="24"/>
      <c r="L186" s="24"/>
      <c r="M186" s="24"/>
      <c r="N186" s="24"/>
      <c r="O186" s="24"/>
      <c r="P186" s="24"/>
      <c r="Q186" s="24"/>
      <c r="R186" s="24"/>
      <c r="S186" s="24"/>
      <c r="T186" s="24"/>
      <c r="U186" s="24"/>
      <c r="V186" s="24"/>
      <c r="W186" s="24"/>
      <c r="X186" s="24"/>
      <c r="Y186" s="24"/>
      <c r="Z186" s="24"/>
    </row>
    <row r="187" ht="71" customHeight="1" spans="1:26">
      <c r="A187" s="50">
        <v>177</v>
      </c>
      <c r="B187" s="50" t="s">
        <v>741</v>
      </c>
      <c r="C187" s="50" t="s">
        <v>742</v>
      </c>
      <c r="D187" s="24" t="s">
        <v>858</v>
      </c>
      <c r="E187" s="24" t="s">
        <v>859</v>
      </c>
      <c r="F187" s="24" t="s">
        <v>858</v>
      </c>
      <c r="G187" s="24" t="s">
        <v>860</v>
      </c>
      <c r="H187" s="24" t="s">
        <v>861</v>
      </c>
      <c r="I187" s="24"/>
      <c r="J187" s="24"/>
      <c r="K187" s="24"/>
      <c r="L187" s="24"/>
      <c r="M187" s="24"/>
      <c r="N187" s="24"/>
      <c r="O187" s="24"/>
      <c r="P187" s="24"/>
      <c r="Q187" s="24"/>
      <c r="R187" s="24"/>
      <c r="S187" s="24"/>
      <c r="T187" s="24"/>
      <c r="U187" s="24"/>
      <c r="V187" s="24"/>
      <c r="W187" s="24"/>
      <c r="X187" s="24"/>
      <c r="Y187" s="24"/>
      <c r="Z187" s="24"/>
    </row>
    <row r="188" ht="45" customHeight="1" spans="1:26">
      <c r="A188" s="50">
        <v>178</v>
      </c>
      <c r="B188" s="50" t="s">
        <v>741</v>
      </c>
      <c r="C188" s="50" t="s">
        <v>742</v>
      </c>
      <c r="D188" s="24" t="s">
        <v>862</v>
      </c>
      <c r="E188" s="24" t="s">
        <v>863</v>
      </c>
      <c r="F188" s="24" t="s">
        <v>862</v>
      </c>
      <c r="G188" s="24" t="s">
        <v>864</v>
      </c>
      <c r="H188" s="24" t="s">
        <v>865</v>
      </c>
      <c r="I188" s="24"/>
      <c r="J188" s="24"/>
      <c r="K188" s="24"/>
      <c r="L188" s="24"/>
      <c r="M188" s="24"/>
      <c r="N188" s="24"/>
      <c r="O188" s="24"/>
      <c r="P188" s="24"/>
      <c r="Q188" s="24"/>
      <c r="R188" s="24"/>
      <c r="S188" s="24"/>
      <c r="T188" s="24"/>
      <c r="U188" s="24"/>
      <c r="V188" s="24"/>
      <c r="W188" s="24"/>
      <c r="X188" s="24"/>
      <c r="Y188" s="24"/>
      <c r="Z188" s="24"/>
    </row>
    <row r="189" ht="84" customHeight="1" spans="1:26">
      <c r="A189" s="50">
        <v>179</v>
      </c>
      <c r="B189" s="50" t="s">
        <v>741</v>
      </c>
      <c r="C189" s="50" t="s">
        <v>742</v>
      </c>
      <c r="D189" s="24" t="s">
        <v>866</v>
      </c>
      <c r="E189" s="24" t="s">
        <v>867</v>
      </c>
      <c r="F189" s="24" t="s">
        <v>866</v>
      </c>
      <c r="G189" s="24" t="s">
        <v>868</v>
      </c>
      <c r="H189" s="24" t="s">
        <v>869</v>
      </c>
      <c r="I189" s="24"/>
      <c r="J189" s="24"/>
      <c r="K189" s="24"/>
      <c r="L189" s="24"/>
      <c r="M189" s="24"/>
      <c r="N189" s="24"/>
      <c r="O189" s="24"/>
      <c r="P189" s="24"/>
      <c r="Q189" s="24"/>
      <c r="R189" s="24"/>
      <c r="S189" s="24"/>
      <c r="T189" s="24"/>
      <c r="U189" s="24"/>
      <c r="V189" s="24"/>
      <c r="W189" s="24"/>
      <c r="X189" s="24"/>
      <c r="Y189" s="24"/>
      <c r="Z189" s="24"/>
    </row>
    <row r="190" ht="58" customHeight="1" spans="1:26">
      <c r="A190" s="50">
        <v>180</v>
      </c>
      <c r="B190" s="50" t="s">
        <v>741</v>
      </c>
      <c r="C190" s="50" t="s">
        <v>742</v>
      </c>
      <c r="D190" s="24" t="s">
        <v>870</v>
      </c>
      <c r="E190" s="24" t="s">
        <v>871</v>
      </c>
      <c r="F190" s="24" t="s">
        <v>872</v>
      </c>
      <c r="G190" s="24" t="s">
        <v>873</v>
      </c>
      <c r="H190" s="24" t="s">
        <v>874</v>
      </c>
      <c r="I190" s="24"/>
      <c r="J190" s="24"/>
      <c r="K190" s="24"/>
      <c r="L190" s="24"/>
      <c r="M190" s="24"/>
      <c r="N190" s="24"/>
      <c r="O190" s="24"/>
      <c r="P190" s="24"/>
      <c r="Q190" s="24"/>
      <c r="R190" s="24"/>
      <c r="S190" s="24"/>
      <c r="T190" s="24"/>
      <c r="U190" s="24"/>
      <c r="V190" s="24"/>
      <c r="W190" s="24"/>
      <c r="X190" s="24"/>
      <c r="Y190" s="24"/>
      <c r="Z190" s="24"/>
    </row>
    <row r="191" ht="84" customHeight="1" spans="1:26">
      <c r="A191" s="50">
        <v>181</v>
      </c>
      <c r="B191" s="50" t="s">
        <v>741</v>
      </c>
      <c r="C191" s="50" t="s">
        <v>742</v>
      </c>
      <c r="D191" s="24" t="s">
        <v>875</v>
      </c>
      <c r="E191" s="24" t="s">
        <v>876</v>
      </c>
      <c r="F191" s="24" t="s">
        <v>875</v>
      </c>
      <c r="G191" s="24" t="s">
        <v>877</v>
      </c>
      <c r="H191" s="24" t="s">
        <v>878</v>
      </c>
      <c r="I191" s="24"/>
      <c r="J191" s="24"/>
      <c r="K191" s="24"/>
      <c r="L191" s="24"/>
      <c r="M191" s="24"/>
      <c r="N191" s="24"/>
      <c r="O191" s="24"/>
      <c r="P191" s="24"/>
      <c r="Q191" s="24"/>
      <c r="R191" s="24"/>
      <c r="S191" s="24"/>
      <c r="T191" s="24"/>
      <c r="U191" s="24"/>
      <c r="V191" s="24"/>
      <c r="W191" s="24"/>
      <c r="X191" s="24"/>
      <c r="Y191" s="24"/>
      <c r="Z191" s="24"/>
    </row>
    <row r="192" ht="45" customHeight="1" spans="1:26">
      <c r="A192" s="50">
        <v>182</v>
      </c>
      <c r="B192" s="50" t="s">
        <v>741</v>
      </c>
      <c r="C192" s="50" t="s">
        <v>742</v>
      </c>
      <c r="D192" s="24" t="s">
        <v>879</v>
      </c>
      <c r="E192" s="24" t="s">
        <v>880</v>
      </c>
      <c r="F192" s="24" t="s">
        <v>879</v>
      </c>
      <c r="G192" s="24" t="s">
        <v>881</v>
      </c>
      <c r="H192" s="24" t="s">
        <v>882</v>
      </c>
      <c r="I192" s="24"/>
      <c r="J192" s="24"/>
      <c r="K192" s="24"/>
      <c r="L192" s="24"/>
      <c r="M192" s="24"/>
      <c r="N192" s="24"/>
      <c r="O192" s="24"/>
      <c r="P192" s="24"/>
      <c r="Q192" s="24"/>
      <c r="R192" s="24"/>
      <c r="S192" s="24"/>
      <c r="T192" s="24"/>
      <c r="U192" s="24"/>
      <c r="V192" s="24"/>
      <c r="W192" s="24"/>
      <c r="X192" s="24"/>
      <c r="Y192" s="24"/>
      <c r="Z192" s="24"/>
    </row>
    <row r="193" ht="71" customHeight="1" spans="1:26">
      <c r="A193" s="50">
        <v>183</v>
      </c>
      <c r="B193" s="50" t="s">
        <v>741</v>
      </c>
      <c r="C193" s="50" t="s">
        <v>742</v>
      </c>
      <c r="D193" s="24" t="s">
        <v>883</v>
      </c>
      <c r="E193" s="24" t="s">
        <v>884</v>
      </c>
      <c r="F193" s="24" t="s">
        <v>883</v>
      </c>
      <c r="G193" s="24" t="s">
        <v>885</v>
      </c>
      <c r="H193" s="24" t="s">
        <v>886</v>
      </c>
      <c r="I193" s="24"/>
      <c r="J193" s="24"/>
      <c r="K193" s="24"/>
      <c r="L193" s="24"/>
      <c r="M193" s="24"/>
      <c r="N193" s="24"/>
      <c r="O193" s="24"/>
      <c r="P193" s="24"/>
      <c r="Q193" s="24"/>
      <c r="R193" s="24"/>
      <c r="S193" s="24"/>
      <c r="T193" s="24"/>
      <c r="U193" s="24"/>
      <c r="V193" s="24"/>
      <c r="W193" s="24"/>
      <c r="X193" s="24"/>
      <c r="Y193" s="24"/>
      <c r="Z193" s="24"/>
    </row>
    <row r="194" ht="71" customHeight="1" spans="1:26">
      <c r="A194" s="50">
        <v>184</v>
      </c>
      <c r="B194" s="50" t="s">
        <v>741</v>
      </c>
      <c r="C194" s="50" t="s">
        <v>742</v>
      </c>
      <c r="D194" s="24" t="s">
        <v>887</v>
      </c>
      <c r="E194" s="24" t="s">
        <v>888</v>
      </c>
      <c r="F194" s="24" t="s">
        <v>889</v>
      </c>
      <c r="G194" s="24" t="s">
        <v>890</v>
      </c>
      <c r="H194" s="24" t="s">
        <v>891</v>
      </c>
      <c r="I194" s="24"/>
      <c r="J194" s="24"/>
      <c r="K194" s="24"/>
      <c r="L194" s="24"/>
      <c r="M194" s="24"/>
      <c r="N194" s="24"/>
      <c r="O194" s="24"/>
      <c r="P194" s="24"/>
      <c r="Q194" s="24"/>
      <c r="R194" s="24"/>
      <c r="S194" s="24"/>
      <c r="T194" s="24"/>
      <c r="U194" s="24"/>
      <c r="V194" s="24"/>
      <c r="W194" s="24"/>
      <c r="X194" s="24"/>
      <c r="Y194" s="24"/>
      <c r="Z194" s="24"/>
    </row>
    <row r="195" ht="45" customHeight="1" spans="1:26">
      <c r="A195" s="50">
        <v>185</v>
      </c>
      <c r="B195" s="50" t="s">
        <v>741</v>
      </c>
      <c r="C195" s="50" t="s">
        <v>742</v>
      </c>
      <c r="D195" s="24" t="s">
        <v>892</v>
      </c>
      <c r="E195" s="24" t="s">
        <v>893</v>
      </c>
      <c r="F195" s="24" t="s">
        <v>892</v>
      </c>
      <c r="G195" s="24" t="s">
        <v>894</v>
      </c>
      <c r="H195" s="24" t="s">
        <v>895</v>
      </c>
      <c r="I195" s="24"/>
      <c r="J195" s="24"/>
      <c r="K195" s="24"/>
      <c r="L195" s="24"/>
      <c r="M195" s="24"/>
      <c r="N195" s="24"/>
      <c r="O195" s="24"/>
      <c r="P195" s="24"/>
      <c r="Q195" s="24"/>
      <c r="R195" s="24"/>
      <c r="S195" s="24"/>
      <c r="T195" s="24"/>
      <c r="U195" s="24"/>
      <c r="V195" s="24"/>
      <c r="W195" s="24"/>
      <c r="X195" s="24"/>
      <c r="Y195" s="24"/>
      <c r="Z195" s="24"/>
    </row>
    <row r="196" ht="58" customHeight="1" spans="1:26">
      <c r="A196" s="50">
        <v>186</v>
      </c>
      <c r="B196" s="50" t="s">
        <v>896</v>
      </c>
      <c r="C196" s="50" t="s">
        <v>897</v>
      </c>
      <c r="D196" s="24" t="s">
        <v>898</v>
      </c>
      <c r="E196" s="24" t="s">
        <v>899</v>
      </c>
      <c r="F196" s="24" t="s">
        <v>900</v>
      </c>
      <c r="G196" s="24" t="s">
        <v>901</v>
      </c>
      <c r="H196" s="24" t="s">
        <v>902</v>
      </c>
      <c r="I196" s="24"/>
      <c r="J196" s="24"/>
      <c r="K196" s="24"/>
      <c r="L196" s="24"/>
      <c r="M196" s="24"/>
      <c r="N196" s="24"/>
      <c r="O196" s="24"/>
      <c r="P196" s="24"/>
      <c r="Q196" s="24"/>
      <c r="R196" s="24"/>
      <c r="S196" s="24"/>
      <c r="T196" s="24"/>
      <c r="U196" s="24"/>
      <c r="V196" s="24"/>
      <c r="W196" s="24"/>
      <c r="X196" s="24"/>
      <c r="Y196" s="24"/>
      <c r="Z196" s="24"/>
    </row>
    <row r="197" ht="45" customHeight="1" spans="1:26">
      <c r="A197" s="50">
        <v>187</v>
      </c>
      <c r="B197" s="50" t="s">
        <v>896</v>
      </c>
      <c r="C197" s="50" t="s">
        <v>897</v>
      </c>
      <c r="D197" s="24" t="s">
        <v>903</v>
      </c>
      <c r="E197" s="24" t="s">
        <v>904</v>
      </c>
      <c r="F197" s="24" t="s">
        <v>903</v>
      </c>
      <c r="G197" s="24" t="s">
        <v>905</v>
      </c>
      <c r="H197" s="24" t="s">
        <v>906</v>
      </c>
      <c r="I197" s="24"/>
      <c r="J197" s="24"/>
      <c r="K197" s="24"/>
      <c r="L197" s="24"/>
      <c r="M197" s="24"/>
      <c r="N197" s="24"/>
      <c r="O197" s="24"/>
      <c r="P197" s="24"/>
      <c r="Q197" s="24"/>
      <c r="R197" s="24"/>
      <c r="S197" s="24"/>
      <c r="T197" s="24"/>
      <c r="U197" s="24"/>
      <c r="V197" s="24"/>
      <c r="W197" s="24"/>
      <c r="X197" s="24"/>
      <c r="Y197" s="24"/>
      <c r="Z197" s="24"/>
    </row>
    <row r="198" ht="58" customHeight="1" spans="1:26">
      <c r="A198" s="50">
        <v>188</v>
      </c>
      <c r="B198" s="50" t="s">
        <v>896</v>
      </c>
      <c r="C198" s="50" t="s">
        <v>897</v>
      </c>
      <c r="D198" s="24" t="s">
        <v>907</v>
      </c>
      <c r="E198" s="24" t="s">
        <v>908</v>
      </c>
      <c r="F198" s="24" t="s">
        <v>909</v>
      </c>
      <c r="G198" s="24" t="s">
        <v>910</v>
      </c>
      <c r="H198" s="24" t="s">
        <v>911</v>
      </c>
      <c r="I198" s="24"/>
      <c r="J198" s="24"/>
      <c r="K198" s="24"/>
      <c r="L198" s="24"/>
      <c r="M198" s="24"/>
      <c r="N198" s="24"/>
      <c r="O198" s="24"/>
      <c r="P198" s="24"/>
      <c r="Q198" s="24"/>
      <c r="R198" s="24"/>
      <c r="S198" s="24"/>
      <c r="T198" s="24"/>
      <c r="U198" s="24"/>
      <c r="V198" s="24"/>
      <c r="W198" s="24"/>
      <c r="X198" s="24"/>
      <c r="Y198" s="24"/>
      <c r="Z198" s="24"/>
    </row>
    <row r="199" ht="71" customHeight="1" spans="1:26">
      <c r="A199" s="50">
        <v>189</v>
      </c>
      <c r="B199" s="50" t="s">
        <v>896</v>
      </c>
      <c r="C199" s="50" t="s">
        <v>897</v>
      </c>
      <c r="D199" s="24" t="s">
        <v>912</v>
      </c>
      <c r="E199" s="24" t="s">
        <v>913</v>
      </c>
      <c r="F199" s="24" t="s">
        <v>914</v>
      </c>
      <c r="G199" s="24" t="s">
        <v>915</v>
      </c>
      <c r="H199" s="24" t="s">
        <v>916</v>
      </c>
      <c r="I199" s="24"/>
      <c r="J199" s="24"/>
      <c r="K199" s="24"/>
      <c r="L199" s="24"/>
      <c r="M199" s="24"/>
      <c r="N199" s="24"/>
      <c r="O199" s="24"/>
      <c r="P199" s="24"/>
      <c r="Q199" s="24"/>
      <c r="R199" s="24"/>
      <c r="S199" s="24"/>
      <c r="T199" s="24"/>
      <c r="U199" s="24"/>
      <c r="V199" s="24"/>
      <c r="W199" s="24"/>
      <c r="X199" s="24"/>
      <c r="Y199" s="24"/>
      <c r="Z199" s="24"/>
    </row>
    <row r="200" ht="84" customHeight="1" spans="1:26">
      <c r="A200" s="50">
        <v>190</v>
      </c>
      <c r="B200" s="50" t="s">
        <v>896</v>
      </c>
      <c r="C200" s="50" t="s">
        <v>897</v>
      </c>
      <c r="D200" s="24" t="s">
        <v>917</v>
      </c>
      <c r="E200" s="24" t="s">
        <v>918</v>
      </c>
      <c r="F200" s="24" t="s">
        <v>919</v>
      </c>
      <c r="G200" s="24" t="s">
        <v>920</v>
      </c>
      <c r="H200" s="24" t="s">
        <v>921</v>
      </c>
      <c r="I200" s="24"/>
      <c r="J200" s="24"/>
      <c r="K200" s="24"/>
      <c r="L200" s="24"/>
      <c r="M200" s="24"/>
      <c r="N200" s="24"/>
      <c r="O200" s="24"/>
      <c r="P200" s="24"/>
      <c r="Q200" s="24"/>
      <c r="R200" s="24"/>
      <c r="S200" s="24"/>
      <c r="T200" s="24"/>
      <c r="U200" s="24"/>
      <c r="V200" s="24"/>
      <c r="W200" s="24"/>
      <c r="X200" s="24"/>
      <c r="Y200" s="24"/>
      <c r="Z200" s="24"/>
    </row>
    <row r="201" ht="32" customHeight="1" spans="1:26">
      <c r="A201" s="50">
        <v>191</v>
      </c>
      <c r="B201" s="50" t="s">
        <v>922</v>
      </c>
      <c r="C201" s="50" t="s">
        <v>923</v>
      </c>
      <c r="D201" s="24" t="s">
        <v>924</v>
      </c>
      <c r="E201" s="24" t="s">
        <v>925</v>
      </c>
      <c r="F201" s="24" t="s">
        <v>924</v>
      </c>
      <c r="G201" s="24" t="s">
        <v>926</v>
      </c>
      <c r="H201" s="24" t="s">
        <v>927</v>
      </c>
      <c r="I201" s="24"/>
      <c r="J201" s="24"/>
      <c r="K201" s="24"/>
      <c r="L201" s="24"/>
      <c r="M201" s="24"/>
      <c r="N201" s="24"/>
      <c r="O201" s="24"/>
      <c r="P201" s="24"/>
      <c r="Q201" s="24"/>
      <c r="R201" s="24"/>
      <c r="S201" s="24"/>
      <c r="T201" s="24"/>
      <c r="U201" s="24"/>
      <c r="V201" s="24"/>
      <c r="W201" s="24"/>
      <c r="X201" s="24"/>
      <c r="Y201" s="24"/>
      <c r="Z201" s="24"/>
    </row>
    <row r="202" ht="32" customHeight="1" spans="1:26">
      <c r="A202" s="50">
        <v>192</v>
      </c>
      <c r="B202" s="50" t="s">
        <v>922</v>
      </c>
      <c r="C202" s="50" t="s">
        <v>923</v>
      </c>
      <c r="D202" s="24" t="s">
        <v>928</v>
      </c>
      <c r="E202" s="24" t="s">
        <v>929</v>
      </c>
      <c r="F202" s="24" t="s">
        <v>928</v>
      </c>
      <c r="G202" s="24" t="s">
        <v>930</v>
      </c>
      <c r="H202" s="24" t="s">
        <v>931</v>
      </c>
      <c r="I202" s="24"/>
      <c r="J202" s="24"/>
      <c r="K202" s="24"/>
      <c r="L202" s="24"/>
      <c r="M202" s="24"/>
      <c r="N202" s="24"/>
      <c r="O202" s="24"/>
      <c r="P202" s="24"/>
      <c r="Q202" s="24"/>
      <c r="R202" s="24"/>
      <c r="S202" s="24"/>
      <c r="T202" s="24"/>
      <c r="U202" s="24"/>
      <c r="V202" s="24"/>
      <c r="W202" s="24"/>
      <c r="X202" s="24"/>
      <c r="Y202" s="24"/>
      <c r="Z202" s="24"/>
    </row>
    <row r="203" ht="32" customHeight="1" spans="1:26">
      <c r="A203" s="50">
        <v>193</v>
      </c>
      <c r="B203" s="50" t="s">
        <v>922</v>
      </c>
      <c r="C203" s="50" t="s">
        <v>923</v>
      </c>
      <c r="D203" s="24" t="s">
        <v>932</v>
      </c>
      <c r="E203" s="24" t="s">
        <v>933</v>
      </c>
      <c r="F203" s="24" t="s">
        <v>932</v>
      </c>
      <c r="G203" s="24" t="s">
        <v>934</v>
      </c>
      <c r="H203" s="24" t="s">
        <v>935</v>
      </c>
      <c r="I203" s="24"/>
      <c r="J203" s="24"/>
      <c r="K203" s="24"/>
      <c r="L203" s="24"/>
      <c r="M203" s="24"/>
      <c r="N203" s="24"/>
      <c r="O203" s="24"/>
      <c r="P203" s="24"/>
      <c r="Q203" s="24"/>
      <c r="R203" s="24"/>
      <c r="S203" s="24"/>
      <c r="T203" s="24"/>
      <c r="U203" s="24"/>
      <c r="V203" s="24"/>
      <c r="W203" s="24"/>
      <c r="X203" s="24"/>
      <c r="Y203" s="24"/>
      <c r="Z203" s="24"/>
    </row>
    <row r="204" ht="32" customHeight="1" spans="1:26">
      <c r="A204" s="50">
        <v>194</v>
      </c>
      <c r="B204" s="50" t="s">
        <v>922</v>
      </c>
      <c r="C204" s="50" t="s">
        <v>923</v>
      </c>
      <c r="D204" s="24" t="s">
        <v>936</v>
      </c>
      <c r="E204" s="24" t="s">
        <v>937</v>
      </c>
      <c r="F204" s="24" t="s">
        <v>936</v>
      </c>
      <c r="G204" s="24" t="s">
        <v>938</v>
      </c>
      <c r="H204" s="24" t="s">
        <v>939</v>
      </c>
      <c r="I204" s="24"/>
      <c r="J204" s="24"/>
      <c r="K204" s="24"/>
      <c r="L204" s="24"/>
      <c r="M204" s="24"/>
      <c r="N204" s="24"/>
      <c r="O204" s="24"/>
      <c r="P204" s="24"/>
      <c r="Q204" s="24"/>
      <c r="R204" s="24"/>
      <c r="S204" s="24"/>
      <c r="T204" s="24"/>
      <c r="U204" s="24"/>
      <c r="V204" s="24"/>
      <c r="W204" s="24"/>
      <c r="X204" s="24"/>
      <c r="Y204" s="24"/>
      <c r="Z204" s="24"/>
    </row>
    <row r="205" ht="32" customHeight="1" spans="1:26">
      <c r="A205" s="50">
        <v>195</v>
      </c>
      <c r="B205" s="50" t="s">
        <v>922</v>
      </c>
      <c r="C205" s="50" t="s">
        <v>923</v>
      </c>
      <c r="D205" s="24" t="s">
        <v>940</v>
      </c>
      <c r="E205" s="24" t="s">
        <v>941</v>
      </c>
      <c r="F205" s="24" t="s">
        <v>940</v>
      </c>
      <c r="G205" s="24" t="s">
        <v>942</v>
      </c>
      <c r="H205" s="24" t="s">
        <v>943</v>
      </c>
      <c r="I205" s="24"/>
      <c r="J205" s="24"/>
      <c r="K205" s="24"/>
      <c r="L205" s="24"/>
      <c r="M205" s="24"/>
      <c r="N205" s="24"/>
      <c r="O205" s="24"/>
      <c r="P205" s="24"/>
      <c r="Q205" s="24"/>
      <c r="R205" s="24"/>
      <c r="S205" s="24"/>
      <c r="T205" s="24"/>
      <c r="U205" s="24"/>
      <c r="V205" s="24"/>
      <c r="W205" s="24"/>
      <c r="X205" s="24"/>
      <c r="Y205" s="24"/>
      <c r="Z205" s="24"/>
    </row>
    <row r="206" ht="32" customHeight="1" spans="1:26">
      <c r="A206" s="50">
        <v>196</v>
      </c>
      <c r="B206" s="50" t="s">
        <v>922</v>
      </c>
      <c r="C206" s="50" t="s">
        <v>923</v>
      </c>
      <c r="D206" s="24" t="s">
        <v>944</v>
      </c>
      <c r="E206" s="24" t="s">
        <v>945</v>
      </c>
      <c r="F206" s="24" t="s">
        <v>944</v>
      </c>
      <c r="G206" s="24" t="s">
        <v>946</v>
      </c>
      <c r="H206" s="24" t="s">
        <v>947</v>
      </c>
      <c r="I206" s="24"/>
      <c r="J206" s="24"/>
      <c r="K206" s="24"/>
      <c r="L206" s="24"/>
      <c r="M206" s="24"/>
      <c r="N206" s="24"/>
      <c r="O206" s="24"/>
      <c r="P206" s="24"/>
      <c r="Q206" s="24"/>
      <c r="R206" s="24"/>
      <c r="S206" s="24"/>
      <c r="T206" s="24"/>
      <c r="U206" s="24"/>
      <c r="V206" s="24"/>
      <c r="W206" s="24"/>
      <c r="X206" s="24"/>
      <c r="Y206" s="24"/>
      <c r="Z206" s="24"/>
    </row>
    <row r="207" ht="32" customHeight="1" spans="1:26">
      <c r="A207" s="50">
        <v>197</v>
      </c>
      <c r="B207" s="50" t="s">
        <v>922</v>
      </c>
      <c r="C207" s="50" t="s">
        <v>923</v>
      </c>
      <c r="D207" s="24" t="s">
        <v>948</v>
      </c>
      <c r="E207" s="24" t="s">
        <v>949</v>
      </c>
      <c r="F207" s="24" t="s">
        <v>948</v>
      </c>
      <c r="G207" s="24" t="s">
        <v>950</v>
      </c>
      <c r="H207" s="24" t="s">
        <v>951</v>
      </c>
      <c r="I207" s="24"/>
      <c r="J207" s="24"/>
      <c r="K207" s="24"/>
      <c r="L207" s="24"/>
      <c r="M207" s="24"/>
      <c r="N207" s="24"/>
      <c r="O207" s="24"/>
      <c r="P207" s="24"/>
      <c r="Q207" s="24"/>
      <c r="R207" s="24"/>
      <c r="S207" s="24"/>
      <c r="T207" s="24"/>
      <c r="U207" s="24"/>
      <c r="V207" s="24"/>
      <c r="W207" s="24"/>
      <c r="X207" s="24"/>
      <c r="Y207" s="24"/>
      <c r="Z207" s="24"/>
    </row>
    <row r="208" ht="32" customHeight="1" spans="1:26">
      <c r="A208" s="50">
        <v>198</v>
      </c>
      <c r="B208" s="50" t="s">
        <v>922</v>
      </c>
      <c r="C208" s="50" t="s">
        <v>923</v>
      </c>
      <c r="D208" s="24" t="s">
        <v>952</v>
      </c>
      <c r="E208" s="24" t="s">
        <v>953</v>
      </c>
      <c r="F208" s="24" t="s">
        <v>954</v>
      </c>
      <c r="G208" s="24" t="s">
        <v>955</v>
      </c>
      <c r="H208" s="24" t="s">
        <v>956</v>
      </c>
      <c r="I208" s="24"/>
      <c r="J208" s="24"/>
      <c r="K208" s="24"/>
      <c r="L208" s="24"/>
      <c r="M208" s="24"/>
      <c r="N208" s="24"/>
      <c r="O208" s="24"/>
      <c r="P208" s="24"/>
      <c r="Q208" s="24"/>
      <c r="R208" s="24"/>
      <c r="S208" s="24"/>
      <c r="T208" s="24"/>
      <c r="U208" s="24"/>
      <c r="V208" s="24"/>
      <c r="W208" s="24"/>
      <c r="X208" s="24"/>
      <c r="Y208" s="24"/>
      <c r="Z208" s="24"/>
    </row>
    <row r="209" ht="32" customHeight="1" spans="1:26">
      <c r="A209" s="50">
        <v>199</v>
      </c>
      <c r="B209" s="50" t="s">
        <v>922</v>
      </c>
      <c r="C209" s="50" t="s">
        <v>923</v>
      </c>
      <c r="D209" s="24" t="s">
        <v>957</v>
      </c>
      <c r="E209" s="24" t="s">
        <v>958</v>
      </c>
      <c r="F209" s="24" t="s">
        <v>957</v>
      </c>
      <c r="G209" s="24" t="s">
        <v>959</v>
      </c>
      <c r="H209" s="24" t="s">
        <v>960</v>
      </c>
      <c r="I209" s="24"/>
      <c r="J209" s="24"/>
      <c r="K209" s="24"/>
      <c r="L209" s="24"/>
      <c r="M209" s="24"/>
      <c r="N209" s="24"/>
      <c r="O209" s="24"/>
      <c r="P209" s="24"/>
      <c r="Q209" s="24"/>
      <c r="R209" s="24"/>
      <c r="S209" s="24"/>
      <c r="T209" s="24"/>
      <c r="U209" s="24"/>
      <c r="V209" s="24"/>
      <c r="W209" s="24"/>
      <c r="X209" s="24"/>
      <c r="Y209" s="24"/>
      <c r="Z209" s="24"/>
    </row>
    <row r="210" ht="32" customHeight="1" spans="1:26">
      <c r="A210" s="50">
        <v>200</v>
      </c>
      <c r="B210" s="50" t="s">
        <v>922</v>
      </c>
      <c r="C210" s="50" t="s">
        <v>923</v>
      </c>
      <c r="D210" s="24" t="s">
        <v>961</v>
      </c>
      <c r="E210" s="24" t="s">
        <v>962</v>
      </c>
      <c r="F210" s="24" t="s">
        <v>963</v>
      </c>
      <c r="G210" s="24" t="s">
        <v>964</v>
      </c>
      <c r="H210" s="24" t="s">
        <v>965</v>
      </c>
      <c r="I210" s="24"/>
      <c r="J210" s="24"/>
      <c r="K210" s="24"/>
      <c r="L210" s="24"/>
      <c r="M210" s="24"/>
      <c r="N210" s="24"/>
      <c r="O210" s="24"/>
      <c r="P210" s="24"/>
      <c r="Q210" s="24"/>
      <c r="R210" s="24"/>
      <c r="S210" s="24"/>
      <c r="T210" s="24"/>
      <c r="U210" s="24"/>
      <c r="V210" s="24"/>
      <c r="W210" s="24"/>
      <c r="X210" s="24"/>
      <c r="Y210" s="24"/>
      <c r="Z210" s="24"/>
    </row>
    <row r="211" ht="32" customHeight="1" spans="1:26">
      <c r="A211" s="50">
        <v>201</v>
      </c>
      <c r="B211" s="50" t="s">
        <v>922</v>
      </c>
      <c r="C211" s="50" t="s">
        <v>923</v>
      </c>
      <c r="D211" s="24" t="s">
        <v>966</v>
      </c>
      <c r="E211" s="24" t="s">
        <v>967</v>
      </c>
      <c r="F211" s="24" t="s">
        <v>968</v>
      </c>
      <c r="G211" s="24" t="s">
        <v>969</v>
      </c>
      <c r="H211" s="24" t="s">
        <v>970</v>
      </c>
      <c r="I211" s="24"/>
      <c r="J211" s="24"/>
      <c r="K211" s="24"/>
      <c r="L211" s="24"/>
      <c r="M211" s="24"/>
      <c r="N211" s="24"/>
      <c r="O211" s="24"/>
      <c r="P211" s="24"/>
      <c r="Q211" s="24"/>
      <c r="R211" s="24"/>
      <c r="S211" s="24"/>
      <c r="T211" s="24"/>
      <c r="U211" s="24"/>
      <c r="V211" s="24"/>
      <c r="W211" s="24"/>
      <c r="X211" s="24"/>
      <c r="Y211" s="24"/>
      <c r="Z211" s="24"/>
    </row>
    <row r="212" ht="45" customHeight="1" spans="1:26">
      <c r="A212" s="50">
        <v>202</v>
      </c>
      <c r="B212" s="50" t="s">
        <v>922</v>
      </c>
      <c r="C212" s="50" t="s">
        <v>923</v>
      </c>
      <c r="D212" s="24" t="s">
        <v>971</v>
      </c>
      <c r="E212" s="24" t="s">
        <v>972</v>
      </c>
      <c r="F212" s="24" t="s">
        <v>971</v>
      </c>
      <c r="G212" s="24" t="s">
        <v>973</v>
      </c>
      <c r="H212" s="24" t="s">
        <v>974</v>
      </c>
      <c r="I212" s="24"/>
      <c r="J212" s="24"/>
      <c r="K212" s="24"/>
      <c r="L212" s="24"/>
      <c r="M212" s="24"/>
      <c r="N212" s="24"/>
      <c r="O212" s="24"/>
      <c r="P212" s="24"/>
      <c r="Q212" s="24"/>
      <c r="R212" s="24"/>
      <c r="S212" s="24"/>
      <c r="T212" s="24"/>
      <c r="U212" s="24"/>
      <c r="V212" s="24"/>
      <c r="W212" s="24"/>
      <c r="X212" s="24"/>
      <c r="Y212" s="24"/>
      <c r="Z212" s="24"/>
    </row>
    <row r="213" ht="32" customHeight="1" spans="1:26">
      <c r="A213" s="50">
        <v>203</v>
      </c>
      <c r="B213" s="50" t="s">
        <v>922</v>
      </c>
      <c r="C213" s="50" t="s">
        <v>923</v>
      </c>
      <c r="D213" s="24" t="s">
        <v>975</v>
      </c>
      <c r="E213" s="24" t="s">
        <v>976</v>
      </c>
      <c r="F213" s="24" t="s">
        <v>975</v>
      </c>
      <c r="G213" s="24" t="s">
        <v>977</v>
      </c>
      <c r="H213" s="24" t="s">
        <v>978</v>
      </c>
      <c r="I213" s="24"/>
      <c r="J213" s="24"/>
      <c r="K213" s="24"/>
      <c r="L213" s="24"/>
      <c r="M213" s="24"/>
      <c r="N213" s="24"/>
      <c r="O213" s="24"/>
      <c r="P213" s="24"/>
      <c r="Q213" s="24"/>
      <c r="R213" s="24"/>
      <c r="S213" s="24"/>
      <c r="T213" s="24"/>
      <c r="U213" s="24"/>
      <c r="V213" s="24"/>
      <c r="W213" s="24"/>
      <c r="X213" s="24"/>
      <c r="Y213" s="24"/>
      <c r="Z213" s="24"/>
    </row>
    <row r="214" ht="32" customHeight="1" spans="1:26">
      <c r="A214" s="50">
        <v>204</v>
      </c>
      <c r="B214" s="50" t="s">
        <v>922</v>
      </c>
      <c r="C214" s="50" t="s">
        <v>923</v>
      </c>
      <c r="D214" s="24" t="s">
        <v>979</v>
      </c>
      <c r="E214" s="24" t="s">
        <v>980</v>
      </c>
      <c r="F214" s="24" t="s">
        <v>979</v>
      </c>
      <c r="G214" s="24" t="s">
        <v>981</v>
      </c>
      <c r="H214" s="24" t="s">
        <v>982</v>
      </c>
      <c r="I214" s="24"/>
      <c r="J214" s="24"/>
      <c r="K214" s="24"/>
      <c r="L214" s="24"/>
      <c r="M214" s="24"/>
      <c r="N214" s="24"/>
      <c r="O214" s="24"/>
      <c r="P214" s="24"/>
      <c r="Q214" s="24"/>
      <c r="R214" s="24"/>
      <c r="S214" s="24"/>
      <c r="T214" s="24"/>
      <c r="U214" s="24"/>
      <c r="V214" s="24"/>
      <c r="W214" s="24"/>
      <c r="X214" s="24"/>
      <c r="Y214" s="24"/>
      <c r="Z214" s="24"/>
    </row>
    <row r="215" ht="32" customHeight="1" spans="1:26">
      <c r="A215" s="50">
        <v>205</v>
      </c>
      <c r="B215" s="50" t="s">
        <v>922</v>
      </c>
      <c r="C215" s="50" t="s">
        <v>923</v>
      </c>
      <c r="D215" s="24" t="s">
        <v>983</v>
      </c>
      <c r="E215" s="24" t="s">
        <v>984</v>
      </c>
      <c r="F215" s="24" t="s">
        <v>983</v>
      </c>
      <c r="G215" s="24" t="s">
        <v>985</v>
      </c>
      <c r="H215" s="24" t="s">
        <v>986</v>
      </c>
      <c r="I215" s="24"/>
      <c r="J215" s="24"/>
      <c r="K215" s="24"/>
      <c r="L215" s="24"/>
      <c r="M215" s="24"/>
      <c r="N215" s="24"/>
      <c r="O215" s="24"/>
      <c r="P215" s="24"/>
      <c r="Q215" s="24"/>
      <c r="R215" s="24"/>
      <c r="S215" s="24"/>
      <c r="T215" s="24"/>
      <c r="U215" s="24"/>
      <c r="V215" s="24"/>
      <c r="W215" s="24"/>
      <c r="X215" s="24"/>
      <c r="Y215" s="24"/>
      <c r="Z215" s="24"/>
    </row>
    <row r="216" ht="32" customHeight="1" spans="1:26">
      <c r="A216" s="50">
        <v>206</v>
      </c>
      <c r="B216" s="50" t="s">
        <v>922</v>
      </c>
      <c r="C216" s="50" t="s">
        <v>923</v>
      </c>
      <c r="D216" s="24" t="s">
        <v>987</v>
      </c>
      <c r="E216" s="24" t="s">
        <v>988</v>
      </c>
      <c r="F216" s="24" t="s">
        <v>987</v>
      </c>
      <c r="G216" s="24" t="s">
        <v>989</v>
      </c>
      <c r="H216" s="24" t="s">
        <v>990</v>
      </c>
      <c r="I216" s="24"/>
      <c r="J216" s="24"/>
      <c r="K216" s="24"/>
      <c r="L216" s="24"/>
      <c r="M216" s="24"/>
      <c r="N216" s="24"/>
      <c r="O216" s="24"/>
      <c r="P216" s="24"/>
      <c r="Q216" s="24"/>
      <c r="R216" s="24"/>
      <c r="S216" s="24"/>
      <c r="T216" s="24"/>
      <c r="U216" s="24"/>
      <c r="V216" s="24"/>
      <c r="W216" s="24"/>
      <c r="X216" s="24"/>
      <c r="Y216" s="24"/>
      <c r="Z216" s="24"/>
    </row>
    <row r="217" ht="32" customHeight="1" spans="1:26">
      <c r="A217" s="50">
        <v>207</v>
      </c>
      <c r="B217" s="50" t="s">
        <v>922</v>
      </c>
      <c r="C217" s="50" t="s">
        <v>923</v>
      </c>
      <c r="D217" s="24" t="s">
        <v>991</v>
      </c>
      <c r="E217" s="24" t="s">
        <v>992</v>
      </c>
      <c r="F217" s="24" t="s">
        <v>991</v>
      </c>
      <c r="G217" s="24" t="s">
        <v>993</v>
      </c>
      <c r="H217" s="24" t="s">
        <v>994</v>
      </c>
      <c r="I217" s="24"/>
      <c r="J217" s="24"/>
      <c r="K217" s="24"/>
      <c r="L217" s="24"/>
      <c r="M217" s="24"/>
      <c r="N217" s="24"/>
      <c r="O217" s="24"/>
      <c r="P217" s="24"/>
      <c r="Q217" s="24"/>
      <c r="R217" s="24"/>
      <c r="S217" s="24"/>
      <c r="T217" s="24"/>
      <c r="U217" s="24"/>
      <c r="V217" s="24"/>
      <c r="W217" s="24"/>
      <c r="X217" s="24"/>
      <c r="Y217" s="24"/>
      <c r="Z217" s="24"/>
    </row>
    <row r="218" ht="32" customHeight="1" spans="1:26">
      <c r="A218" s="50">
        <v>208</v>
      </c>
      <c r="B218" s="50" t="s">
        <v>922</v>
      </c>
      <c r="C218" s="50" t="s">
        <v>923</v>
      </c>
      <c r="D218" s="24" t="s">
        <v>995</v>
      </c>
      <c r="E218" s="24" t="s">
        <v>996</v>
      </c>
      <c r="F218" s="24" t="s">
        <v>995</v>
      </c>
      <c r="G218" s="24" t="s">
        <v>997</v>
      </c>
      <c r="H218" s="24" t="s">
        <v>998</v>
      </c>
      <c r="I218" s="24"/>
      <c r="J218" s="24"/>
      <c r="K218" s="24"/>
      <c r="L218" s="24"/>
      <c r="M218" s="24"/>
      <c r="N218" s="24"/>
      <c r="O218" s="24"/>
      <c r="P218" s="24"/>
      <c r="Q218" s="24"/>
      <c r="R218" s="24"/>
      <c r="S218" s="24"/>
      <c r="T218" s="24"/>
      <c r="U218" s="24"/>
      <c r="V218" s="24"/>
      <c r="W218" s="24"/>
      <c r="X218" s="24"/>
      <c r="Y218" s="24"/>
      <c r="Z218" s="24"/>
    </row>
    <row r="219" ht="15.5" customHeight="1" spans="1:26">
      <c r="A219" s="50"/>
      <c r="B219" s="50"/>
      <c r="C219" s="50"/>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ht="15.5" customHeight="1" spans="1:26">
      <c r="A220" s="50"/>
      <c r="B220" s="50"/>
      <c r="C220" s="50"/>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ht="15.5" customHeight="1" spans="1:26">
      <c r="A221" s="50"/>
      <c r="B221" s="50"/>
      <c r="C221" s="50"/>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ht="15.5" customHeight="1" spans="1:26">
      <c r="A222" s="50"/>
      <c r="B222" s="50"/>
      <c r="C222" s="50"/>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ht="15.5" customHeight="1" spans="1:26">
      <c r="A223" s="50"/>
      <c r="B223" s="50"/>
      <c r="C223" s="50"/>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ht="15.5" customHeight="1" spans="1:26">
      <c r="A224" s="50"/>
      <c r="B224" s="50"/>
      <c r="C224" s="50"/>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ht="15.5" customHeight="1" spans="1:26">
      <c r="A225" s="50"/>
      <c r="B225" s="50"/>
      <c r="C225" s="50"/>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ht="15.5" customHeight="1" spans="1:26">
      <c r="A226" s="50"/>
      <c r="B226" s="50"/>
      <c r="C226" s="50"/>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ht="15.5" customHeight="1" spans="1:26">
      <c r="A227" s="50"/>
      <c r="B227" s="50"/>
      <c r="C227" s="50"/>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ht="15.5" customHeight="1" spans="1:26">
      <c r="A228" s="50"/>
      <c r="B228" s="50"/>
      <c r="C228" s="50"/>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ht="15.5" customHeight="1" spans="1:26">
      <c r="A229" s="50"/>
      <c r="B229" s="50"/>
      <c r="C229" s="50"/>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ht="15.5" customHeight="1" spans="1:26">
      <c r="A230" s="50"/>
      <c r="B230" s="50"/>
      <c r="C230" s="50"/>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ht="15.5" customHeight="1" spans="1:26">
      <c r="A231" s="50"/>
      <c r="B231" s="50"/>
      <c r="C231" s="50"/>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ht="15.5" customHeight="1" spans="1:26">
      <c r="A232" s="50"/>
      <c r="B232" s="50"/>
      <c r="C232" s="50"/>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ht="15.5" customHeight="1" spans="1:26">
      <c r="A233" s="50"/>
      <c r="B233" s="50"/>
      <c r="C233" s="50"/>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ht="15.5" customHeight="1" spans="1:26">
      <c r="A234" s="50"/>
      <c r="B234" s="50"/>
      <c r="C234" s="50"/>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ht="15.5" customHeight="1" spans="1:26">
      <c r="A235" s="50"/>
      <c r="B235" s="50"/>
      <c r="C235" s="50"/>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ht="15.5" customHeight="1" spans="1:26">
      <c r="A236" s="50"/>
      <c r="B236" s="50"/>
      <c r="C236" s="50"/>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ht="15.5" customHeight="1" spans="1:26">
      <c r="A237" s="50"/>
      <c r="B237" s="50"/>
      <c r="C237" s="50"/>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ht="15.5" customHeight="1" spans="1:26">
      <c r="A238" s="50"/>
      <c r="B238" s="50"/>
      <c r="C238" s="50"/>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ht="15.5" customHeight="1" spans="1:26">
      <c r="A239" s="50"/>
      <c r="B239" s="50"/>
      <c r="C239" s="50"/>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ht="15.5" customHeight="1" spans="1:26">
      <c r="A240" s="50"/>
      <c r="B240" s="50"/>
      <c r="C240" s="50"/>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ht="15.5" customHeight="1" spans="1:26">
      <c r="A241" s="50"/>
      <c r="B241" s="50"/>
      <c r="C241" s="50"/>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ht="15.5" customHeight="1" spans="1:26">
      <c r="A242" s="50"/>
      <c r="B242" s="50"/>
      <c r="C242" s="50"/>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ht="15.5" customHeight="1" spans="1:26">
      <c r="A243" s="50"/>
      <c r="B243" s="50"/>
      <c r="C243" s="50"/>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ht="15.5" customHeight="1" spans="1:26">
      <c r="A244" s="50"/>
      <c r="B244" s="50"/>
      <c r="C244" s="50"/>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ht="15.5" customHeight="1" spans="1:26">
      <c r="A245" s="50"/>
      <c r="B245" s="50"/>
      <c r="C245" s="50"/>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ht="15.5" customHeight="1" spans="1:26">
      <c r="A246" s="50"/>
      <c r="B246" s="50"/>
      <c r="C246" s="50"/>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ht="15.5" customHeight="1" spans="1:26">
      <c r="A247" s="50"/>
      <c r="B247" s="50"/>
      <c r="C247" s="50"/>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ht="15.5" customHeight="1" spans="1:26">
      <c r="A248" s="50"/>
      <c r="B248" s="50"/>
      <c r="C248" s="50"/>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ht="15.5" customHeight="1" spans="1:26">
      <c r="A249" s="50"/>
      <c r="B249" s="50"/>
      <c r="C249" s="50"/>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ht="15.5" customHeight="1" spans="1:26">
      <c r="A250" s="50"/>
      <c r="B250" s="50"/>
      <c r="C250" s="50"/>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ht="15.5" customHeight="1" spans="1:26">
      <c r="A251" s="50"/>
      <c r="B251" s="50"/>
      <c r="C251" s="50"/>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ht="15.5" customHeight="1" spans="1:26">
      <c r="A252" s="50"/>
      <c r="B252" s="50"/>
      <c r="C252" s="50"/>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ht="15.5" customHeight="1" spans="1:26">
      <c r="A253" s="50"/>
      <c r="B253" s="50"/>
      <c r="C253" s="50"/>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ht="15.5" customHeight="1" spans="1:26">
      <c r="A254" s="50"/>
      <c r="B254" s="50"/>
      <c r="C254" s="50"/>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ht="15.5" customHeight="1" spans="1:26">
      <c r="A255" s="50"/>
      <c r="B255" s="50"/>
      <c r="C255" s="50"/>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ht="15.5" customHeight="1" spans="1:26">
      <c r="A256" s="50"/>
      <c r="B256" s="50"/>
      <c r="C256" s="50"/>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ht="15.5" customHeight="1" spans="1:26">
      <c r="A257" s="50"/>
      <c r="B257" s="50"/>
      <c r="C257" s="50"/>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ht="15.5" customHeight="1" spans="1:26">
      <c r="A258" s="50"/>
      <c r="B258" s="50"/>
      <c r="C258" s="50"/>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ht="15.5" customHeight="1" spans="1:26">
      <c r="A259" s="50"/>
      <c r="B259" s="50"/>
      <c r="C259" s="50"/>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ht="15.5" customHeight="1" spans="1:26">
      <c r="A260" s="50"/>
      <c r="B260" s="50"/>
      <c r="C260" s="50"/>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ht="15.5" customHeight="1" spans="1:26">
      <c r="A261" s="50"/>
      <c r="B261" s="50"/>
      <c r="C261" s="50"/>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ht="15.5" customHeight="1" spans="1:26">
      <c r="A262" s="50"/>
      <c r="B262" s="50"/>
      <c r="C262" s="50"/>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ht="15.5" customHeight="1" spans="1:26">
      <c r="A263" s="50"/>
      <c r="B263" s="50"/>
      <c r="C263" s="50"/>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ht="15.5" customHeight="1" spans="1:26">
      <c r="A264" s="50"/>
      <c r="B264" s="50"/>
      <c r="C264" s="50"/>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ht="15.5" customHeight="1" spans="1:26">
      <c r="A265" s="50"/>
      <c r="B265" s="50"/>
      <c r="C265" s="50"/>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ht="15.5" customHeight="1" spans="1:26">
      <c r="A266" s="50"/>
      <c r="B266" s="50"/>
      <c r="C266" s="50"/>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ht="15.5" customHeight="1" spans="1:26">
      <c r="A267" s="50"/>
      <c r="B267" s="50"/>
      <c r="C267" s="50"/>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ht="15.5" customHeight="1" spans="1:26">
      <c r="A268" s="50"/>
      <c r="B268" s="50"/>
      <c r="C268" s="50"/>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ht="15.5" customHeight="1" spans="1:26">
      <c r="A269" s="50"/>
      <c r="B269" s="50"/>
      <c r="C269" s="50"/>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ht="15.5" customHeight="1" spans="1:26">
      <c r="A270" s="50"/>
      <c r="B270" s="50"/>
      <c r="C270" s="50"/>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ht="15.5" customHeight="1" spans="1:26">
      <c r="A271" s="50"/>
      <c r="B271" s="50"/>
      <c r="C271" s="50"/>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ht="15.5" customHeight="1" spans="1:26">
      <c r="A272" s="50"/>
      <c r="B272" s="50"/>
      <c r="C272" s="50"/>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ht="15.5" customHeight="1" spans="1:26">
      <c r="A273" s="50"/>
      <c r="B273" s="50"/>
      <c r="C273" s="50"/>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ht="15.5" customHeight="1" spans="1:26">
      <c r="A274" s="50"/>
      <c r="B274" s="50"/>
      <c r="C274" s="50"/>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ht="15.5" customHeight="1" spans="1:26">
      <c r="A275" s="50"/>
      <c r="B275" s="50"/>
      <c r="C275" s="50"/>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ht="15.5" customHeight="1" spans="1:26">
      <c r="A276" s="50"/>
      <c r="B276" s="50"/>
      <c r="C276" s="50"/>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ht="15.5" customHeight="1" spans="1:26">
      <c r="A277" s="50"/>
      <c r="B277" s="50"/>
      <c r="C277" s="50"/>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ht="15.5" customHeight="1" spans="1:26">
      <c r="A278" s="50"/>
      <c r="B278" s="50"/>
      <c r="C278" s="50"/>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ht="15.5" customHeight="1" spans="1:26">
      <c r="A279" s="50"/>
      <c r="B279" s="50"/>
      <c r="C279" s="50"/>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ht="15.5" customHeight="1" spans="1:26">
      <c r="A280" s="50"/>
      <c r="B280" s="50"/>
      <c r="C280" s="50"/>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ht="15.5" customHeight="1" spans="1:26">
      <c r="A281" s="50"/>
      <c r="B281" s="50"/>
      <c r="C281" s="50"/>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ht="15.5" customHeight="1" spans="1:26">
      <c r="A282" s="50"/>
      <c r="B282" s="50"/>
      <c r="C282" s="50"/>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ht="15.5" customHeight="1" spans="1:26">
      <c r="A283" s="50"/>
      <c r="B283" s="50"/>
      <c r="C283" s="50"/>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ht="15.5" customHeight="1" spans="1:26">
      <c r="A284" s="50"/>
      <c r="B284" s="50"/>
      <c r="C284" s="50"/>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ht="15.5" customHeight="1" spans="1:26">
      <c r="A285" s="50"/>
      <c r="B285" s="50"/>
      <c r="C285" s="50"/>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ht="15.5" customHeight="1" spans="1:26">
      <c r="A286" s="50"/>
      <c r="B286" s="50"/>
      <c r="C286" s="50"/>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ht="15.5" customHeight="1" spans="1:26">
      <c r="A287" s="50"/>
      <c r="B287" s="50"/>
      <c r="C287" s="50"/>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ht="15.5" customHeight="1" spans="1:26">
      <c r="A288" s="50"/>
      <c r="B288" s="50"/>
      <c r="C288" s="50"/>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ht="15.5" customHeight="1" spans="1:26">
      <c r="A289" s="50"/>
      <c r="B289" s="50"/>
      <c r="C289" s="50"/>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ht="15.5" customHeight="1" spans="1:26">
      <c r="A290" s="50"/>
      <c r="B290" s="50"/>
      <c r="C290" s="50"/>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ht="15.5" customHeight="1" spans="1:26">
      <c r="A291" s="50"/>
      <c r="B291" s="50"/>
      <c r="C291" s="50"/>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ht="15.5" customHeight="1" spans="1:26">
      <c r="A292" s="50"/>
      <c r="B292" s="50"/>
      <c r="C292" s="50"/>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ht="15.5" customHeight="1" spans="1:26">
      <c r="A293" s="50"/>
      <c r="B293" s="50"/>
      <c r="C293" s="50"/>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ht="15.5" customHeight="1" spans="1:26">
      <c r="A294" s="50"/>
      <c r="B294" s="50"/>
      <c r="C294" s="50"/>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ht="15.5" customHeight="1" spans="1:26">
      <c r="A295" s="50"/>
      <c r="B295" s="50"/>
      <c r="C295" s="50"/>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ht="15.5" customHeight="1" spans="1:26">
      <c r="A296" s="50"/>
      <c r="B296" s="50"/>
      <c r="C296" s="50"/>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ht="15.5" customHeight="1" spans="1:26">
      <c r="A297" s="50"/>
      <c r="B297" s="50"/>
      <c r="C297" s="50"/>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ht="15.5" customHeight="1" spans="1:26">
      <c r="A298" s="50"/>
      <c r="B298" s="50"/>
      <c r="C298" s="50"/>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ht="15.5" customHeight="1" spans="1:26">
      <c r="A299" s="50"/>
      <c r="B299" s="50"/>
      <c r="C299" s="50"/>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ht="15.5" customHeight="1" spans="1:26">
      <c r="A300" s="50"/>
      <c r="B300" s="50"/>
      <c r="C300" s="50"/>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ht="15.5" customHeight="1" spans="1:26">
      <c r="A301" s="50"/>
      <c r="B301" s="50"/>
      <c r="C301" s="50"/>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ht="15.5" customHeight="1" spans="1:26">
      <c r="A302" s="50"/>
      <c r="B302" s="50"/>
      <c r="C302" s="50"/>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ht="15.5" customHeight="1" spans="1:26">
      <c r="A303" s="50"/>
      <c r="B303" s="50"/>
      <c r="C303" s="50"/>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ht="15.5" customHeight="1" spans="1:26">
      <c r="A304" s="50"/>
      <c r="B304" s="50"/>
      <c r="C304" s="50"/>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ht="15.5" customHeight="1" spans="1:26">
      <c r="A305" s="50"/>
      <c r="B305" s="50"/>
      <c r="C305" s="50"/>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ht="15.5" customHeight="1" spans="1:26">
      <c r="A306" s="50"/>
      <c r="B306" s="50"/>
      <c r="C306" s="50"/>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ht="15.5" customHeight="1" spans="1:26">
      <c r="A307" s="50"/>
      <c r="B307" s="50"/>
      <c r="C307" s="50"/>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ht="15.5" customHeight="1" spans="1:26">
      <c r="A308" s="50"/>
      <c r="B308" s="50"/>
      <c r="C308" s="50"/>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ht="15.5" customHeight="1" spans="1:26">
      <c r="A309" s="50"/>
      <c r="B309" s="50"/>
      <c r="C309" s="50"/>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ht="15.5" customHeight="1" spans="1:26">
      <c r="A310" s="50"/>
      <c r="B310" s="50"/>
      <c r="C310" s="50"/>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ht="15.5" customHeight="1" spans="1:26">
      <c r="A311" s="50"/>
      <c r="B311" s="50"/>
      <c r="C311" s="50"/>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ht="15.5" customHeight="1" spans="1:26">
      <c r="A312" s="50"/>
      <c r="B312" s="50"/>
      <c r="C312" s="50"/>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ht="15.5" customHeight="1" spans="1:26">
      <c r="A313" s="50"/>
      <c r="B313" s="50"/>
      <c r="C313" s="50"/>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ht="15.5" customHeight="1" spans="1:26">
      <c r="A314" s="50"/>
      <c r="B314" s="50"/>
      <c r="C314" s="50"/>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ht="15.5" customHeight="1" spans="1:26">
      <c r="A315" s="50"/>
      <c r="B315" s="50"/>
      <c r="C315" s="50"/>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ht="15.5" customHeight="1" spans="1:26">
      <c r="A316" s="50"/>
      <c r="B316" s="50"/>
      <c r="C316" s="50"/>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ht="15.5" customHeight="1" spans="1:26">
      <c r="A317" s="50"/>
      <c r="B317" s="50"/>
      <c r="C317" s="50"/>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ht="15.5" customHeight="1" spans="1:26">
      <c r="A318" s="50"/>
      <c r="B318" s="50"/>
      <c r="C318" s="50"/>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ht="15.5" customHeight="1" spans="1:26">
      <c r="A319" s="50"/>
      <c r="B319" s="50"/>
      <c r="C319" s="50"/>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ht="15.5" customHeight="1" spans="1:26">
      <c r="A320" s="50"/>
      <c r="B320" s="50"/>
      <c r="C320" s="50"/>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ht="15.5" customHeight="1" spans="1:26">
      <c r="A321" s="50"/>
      <c r="B321" s="50"/>
      <c r="C321" s="50"/>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ht="15.5" customHeight="1" spans="1:26">
      <c r="A322" s="50"/>
      <c r="B322" s="50"/>
      <c r="C322" s="50"/>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ht="15.5" customHeight="1" spans="1:26">
      <c r="A323" s="50"/>
      <c r="B323" s="50"/>
      <c r="C323" s="50"/>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ht="15.5" customHeight="1" spans="1:26">
      <c r="A324" s="50"/>
      <c r="B324" s="50"/>
      <c r="C324" s="50"/>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ht="15.5" customHeight="1" spans="1:26">
      <c r="A325" s="50"/>
      <c r="B325" s="50"/>
      <c r="C325" s="50"/>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ht="15.5" customHeight="1" spans="1:26">
      <c r="A326" s="50"/>
      <c r="B326" s="50"/>
      <c r="C326" s="50"/>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ht="15.5" customHeight="1" spans="1:26">
      <c r="A327" s="50"/>
      <c r="B327" s="50"/>
      <c r="C327" s="50"/>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ht="15.5" customHeight="1" spans="1:26">
      <c r="A328" s="50"/>
      <c r="B328" s="50"/>
      <c r="C328" s="50"/>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ht="15.5" customHeight="1" spans="1:26">
      <c r="A329" s="50"/>
      <c r="B329" s="50"/>
      <c r="C329" s="50"/>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ht="15.5" customHeight="1" spans="1:26">
      <c r="A330" s="50"/>
      <c r="B330" s="50"/>
      <c r="C330" s="50"/>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ht="15.5" customHeight="1" spans="1:26">
      <c r="A331" s="50"/>
      <c r="B331" s="50"/>
      <c r="C331" s="50"/>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ht="15.5" customHeight="1" spans="1:26">
      <c r="A332" s="50"/>
      <c r="B332" s="50"/>
      <c r="C332" s="50"/>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ht="15.5" customHeight="1" spans="1:26">
      <c r="A333" s="50"/>
      <c r="B333" s="50"/>
      <c r="C333" s="50"/>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ht="15.5" customHeight="1" spans="1:26">
      <c r="A334" s="50"/>
      <c r="B334" s="50"/>
      <c r="C334" s="50"/>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ht="15.5" customHeight="1" spans="1:26">
      <c r="A335" s="50"/>
      <c r="B335" s="50"/>
      <c r="C335" s="50"/>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ht="15.5" customHeight="1" spans="1:26">
      <c r="A336" s="50"/>
      <c r="B336" s="50"/>
      <c r="C336" s="50"/>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ht="15.5" customHeight="1" spans="1:26">
      <c r="A337" s="50"/>
      <c r="B337" s="50"/>
      <c r="C337" s="50"/>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ht="15.5" customHeight="1" spans="1:26">
      <c r="A338" s="50"/>
      <c r="B338" s="50"/>
      <c r="C338" s="50"/>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ht="15.5" customHeight="1" spans="1:26">
      <c r="A339" s="50"/>
      <c r="B339" s="50"/>
      <c r="C339" s="50"/>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ht="15.5" customHeight="1" spans="1:26">
      <c r="A340" s="50"/>
      <c r="B340" s="50"/>
      <c r="C340" s="50"/>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ht="15.5" customHeight="1" spans="1:26">
      <c r="A341" s="50"/>
      <c r="B341" s="50"/>
      <c r="C341" s="50"/>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ht="15.5" customHeight="1" spans="1:26">
      <c r="A342" s="50"/>
      <c r="B342" s="50"/>
      <c r="C342" s="50"/>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ht="15.5" customHeight="1" spans="1:26">
      <c r="A343" s="50"/>
      <c r="B343" s="50"/>
      <c r="C343" s="50"/>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ht="15.5" customHeight="1" spans="1:26">
      <c r="A344" s="50"/>
      <c r="B344" s="50"/>
      <c r="C344" s="50"/>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ht="15.5" customHeight="1" spans="1:26">
      <c r="A345" s="50"/>
      <c r="B345" s="50"/>
      <c r="C345" s="50"/>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ht="15.5" customHeight="1" spans="1:26">
      <c r="A346" s="50"/>
      <c r="B346" s="50"/>
      <c r="C346" s="50"/>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ht="15.5" customHeight="1" spans="1:26">
      <c r="A347" s="50"/>
      <c r="B347" s="50"/>
      <c r="C347" s="50"/>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ht="15.5" customHeight="1" spans="1:26">
      <c r="A348" s="50"/>
      <c r="B348" s="50"/>
      <c r="C348" s="50"/>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ht="15.5" customHeight="1" spans="1:26">
      <c r="A349" s="50"/>
      <c r="B349" s="50"/>
      <c r="C349" s="50"/>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ht="15.5" customHeight="1" spans="1:26">
      <c r="A350" s="50"/>
      <c r="B350" s="50"/>
      <c r="C350" s="50"/>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ht="15.5" customHeight="1" spans="1:26">
      <c r="A351" s="50"/>
      <c r="B351" s="50"/>
      <c r="C351" s="50"/>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ht="15.5" customHeight="1" spans="1:26">
      <c r="A352" s="50"/>
      <c r="B352" s="50"/>
      <c r="C352" s="50"/>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ht="15.5" customHeight="1" spans="1:26">
      <c r="A353" s="50"/>
      <c r="B353" s="50"/>
      <c r="C353" s="50"/>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ht="15.5" customHeight="1" spans="1:26">
      <c r="A354" s="50"/>
      <c r="B354" s="50"/>
      <c r="C354" s="50"/>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ht="15.5" customHeight="1" spans="1:26">
      <c r="A355" s="50"/>
      <c r="B355" s="50"/>
      <c r="C355" s="50"/>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ht="15.5" customHeight="1" spans="1:26">
      <c r="A356" s="50"/>
      <c r="B356" s="50"/>
      <c r="C356" s="50"/>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ht="15.5" customHeight="1" spans="1:26">
      <c r="A357" s="50"/>
      <c r="B357" s="50"/>
      <c r="C357" s="50"/>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ht="15.5" customHeight="1" spans="1:26">
      <c r="A358" s="50"/>
      <c r="B358" s="50"/>
      <c r="C358" s="50"/>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ht="15.5" customHeight="1" spans="1:26">
      <c r="A359" s="50"/>
      <c r="B359" s="50"/>
      <c r="C359" s="50"/>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ht="15.5" customHeight="1" spans="1:26">
      <c r="A360" s="50"/>
      <c r="B360" s="50"/>
      <c r="C360" s="50"/>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ht="15.5" customHeight="1" spans="1:26">
      <c r="A361" s="50"/>
      <c r="B361" s="50"/>
      <c r="C361" s="50"/>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ht="15.5" customHeight="1" spans="1:26">
      <c r="A362" s="50"/>
      <c r="B362" s="50"/>
      <c r="C362" s="50"/>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ht="15.5" customHeight="1" spans="1:26">
      <c r="A363" s="50"/>
      <c r="B363" s="50"/>
      <c r="C363" s="50"/>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ht="15.5" customHeight="1" spans="1:26">
      <c r="A364" s="50"/>
      <c r="B364" s="50"/>
      <c r="C364" s="50"/>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ht="15.5" customHeight="1" spans="1:26">
      <c r="A365" s="50"/>
      <c r="B365" s="50"/>
      <c r="C365" s="50"/>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ht="15.5" customHeight="1" spans="1:26">
      <c r="A366" s="50"/>
      <c r="B366" s="50"/>
      <c r="C366" s="50"/>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ht="15.5" customHeight="1" spans="1:26">
      <c r="A367" s="50"/>
      <c r="B367" s="50"/>
      <c r="C367" s="50"/>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ht="15.5" customHeight="1" spans="1:26">
      <c r="A368" s="50"/>
      <c r="B368" s="50"/>
      <c r="C368" s="50"/>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ht="15.5" customHeight="1" spans="1:26">
      <c r="A369" s="50"/>
      <c r="B369" s="50"/>
      <c r="C369" s="50"/>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ht="15.5" customHeight="1" spans="1:26">
      <c r="A370" s="50"/>
      <c r="B370" s="50"/>
      <c r="C370" s="50"/>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ht="15.5" customHeight="1" spans="1:26">
      <c r="A371" s="50"/>
      <c r="B371" s="50"/>
      <c r="C371" s="50"/>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ht="15.5" customHeight="1" spans="1:26">
      <c r="A372" s="50"/>
      <c r="B372" s="50"/>
      <c r="C372" s="50"/>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ht="15.5" customHeight="1" spans="1:26">
      <c r="A373" s="50"/>
      <c r="B373" s="50"/>
      <c r="C373" s="50"/>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ht="15.5" customHeight="1" spans="1:26">
      <c r="A374" s="50"/>
      <c r="B374" s="50"/>
      <c r="C374" s="50"/>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ht="15.5" customHeight="1" spans="1:26">
      <c r="A375" s="50"/>
      <c r="B375" s="50"/>
      <c r="C375" s="50"/>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ht="15.5" customHeight="1" spans="1:26">
      <c r="A376" s="50"/>
      <c r="B376" s="50"/>
      <c r="C376" s="50"/>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ht="15.5" customHeight="1" spans="1:26">
      <c r="A377" s="50"/>
      <c r="B377" s="50"/>
      <c r="C377" s="50"/>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ht="15.5" customHeight="1" spans="1:26">
      <c r="A378" s="50"/>
      <c r="B378" s="50"/>
      <c r="C378" s="50"/>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ht="15.5" customHeight="1" spans="1:26">
      <c r="A379" s="50"/>
      <c r="B379" s="50"/>
      <c r="C379" s="50"/>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ht="15.5" customHeight="1" spans="1:26">
      <c r="A380" s="50"/>
      <c r="B380" s="50"/>
      <c r="C380" s="50"/>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ht="15.5" customHeight="1" spans="1:26">
      <c r="A381" s="50"/>
      <c r="B381" s="50"/>
      <c r="C381" s="50"/>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ht="15.5" customHeight="1" spans="1:26">
      <c r="A382" s="50"/>
      <c r="B382" s="50"/>
      <c r="C382" s="50"/>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ht="15.5" customHeight="1" spans="1:26">
      <c r="A383" s="50"/>
      <c r="B383" s="50"/>
      <c r="C383" s="50"/>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ht="15.5" customHeight="1" spans="1:26">
      <c r="A384" s="50"/>
      <c r="B384" s="50"/>
      <c r="C384" s="50"/>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ht="15.5" customHeight="1" spans="1:26">
      <c r="A385" s="50"/>
      <c r="B385" s="50"/>
      <c r="C385" s="50"/>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ht="15.5" customHeight="1" spans="1:26">
      <c r="A386" s="50"/>
      <c r="B386" s="50"/>
      <c r="C386" s="50"/>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ht="15.5" customHeight="1" spans="1:26">
      <c r="A387" s="50"/>
      <c r="B387" s="50"/>
      <c r="C387" s="50"/>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ht="15.5" customHeight="1" spans="1:26">
      <c r="A388" s="50"/>
      <c r="B388" s="50"/>
      <c r="C388" s="50"/>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ht="15.5" customHeight="1" spans="1:26">
      <c r="A389" s="50"/>
      <c r="B389" s="50"/>
      <c r="C389" s="50"/>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ht="15.5" customHeight="1" spans="1:26">
      <c r="A390" s="50"/>
      <c r="B390" s="50"/>
      <c r="C390" s="50"/>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ht="15.5" customHeight="1" spans="1:26">
      <c r="A391" s="50"/>
      <c r="B391" s="50"/>
      <c r="C391" s="50"/>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ht="15.5" customHeight="1" spans="1:26">
      <c r="A392" s="50"/>
      <c r="B392" s="50"/>
      <c r="C392" s="50"/>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ht="15.5" customHeight="1" spans="1:26">
      <c r="A393" s="50"/>
      <c r="B393" s="50"/>
      <c r="C393" s="50"/>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ht="15.5" customHeight="1" spans="1:26">
      <c r="A394" s="50"/>
      <c r="B394" s="50"/>
      <c r="C394" s="50"/>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ht="15.5" customHeight="1" spans="1:26">
      <c r="A395" s="50"/>
      <c r="B395" s="50"/>
      <c r="C395" s="50"/>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ht="15.5" customHeight="1" spans="1:26">
      <c r="A396" s="50"/>
      <c r="B396" s="50"/>
      <c r="C396" s="50"/>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ht="15.5" customHeight="1" spans="1:26">
      <c r="A397" s="50"/>
      <c r="B397" s="50"/>
      <c r="C397" s="50"/>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ht="15.5" customHeight="1" spans="1:26">
      <c r="A398" s="50"/>
      <c r="B398" s="50"/>
      <c r="C398" s="50"/>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ht="15.5" customHeight="1" spans="1:26">
      <c r="A399" s="50"/>
      <c r="B399" s="50"/>
      <c r="C399" s="50"/>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ht="15.5" customHeight="1" spans="1:26">
      <c r="A400" s="50"/>
      <c r="B400" s="50"/>
      <c r="C400" s="50"/>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ht="15.5" customHeight="1" spans="1:26">
      <c r="A401" s="50"/>
      <c r="B401" s="50"/>
      <c r="C401" s="50"/>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ht="15.5" customHeight="1" spans="1:26">
      <c r="A402" s="50"/>
      <c r="B402" s="50"/>
      <c r="C402" s="50"/>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ht="15.5" customHeight="1" spans="1:26">
      <c r="A403" s="50"/>
      <c r="B403" s="50"/>
      <c r="C403" s="50"/>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ht="15.5" customHeight="1" spans="1:26">
      <c r="A404" s="50"/>
      <c r="B404" s="50"/>
      <c r="C404" s="50"/>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ht="15.5" customHeight="1" spans="1:26">
      <c r="A405" s="50"/>
      <c r="B405" s="50"/>
      <c r="C405" s="50"/>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ht="15.5" customHeight="1" spans="1:26">
      <c r="A406" s="50"/>
      <c r="B406" s="50"/>
      <c r="C406" s="50"/>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ht="15.5" customHeight="1" spans="1:26">
      <c r="A407" s="50"/>
      <c r="B407" s="50"/>
      <c r="C407" s="50"/>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ht="15.5" customHeight="1" spans="1:26">
      <c r="A408" s="50"/>
      <c r="B408" s="50"/>
      <c r="C408" s="50"/>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ht="15.5" customHeight="1" spans="1:26">
      <c r="A409" s="50"/>
      <c r="B409" s="50"/>
      <c r="C409" s="50"/>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ht="15.5" customHeight="1" spans="1:26">
      <c r="A410" s="50"/>
      <c r="B410" s="50"/>
      <c r="C410" s="50"/>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ht="15.5" customHeight="1" spans="1:26">
      <c r="A411" s="50"/>
      <c r="B411" s="50"/>
      <c r="C411" s="50"/>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ht="15.5" customHeight="1" spans="1:26">
      <c r="A412" s="50"/>
      <c r="B412" s="50"/>
      <c r="C412" s="50"/>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ht="15.5" customHeight="1" spans="1:26">
      <c r="A413" s="50"/>
      <c r="B413" s="50"/>
      <c r="C413" s="50"/>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ht="15.5" customHeight="1" spans="1:26">
      <c r="A414" s="50"/>
      <c r="B414" s="50"/>
      <c r="C414" s="50"/>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ht="15.5" customHeight="1" spans="1:26">
      <c r="A415" s="50"/>
      <c r="B415" s="50"/>
      <c r="C415" s="50"/>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ht="15.5" customHeight="1" spans="1:26">
      <c r="A416" s="50"/>
      <c r="B416" s="50"/>
      <c r="C416" s="50"/>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ht="15.5" customHeight="1" spans="1:26">
      <c r="A417" s="50"/>
      <c r="B417" s="50"/>
      <c r="C417" s="50"/>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ht="15.5" customHeight="1" spans="1:26">
      <c r="A418" s="50"/>
      <c r="B418" s="50"/>
      <c r="C418" s="50"/>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ht="15.5" customHeight="1" spans="1:26">
      <c r="A419" s="50"/>
      <c r="B419" s="50"/>
      <c r="C419" s="50"/>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ht="15.5" customHeight="1" spans="1:26">
      <c r="A420" s="50"/>
      <c r="B420" s="50"/>
      <c r="C420" s="50"/>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ht="15.5" customHeight="1" spans="1:26">
      <c r="A421" s="50"/>
      <c r="B421" s="50"/>
      <c r="C421" s="50"/>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ht="15.5" customHeight="1" spans="1:26">
      <c r="A422" s="50"/>
      <c r="B422" s="50"/>
      <c r="C422" s="50"/>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ht="15.5" customHeight="1" spans="1:26">
      <c r="A423" s="50"/>
      <c r="B423" s="50"/>
      <c r="C423" s="50"/>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ht="15.5" customHeight="1" spans="1:26">
      <c r="A424" s="50"/>
      <c r="B424" s="50"/>
      <c r="C424" s="50"/>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ht="15.5" customHeight="1" spans="1:26">
      <c r="A425" s="50"/>
      <c r="B425" s="50"/>
      <c r="C425" s="50"/>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ht="15.5" customHeight="1" spans="1:26">
      <c r="A426" s="50"/>
      <c r="B426" s="50"/>
      <c r="C426" s="50"/>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ht="15.5" customHeight="1" spans="1:26">
      <c r="A427" s="50"/>
      <c r="B427" s="50"/>
      <c r="C427" s="50"/>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ht="15.5" customHeight="1" spans="1:26">
      <c r="A428" s="50"/>
      <c r="B428" s="50"/>
      <c r="C428" s="50"/>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ht="15.5" customHeight="1" spans="1:26">
      <c r="A429" s="50"/>
      <c r="B429" s="50"/>
      <c r="C429" s="50"/>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ht="15.5" customHeight="1" spans="1:26">
      <c r="A430" s="50"/>
      <c r="B430" s="50"/>
      <c r="C430" s="50"/>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ht="15.5" customHeight="1" spans="1:26">
      <c r="A431" s="50"/>
      <c r="B431" s="50"/>
      <c r="C431" s="50"/>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ht="15.5" customHeight="1" spans="1:26">
      <c r="A432" s="50"/>
      <c r="B432" s="50"/>
      <c r="C432" s="50"/>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ht="15.5" customHeight="1" spans="1:26">
      <c r="A433" s="50"/>
      <c r="B433" s="50"/>
      <c r="C433" s="50"/>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ht="15.5" customHeight="1" spans="1:26">
      <c r="A434" s="50"/>
      <c r="B434" s="50"/>
      <c r="C434" s="50"/>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ht="15.5" customHeight="1" spans="1:26">
      <c r="A435" s="50"/>
      <c r="B435" s="50"/>
      <c r="C435" s="50"/>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ht="15.5" customHeight="1" spans="1:26">
      <c r="A436" s="50"/>
      <c r="B436" s="50"/>
      <c r="C436" s="50"/>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ht="15.5" customHeight="1" spans="1:26">
      <c r="A437" s="50"/>
      <c r="B437" s="50"/>
      <c r="C437" s="50"/>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ht="15.5" customHeight="1" spans="1:26">
      <c r="A438" s="50"/>
      <c r="B438" s="50"/>
      <c r="C438" s="50"/>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ht="15.5" customHeight="1" spans="1:26">
      <c r="A439" s="50"/>
      <c r="B439" s="50"/>
      <c r="C439" s="50"/>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ht="15.5" customHeight="1" spans="1:26">
      <c r="A440" s="50"/>
      <c r="B440" s="50"/>
      <c r="C440" s="50"/>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ht="15.5" customHeight="1" spans="1:26">
      <c r="A441" s="50"/>
      <c r="B441" s="50"/>
      <c r="C441" s="50"/>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ht="15.5" customHeight="1" spans="1:26">
      <c r="A442" s="50"/>
      <c r="B442" s="50"/>
      <c r="C442" s="50"/>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ht="15.5" customHeight="1" spans="1:26">
      <c r="A443" s="50"/>
      <c r="B443" s="50"/>
      <c r="C443" s="50"/>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ht="15.5" customHeight="1" spans="1:26">
      <c r="A444" s="50"/>
      <c r="B444" s="50"/>
      <c r="C444" s="50"/>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ht="15.5" customHeight="1" spans="1:26">
      <c r="A445" s="50"/>
      <c r="B445" s="50"/>
      <c r="C445" s="50"/>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ht="15.5" customHeight="1" spans="1:26">
      <c r="A446" s="50"/>
      <c r="B446" s="50"/>
      <c r="C446" s="50"/>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ht="15.5" customHeight="1" spans="1:26">
      <c r="A447" s="50"/>
      <c r="B447" s="50"/>
      <c r="C447" s="50"/>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ht="15.5" customHeight="1" spans="1:26">
      <c r="A448" s="50"/>
      <c r="B448" s="50"/>
      <c r="C448" s="50"/>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ht="15.5" customHeight="1" spans="1:26">
      <c r="A449" s="50"/>
      <c r="B449" s="50"/>
      <c r="C449" s="50"/>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ht="15.5" customHeight="1" spans="1:26">
      <c r="A450" s="50"/>
      <c r="B450" s="50"/>
      <c r="C450" s="50"/>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ht="15.5" customHeight="1" spans="1:26">
      <c r="A451" s="50"/>
      <c r="B451" s="50"/>
      <c r="C451" s="50"/>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ht="15.5" customHeight="1" spans="1:26">
      <c r="A452" s="50"/>
      <c r="B452" s="50"/>
      <c r="C452" s="50"/>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ht="15.5" customHeight="1" spans="1:26">
      <c r="A453" s="50"/>
      <c r="B453" s="50"/>
      <c r="C453" s="50"/>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ht="15.5" customHeight="1" spans="1:26">
      <c r="A454" s="50"/>
      <c r="B454" s="50"/>
      <c r="C454" s="50"/>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ht="15.5" customHeight="1" spans="1:26">
      <c r="A455" s="50"/>
      <c r="B455" s="50"/>
      <c r="C455" s="50"/>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ht="15.5" customHeight="1" spans="1:26">
      <c r="A456" s="50"/>
      <c r="B456" s="50"/>
      <c r="C456" s="50"/>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ht="15.5" customHeight="1" spans="1:26">
      <c r="A457" s="50"/>
      <c r="B457" s="50"/>
      <c r="C457" s="50"/>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ht="15.5" customHeight="1" spans="1:26">
      <c r="A458" s="50"/>
      <c r="B458" s="50"/>
      <c r="C458" s="50"/>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ht="15.5" customHeight="1" spans="1:26">
      <c r="A459" s="50"/>
      <c r="B459" s="50"/>
      <c r="C459" s="50"/>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ht="15.5" customHeight="1" spans="1:26">
      <c r="A460" s="50"/>
      <c r="B460" s="50"/>
      <c r="C460" s="50"/>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ht="15.5" customHeight="1" spans="1:26">
      <c r="A461" s="50"/>
      <c r="B461" s="50"/>
      <c r="C461" s="50"/>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ht="15.5" customHeight="1" spans="1:26">
      <c r="A462" s="50"/>
      <c r="B462" s="50"/>
      <c r="C462" s="50"/>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ht="15.5" customHeight="1" spans="1:26">
      <c r="A463" s="50"/>
      <c r="B463" s="50"/>
      <c r="C463" s="50"/>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ht="15.5" customHeight="1" spans="1:26">
      <c r="A464" s="50"/>
      <c r="B464" s="50"/>
      <c r="C464" s="50"/>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ht="15.5" customHeight="1" spans="1:26">
      <c r="A465" s="50"/>
      <c r="B465" s="50"/>
      <c r="C465" s="50"/>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ht="15.5" customHeight="1" spans="1:26">
      <c r="A466" s="50"/>
      <c r="B466" s="50"/>
      <c r="C466" s="50"/>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ht="15.5" customHeight="1" spans="1:26">
      <c r="A467" s="50"/>
      <c r="B467" s="50"/>
      <c r="C467" s="50"/>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ht="15.5" customHeight="1" spans="1:26">
      <c r="A468" s="50"/>
      <c r="B468" s="50"/>
      <c r="C468" s="50"/>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ht="15.5" customHeight="1" spans="1:26">
      <c r="A469" s="50"/>
      <c r="B469" s="50"/>
      <c r="C469" s="50"/>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ht="15.5" customHeight="1" spans="1:26">
      <c r="A470" s="50"/>
      <c r="B470" s="50"/>
      <c r="C470" s="50"/>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ht="15.5" customHeight="1" spans="1:26">
      <c r="A471" s="50"/>
      <c r="B471" s="50"/>
      <c r="C471" s="50"/>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ht="15.5" customHeight="1" spans="1:26">
      <c r="A472" s="50"/>
      <c r="B472" s="50"/>
      <c r="C472" s="50"/>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ht="15.5" customHeight="1" spans="1:26">
      <c r="A473" s="50"/>
      <c r="B473" s="50"/>
      <c r="C473" s="50"/>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ht="15.5" customHeight="1" spans="1:26">
      <c r="A474" s="50"/>
      <c r="B474" s="50"/>
      <c r="C474" s="50"/>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ht="15.5" customHeight="1" spans="1:26">
      <c r="A475" s="50"/>
      <c r="B475" s="50"/>
      <c r="C475" s="50"/>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ht="15.5" customHeight="1" spans="1:26">
      <c r="A476" s="50"/>
      <c r="B476" s="50"/>
      <c r="C476" s="50"/>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ht="15.5" customHeight="1" spans="1:26">
      <c r="A477" s="50"/>
      <c r="B477" s="50"/>
      <c r="C477" s="50"/>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ht="15.5" customHeight="1" spans="1:26">
      <c r="A478" s="50"/>
      <c r="B478" s="50"/>
      <c r="C478" s="50"/>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ht="15.5" customHeight="1" spans="1:26">
      <c r="A479" s="50"/>
      <c r="B479" s="50"/>
      <c r="C479" s="50"/>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ht="15.5" customHeight="1" spans="1:26">
      <c r="A480" s="50"/>
      <c r="B480" s="50"/>
      <c r="C480" s="50"/>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ht="15.5" customHeight="1" spans="1:26">
      <c r="A481" s="50"/>
      <c r="B481" s="50"/>
      <c r="C481" s="50"/>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ht="15.5" customHeight="1" spans="1:26">
      <c r="A482" s="50"/>
      <c r="B482" s="50"/>
      <c r="C482" s="50"/>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ht="15.5" customHeight="1" spans="1:26">
      <c r="A483" s="50"/>
      <c r="B483" s="50"/>
      <c r="C483" s="50"/>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ht="15.5" customHeight="1" spans="1:26">
      <c r="A484" s="50"/>
      <c r="B484" s="50"/>
      <c r="C484" s="50"/>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ht="15.5" customHeight="1" spans="1:26">
      <c r="A485" s="50"/>
      <c r="B485" s="50"/>
      <c r="C485" s="50"/>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ht="15.5" customHeight="1" spans="1:26">
      <c r="A486" s="50"/>
      <c r="B486" s="50"/>
      <c r="C486" s="50"/>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ht="15.5" customHeight="1" spans="1:26">
      <c r="A487" s="50"/>
      <c r="B487" s="50"/>
      <c r="C487" s="50"/>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ht="15.5" customHeight="1" spans="1:26">
      <c r="A488" s="50"/>
      <c r="B488" s="50"/>
      <c r="C488" s="50"/>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ht="15.5" customHeight="1" spans="1:26">
      <c r="A489" s="50"/>
      <c r="B489" s="50"/>
      <c r="C489" s="50"/>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ht="15.5" customHeight="1" spans="1:26">
      <c r="A490" s="50"/>
      <c r="B490" s="50"/>
      <c r="C490" s="50"/>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ht="15.5" customHeight="1" spans="1:26">
      <c r="A491" s="50"/>
      <c r="B491" s="50"/>
      <c r="C491" s="50"/>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ht="15.5" customHeight="1" spans="1:26">
      <c r="A492" s="50"/>
      <c r="B492" s="50"/>
      <c r="C492" s="50"/>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ht="15.5" customHeight="1" spans="1:26">
      <c r="A493" s="50"/>
      <c r="B493" s="50"/>
      <c r="C493" s="50"/>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ht="15.5" customHeight="1" spans="1:26">
      <c r="A494" s="50"/>
      <c r="B494" s="50"/>
      <c r="C494" s="50"/>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ht="15.5" customHeight="1" spans="1:26">
      <c r="A495" s="50"/>
      <c r="B495" s="50"/>
      <c r="C495" s="50"/>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ht="15.5" customHeight="1" spans="1:26">
      <c r="A496" s="50"/>
      <c r="B496" s="50"/>
      <c r="C496" s="50"/>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ht="15.5" customHeight="1" spans="1:26">
      <c r="A497" s="50"/>
      <c r="B497" s="50"/>
      <c r="C497" s="50"/>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ht="15.5" customHeight="1" spans="1:26">
      <c r="A498" s="50"/>
      <c r="B498" s="50"/>
      <c r="C498" s="50"/>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ht="15.5" customHeight="1" spans="1:26">
      <c r="A499" s="50"/>
      <c r="B499" s="50"/>
      <c r="C499" s="50"/>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ht="15.5" customHeight="1" spans="1:26">
      <c r="A500" s="50"/>
      <c r="B500" s="50"/>
      <c r="C500" s="50"/>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ht="15.5" customHeight="1" spans="1:26">
      <c r="A501" s="50"/>
      <c r="B501" s="50"/>
      <c r="C501" s="50"/>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ht="15.5" customHeight="1" spans="1:26">
      <c r="A502" s="50"/>
      <c r="B502" s="50"/>
      <c r="C502" s="50"/>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ht="15.5" customHeight="1" spans="1:26">
      <c r="A503" s="50"/>
      <c r="B503" s="50"/>
      <c r="C503" s="50"/>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ht="15.5" customHeight="1" spans="1:26">
      <c r="A504" s="50"/>
      <c r="B504" s="50"/>
      <c r="C504" s="50"/>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ht="15.5" customHeight="1" spans="1:26">
      <c r="A505" s="50"/>
      <c r="B505" s="50"/>
      <c r="C505" s="50"/>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ht="15.5" customHeight="1" spans="1:26">
      <c r="A506" s="50"/>
      <c r="B506" s="50"/>
      <c r="C506" s="50"/>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ht="15.5" customHeight="1" spans="1:26">
      <c r="A507" s="50"/>
      <c r="B507" s="50"/>
      <c r="C507" s="50"/>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ht="15.5" customHeight="1" spans="1:26">
      <c r="A508" s="50"/>
      <c r="B508" s="50"/>
      <c r="C508" s="50"/>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ht="15.5" customHeight="1" spans="1:26">
      <c r="A509" s="50"/>
      <c r="B509" s="50"/>
      <c r="C509" s="50"/>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ht="15.5" customHeight="1" spans="1:26">
      <c r="A510" s="50"/>
      <c r="B510" s="50"/>
      <c r="C510" s="50"/>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ht="15.5" customHeight="1" spans="1:26">
      <c r="A511" s="50"/>
      <c r="B511" s="50"/>
      <c r="C511" s="50"/>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ht="15.5" customHeight="1" spans="1:26">
      <c r="A512" s="50"/>
      <c r="B512" s="50"/>
      <c r="C512" s="50"/>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ht="15.5" customHeight="1" spans="1:26">
      <c r="A513" s="50"/>
      <c r="B513" s="50"/>
      <c r="C513" s="50"/>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ht="15.5" customHeight="1" spans="1:26">
      <c r="A514" s="50"/>
      <c r="B514" s="50"/>
      <c r="C514" s="50"/>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ht="15.5" customHeight="1" spans="1:26">
      <c r="A515" s="50"/>
      <c r="B515" s="50"/>
      <c r="C515" s="50"/>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ht="15.5" customHeight="1" spans="1:26">
      <c r="A516" s="50"/>
      <c r="B516" s="50"/>
      <c r="C516" s="50"/>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ht="15.5" customHeight="1" spans="1:26">
      <c r="A517" s="50"/>
      <c r="B517" s="50"/>
      <c r="C517" s="50"/>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ht="15.5" customHeight="1" spans="1:26">
      <c r="A518" s="50"/>
      <c r="B518" s="50"/>
      <c r="C518" s="50"/>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ht="15.5" customHeight="1" spans="1:26">
      <c r="A519" s="50"/>
      <c r="B519" s="50"/>
      <c r="C519" s="50"/>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ht="15.5" customHeight="1" spans="1:26">
      <c r="A520" s="50"/>
      <c r="B520" s="50"/>
      <c r="C520" s="50"/>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ht="15.5" customHeight="1" spans="1:26">
      <c r="A521" s="50"/>
      <c r="B521" s="50"/>
      <c r="C521" s="50"/>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ht="15.5" customHeight="1" spans="1:26">
      <c r="A522" s="50"/>
      <c r="B522" s="50"/>
      <c r="C522" s="50"/>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ht="15.5" customHeight="1" spans="1:26">
      <c r="A523" s="50"/>
      <c r="B523" s="50"/>
      <c r="C523" s="50"/>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ht="15.5" customHeight="1" spans="1:26">
      <c r="A524" s="50"/>
      <c r="B524" s="50"/>
      <c r="C524" s="50"/>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ht="15.5" customHeight="1" spans="1:26">
      <c r="A525" s="50"/>
      <c r="B525" s="50"/>
      <c r="C525" s="50"/>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ht="15.5" customHeight="1" spans="1:26">
      <c r="A526" s="50"/>
      <c r="B526" s="50"/>
      <c r="C526" s="50"/>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ht="15.5" customHeight="1" spans="1:26">
      <c r="A527" s="50"/>
      <c r="B527" s="50"/>
      <c r="C527" s="50"/>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ht="15.5" customHeight="1" spans="1:26">
      <c r="A528" s="50"/>
      <c r="B528" s="50"/>
      <c r="C528" s="50"/>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ht="15.5" customHeight="1" spans="1:26">
      <c r="A529" s="50"/>
      <c r="B529" s="50"/>
      <c r="C529" s="50"/>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ht="15.5" customHeight="1" spans="1:26">
      <c r="A530" s="50"/>
      <c r="B530" s="50"/>
      <c r="C530" s="50"/>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ht="15.5" customHeight="1" spans="1:26">
      <c r="A531" s="50"/>
      <c r="B531" s="50"/>
      <c r="C531" s="50"/>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ht="15.5" customHeight="1" spans="1:26">
      <c r="A532" s="50"/>
      <c r="B532" s="50"/>
      <c r="C532" s="50"/>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ht="15.5" customHeight="1" spans="1:26">
      <c r="A533" s="50"/>
      <c r="B533" s="50"/>
      <c r="C533" s="50"/>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ht="15.5" customHeight="1" spans="1:26">
      <c r="A534" s="50"/>
      <c r="B534" s="50"/>
      <c r="C534" s="50"/>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ht="15.5" customHeight="1" spans="1:26">
      <c r="A535" s="50"/>
      <c r="B535" s="50"/>
      <c r="C535" s="50"/>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ht="15.5" customHeight="1" spans="1:26">
      <c r="A536" s="50"/>
      <c r="B536" s="50"/>
      <c r="C536" s="50"/>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ht="15.5" customHeight="1" spans="1:26">
      <c r="A537" s="50"/>
      <c r="B537" s="50"/>
      <c r="C537" s="50"/>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ht="15.5" customHeight="1" spans="1:26">
      <c r="A538" s="50"/>
      <c r="B538" s="50"/>
      <c r="C538" s="50"/>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ht="15.5" customHeight="1" spans="1:26">
      <c r="A539" s="50"/>
      <c r="B539" s="50"/>
      <c r="C539" s="50"/>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ht="15.5" customHeight="1" spans="1:26">
      <c r="A540" s="50"/>
      <c r="B540" s="50"/>
      <c r="C540" s="50"/>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ht="15.5" customHeight="1" spans="1:26">
      <c r="A541" s="50"/>
      <c r="B541" s="50"/>
      <c r="C541" s="50"/>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ht="15.5" customHeight="1" spans="1:26">
      <c r="A542" s="50"/>
      <c r="B542" s="50"/>
      <c r="C542" s="50"/>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ht="15.5" customHeight="1" spans="1:26">
      <c r="A543" s="50"/>
      <c r="B543" s="50"/>
      <c r="C543" s="50"/>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ht="15.5" customHeight="1" spans="1:26">
      <c r="A544" s="50"/>
      <c r="B544" s="50"/>
      <c r="C544" s="50"/>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ht="15.5" customHeight="1" spans="1:26">
      <c r="A545" s="50"/>
      <c r="B545" s="50"/>
      <c r="C545" s="50"/>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ht="15.5" customHeight="1" spans="1:26">
      <c r="A546" s="50"/>
      <c r="B546" s="50"/>
      <c r="C546" s="50"/>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ht="15.5" customHeight="1" spans="1:26">
      <c r="A547" s="50"/>
      <c r="B547" s="50"/>
      <c r="C547" s="50"/>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ht="15.5" customHeight="1" spans="1:26">
      <c r="A548" s="50"/>
      <c r="B548" s="50"/>
      <c r="C548" s="50"/>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ht="15.5" customHeight="1" spans="1:26">
      <c r="A549" s="50"/>
      <c r="B549" s="50"/>
      <c r="C549" s="50"/>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ht="15.5" customHeight="1" spans="1:26">
      <c r="A550" s="50"/>
      <c r="B550" s="50"/>
      <c r="C550" s="50"/>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ht="15.5" customHeight="1" spans="1:26">
      <c r="A551" s="50"/>
      <c r="B551" s="50"/>
      <c r="C551" s="50"/>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ht="15.5" customHeight="1" spans="1:26">
      <c r="A552" s="50"/>
      <c r="B552" s="50"/>
      <c r="C552" s="50"/>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ht="15.5" customHeight="1" spans="1:26">
      <c r="A553" s="50"/>
      <c r="B553" s="50"/>
      <c r="C553" s="50"/>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ht="15.5" customHeight="1" spans="1:26">
      <c r="A554" s="50"/>
      <c r="B554" s="50"/>
      <c r="C554" s="50"/>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ht="15.5" customHeight="1" spans="1:26">
      <c r="A555" s="50"/>
      <c r="B555" s="50"/>
      <c r="C555" s="50"/>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ht="15.5" customHeight="1" spans="1:26">
      <c r="A556" s="50"/>
      <c r="B556" s="50"/>
      <c r="C556" s="50"/>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ht="15.5" customHeight="1" spans="1:26">
      <c r="A557" s="50"/>
      <c r="B557" s="50"/>
      <c r="C557" s="50"/>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ht="15.5" customHeight="1" spans="1:26">
      <c r="A558" s="50"/>
      <c r="B558" s="50"/>
      <c r="C558" s="50"/>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ht="15.5" customHeight="1" spans="1:26">
      <c r="A559" s="50"/>
      <c r="B559" s="50"/>
      <c r="C559" s="50"/>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ht="15.5" customHeight="1" spans="1:26">
      <c r="A560" s="50"/>
      <c r="B560" s="50"/>
      <c r="C560" s="50"/>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ht="15.5" customHeight="1" spans="1:26">
      <c r="A561" s="50"/>
      <c r="B561" s="50"/>
      <c r="C561" s="50"/>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ht="15.5" customHeight="1" spans="1:26">
      <c r="A562" s="50"/>
      <c r="B562" s="50"/>
      <c r="C562" s="50"/>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ht="15.5" customHeight="1" spans="1:26">
      <c r="A563" s="50"/>
      <c r="B563" s="50"/>
      <c r="C563" s="50"/>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ht="15.5" customHeight="1" spans="1:26">
      <c r="A564" s="50"/>
      <c r="B564" s="50"/>
      <c r="C564" s="50"/>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ht="15.5" customHeight="1" spans="1:26">
      <c r="A565" s="50"/>
      <c r="B565" s="50"/>
      <c r="C565" s="50"/>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ht="15.5" customHeight="1" spans="1:26">
      <c r="A566" s="50"/>
      <c r="B566" s="50"/>
      <c r="C566" s="50"/>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ht="15.5" customHeight="1" spans="1:26">
      <c r="A567" s="50"/>
      <c r="B567" s="50"/>
      <c r="C567" s="50"/>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ht="15.5" customHeight="1" spans="1:26">
      <c r="A568" s="50"/>
      <c r="B568" s="50"/>
      <c r="C568" s="50"/>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ht="15.5" customHeight="1" spans="1:26">
      <c r="A569" s="50"/>
      <c r="B569" s="50"/>
      <c r="C569" s="50"/>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ht="15.5" customHeight="1" spans="1:26">
      <c r="A570" s="50"/>
      <c r="B570" s="50"/>
      <c r="C570" s="50"/>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ht="15.5" customHeight="1" spans="1:26">
      <c r="A571" s="50"/>
      <c r="B571" s="50"/>
      <c r="C571" s="50"/>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ht="15.5" customHeight="1" spans="1:26">
      <c r="A572" s="50"/>
      <c r="B572" s="50"/>
      <c r="C572" s="50"/>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ht="15.5" customHeight="1" spans="1:26">
      <c r="A573" s="50"/>
      <c r="B573" s="50"/>
      <c r="C573" s="50"/>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ht="15.5" customHeight="1" spans="1:26">
      <c r="A574" s="50"/>
      <c r="B574" s="50"/>
      <c r="C574" s="50"/>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ht="15.5" customHeight="1" spans="1:26">
      <c r="A575" s="50"/>
      <c r="B575" s="50"/>
      <c r="C575" s="50"/>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ht="15.5" customHeight="1" spans="1:26">
      <c r="A576" s="50"/>
      <c r="B576" s="50"/>
      <c r="C576" s="50"/>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ht="15.5" customHeight="1" spans="1:26">
      <c r="A577" s="50"/>
      <c r="B577" s="50"/>
      <c r="C577" s="50"/>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ht="15.5" customHeight="1" spans="1:26">
      <c r="A578" s="50"/>
      <c r="B578" s="50"/>
      <c r="C578" s="50"/>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ht="15.5" customHeight="1" spans="1:26">
      <c r="A579" s="50"/>
      <c r="B579" s="50"/>
      <c r="C579" s="50"/>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ht="15.5" customHeight="1" spans="1:26">
      <c r="A580" s="50"/>
      <c r="B580" s="50"/>
      <c r="C580" s="50"/>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ht="15.5" customHeight="1" spans="1:26">
      <c r="A581" s="50"/>
      <c r="B581" s="50"/>
      <c r="C581" s="50"/>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ht="15.5" customHeight="1" spans="1:26">
      <c r="A582" s="50"/>
      <c r="B582" s="50"/>
      <c r="C582" s="50"/>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ht="15.5" customHeight="1" spans="1:26">
      <c r="A583" s="50"/>
      <c r="B583" s="50"/>
      <c r="C583" s="50"/>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ht="15.5" customHeight="1" spans="1:26">
      <c r="A584" s="50"/>
      <c r="B584" s="50"/>
      <c r="C584" s="50"/>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ht="15.5" customHeight="1" spans="1:26">
      <c r="A585" s="50"/>
      <c r="B585" s="50"/>
      <c r="C585" s="50"/>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ht="15.5" customHeight="1" spans="1:26">
      <c r="A586" s="50"/>
      <c r="B586" s="50"/>
      <c r="C586" s="50"/>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ht="15.5" customHeight="1" spans="1:26">
      <c r="A587" s="50"/>
      <c r="B587" s="50"/>
      <c r="C587" s="50"/>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ht="15.5" customHeight="1" spans="1:26">
      <c r="A588" s="50"/>
      <c r="B588" s="50"/>
      <c r="C588" s="50"/>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ht="15.5" customHeight="1" spans="1:26">
      <c r="A589" s="50"/>
      <c r="B589" s="50"/>
      <c r="C589" s="50"/>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ht="15.5" customHeight="1" spans="1:26">
      <c r="A590" s="50"/>
      <c r="B590" s="50"/>
      <c r="C590" s="50"/>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ht="15.5" customHeight="1" spans="1:26">
      <c r="A591" s="50"/>
      <c r="B591" s="50"/>
      <c r="C591" s="50"/>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ht="15.5" customHeight="1" spans="1:26">
      <c r="A592" s="50"/>
      <c r="B592" s="50"/>
      <c r="C592" s="50"/>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ht="15.5" customHeight="1" spans="1:26">
      <c r="A593" s="50"/>
      <c r="B593" s="50"/>
      <c r="C593" s="50"/>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ht="15.5" customHeight="1" spans="1:26">
      <c r="A594" s="50"/>
      <c r="B594" s="50"/>
      <c r="C594" s="50"/>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ht="15.5" customHeight="1" spans="1:26">
      <c r="A595" s="50"/>
      <c r="B595" s="50"/>
      <c r="C595" s="50"/>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ht="15.5" customHeight="1" spans="1:26">
      <c r="A596" s="50"/>
      <c r="B596" s="50"/>
      <c r="C596" s="50"/>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ht="15.5" customHeight="1" spans="1:26">
      <c r="A597" s="50"/>
      <c r="B597" s="50"/>
      <c r="C597" s="50"/>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ht="15.5" customHeight="1" spans="1:26">
      <c r="A598" s="50"/>
      <c r="B598" s="50"/>
      <c r="C598" s="50"/>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ht="15.5" customHeight="1" spans="1:26">
      <c r="A599" s="50"/>
      <c r="B599" s="50"/>
      <c r="C599" s="50"/>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ht="15.5" customHeight="1" spans="1:26">
      <c r="A600" s="50"/>
      <c r="B600" s="50"/>
      <c r="C600" s="50"/>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ht="15.5" customHeight="1" spans="1:26">
      <c r="A601" s="50"/>
      <c r="B601" s="50"/>
      <c r="C601" s="50"/>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ht="15.5" customHeight="1" spans="1:26">
      <c r="A602" s="50"/>
      <c r="B602" s="50"/>
      <c r="C602" s="50"/>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ht="15.5" customHeight="1" spans="1:26">
      <c r="A603" s="50"/>
      <c r="B603" s="50"/>
      <c r="C603" s="50"/>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ht="15.5" customHeight="1" spans="1:26">
      <c r="A604" s="50"/>
      <c r="B604" s="50"/>
      <c r="C604" s="50"/>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ht="15.5" customHeight="1" spans="1:26">
      <c r="A605" s="50"/>
      <c r="B605" s="50"/>
      <c r="C605" s="50"/>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ht="15.5" customHeight="1" spans="1:26">
      <c r="A606" s="50"/>
      <c r="B606" s="50"/>
      <c r="C606" s="50"/>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ht="15.5" customHeight="1" spans="1:26">
      <c r="A607" s="50"/>
      <c r="B607" s="50"/>
      <c r="C607" s="50"/>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ht="15.5" customHeight="1" spans="1:26">
      <c r="A608" s="50"/>
      <c r="B608" s="50"/>
      <c r="C608" s="50"/>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ht="15.5" customHeight="1" spans="1:26">
      <c r="A609" s="50"/>
      <c r="B609" s="50"/>
      <c r="C609" s="50"/>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ht="15.5" customHeight="1" spans="1:26">
      <c r="A610" s="50"/>
      <c r="B610" s="50"/>
      <c r="C610" s="50"/>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ht="15.5" customHeight="1" spans="1:26">
      <c r="A611" s="50"/>
      <c r="B611" s="50"/>
      <c r="C611" s="50"/>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ht="15.5" customHeight="1" spans="1:26">
      <c r="A612" s="50"/>
      <c r="B612" s="50"/>
      <c r="C612" s="50"/>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ht="15.5" customHeight="1" spans="1:26">
      <c r="A613" s="50"/>
      <c r="B613" s="50"/>
      <c r="C613" s="50"/>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ht="15.5" customHeight="1" spans="1:26">
      <c r="A614" s="50"/>
      <c r="B614" s="50"/>
      <c r="C614" s="50"/>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ht="15.5" customHeight="1" spans="1:26">
      <c r="A615" s="50"/>
      <c r="B615" s="50"/>
      <c r="C615" s="50"/>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ht="15.5" customHeight="1" spans="1:26">
      <c r="A616" s="50"/>
      <c r="B616" s="50"/>
      <c r="C616" s="50"/>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ht="15.5" customHeight="1" spans="1:26">
      <c r="A617" s="50"/>
      <c r="B617" s="50"/>
      <c r="C617" s="50"/>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ht="15.5" customHeight="1" spans="1:26">
      <c r="A618" s="50"/>
      <c r="B618" s="50"/>
      <c r="C618" s="50"/>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ht="15.5" customHeight="1" spans="1:26">
      <c r="A619" s="50"/>
      <c r="B619" s="50"/>
      <c r="C619" s="50"/>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ht="15.5" customHeight="1" spans="1:26">
      <c r="A620" s="50"/>
      <c r="B620" s="50"/>
      <c r="C620" s="50"/>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ht="15.5" customHeight="1" spans="1:26">
      <c r="A621" s="50"/>
      <c r="B621" s="50"/>
      <c r="C621" s="50"/>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ht="15.5" customHeight="1" spans="1:26">
      <c r="A622" s="50"/>
      <c r="B622" s="50"/>
      <c r="C622" s="50"/>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ht="15.5" customHeight="1" spans="1:26">
      <c r="A623" s="50"/>
      <c r="B623" s="50"/>
      <c r="C623" s="50"/>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ht="15.5" customHeight="1" spans="1:26">
      <c r="A624" s="50"/>
      <c r="B624" s="50"/>
      <c r="C624" s="50"/>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ht="15.5" customHeight="1" spans="1:26">
      <c r="A625" s="50"/>
      <c r="B625" s="50"/>
      <c r="C625" s="50"/>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ht="15.5" customHeight="1" spans="1:26">
      <c r="A626" s="50"/>
      <c r="B626" s="50"/>
      <c r="C626" s="50"/>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ht="15.5" customHeight="1" spans="1:26">
      <c r="A627" s="50"/>
      <c r="B627" s="50"/>
      <c r="C627" s="50"/>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ht="15.5" customHeight="1" spans="1:26">
      <c r="A628" s="50"/>
      <c r="B628" s="50"/>
      <c r="C628" s="50"/>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ht="15.5" customHeight="1" spans="1:26">
      <c r="A629" s="50"/>
      <c r="B629" s="50"/>
      <c r="C629" s="50"/>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ht="15.5" customHeight="1" spans="1:26">
      <c r="A630" s="50"/>
      <c r="B630" s="50"/>
      <c r="C630" s="50"/>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ht="15.5" customHeight="1" spans="1:26">
      <c r="A631" s="50"/>
      <c r="B631" s="50"/>
      <c r="C631" s="50"/>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ht="15.5" customHeight="1" spans="1:26">
      <c r="A632" s="50"/>
      <c r="B632" s="50"/>
      <c r="C632" s="50"/>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ht="15.5" customHeight="1" spans="1:26">
      <c r="A633" s="50"/>
      <c r="B633" s="50"/>
      <c r="C633" s="50"/>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ht="15.5" customHeight="1" spans="1:26">
      <c r="A634" s="50"/>
      <c r="B634" s="50"/>
      <c r="C634" s="50"/>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ht="15.5" customHeight="1" spans="1:26">
      <c r="A635" s="50"/>
      <c r="B635" s="50"/>
      <c r="C635" s="50"/>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ht="15.5" customHeight="1" spans="1:26">
      <c r="A636" s="50"/>
      <c r="B636" s="50"/>
      <c r="C636" s="50"/>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ht="15.5" customHeight="1" spans="1:26">
      <c r="A637" s="50"/>
      <c r="B637" s="50"/>
      <c r="C637" s="50"/>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ht="15.5" customHeight="1" spans="1:26">
      <c r="A638" s="50"/>
      <c r="B638" s="50"/>
      <c r="C638" s="50"/>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ht="15.5" customHeight="1" spans="1:26">
      <c r="A639" s="50"/>
      <c r="B639" s="50"/>
      <c r="C639" s="50"/>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ht="15.5" customHeight="1" spans="1:26">
      <c r="A640" s="50"/>
      <c r="B640" s="50"/>
      <c r="C640" s="50"/>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ht="15.5" customHeight="1" spans="1:26">
      <c r="A641" s="50"/>
      <c r="B641" s="50"/>
      <c r="C641" s="50"/>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ht="15.5" customHeight="1" spans="1:26">
      <c r="A642" s="50"/>
      <c r="B642" s="50"/>
      <c r="C642" s="50"/>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ht="15.5" customHeight="1" spans="1:26">
      <c r="A643" s="50"/>
      <c r="B643" s="50"/>
      <c r="C643" s="50"/>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ht="15.5" customHeight="1" spans="1:26">
      <c r="A644" s="50"/>
      <c r="B644" s="50"/>
      <c r="C644" s="50"/>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ht="15.5" customHeight="1" spans="1:26">
      <c r="A645" s="50"/>
      <c r="B645" s="50"/>
      <c r="C645" s="50"/>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ht="15.5" customHeight="1" spans="1:26">
      <c r="A646" s="50"/>
      <c r="B646" s="50"/>
      <c r="C646" s="50"/>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ht="15.5" customHeight="1" spans="1:26">
      <c r="A647" s="50"/>
      <c r="B647" s="50"/>
      <c r="C647" s="50"/>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ht="15.5" customHeight="1" spans="1:26">
      <c r="A648" s="50"/>
      <c r="B648" s="50"/>
      <c r="C648" s="50"/>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ht="15.5" customHeight="1" spans="1:26">
      <c r="A649" s="50"/>
      <c r="B649" s="50"/>
      <c r="C649" s="50"/>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ht="15.5" customHeight="1" spans="1:26">
      <c r="A650" s="50"/>
      <c r="B650" s="50"/>
      <c r="C650" s="50"/>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ht="15.5" customHeight="1" spans="1:26">
      <c r="A651" s="50"/>
      <c r="B651" s="50"/>
      <c r="C651" s="50"/>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ht="15.5" customHeight="1" spans="1:26">
      <c r="A652" s="50"/>
      <c r="B652" s="50"/>
      <c r="C652" s="50"/>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ht="15.5" customHeight="1" spans="1:26">
      <c r="A653" s="50"/>
      <c r="B653" s="50"/>
      <c r="C653" s="50"/>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ht="15.5" customHeight="1" spans="1:26">
      <c r="A654" s="50"/>
      <c r="B654" s="50"/>
      <c r="C654" s="50"/>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ht="15.5" customHeight="1" spans="1:26">
      <c r="A655" s="50"/>
      <c r="B655" s="50"/>
      <c r="C655" s="50"/>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ht="15.5" customHeight="1" spans="1:26">
      <c r="A656" s="50"/>
      <c r="B656" s="50"/>
      <c r="C656" s="50"/>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ht="15.5" customHeight="1" spans="1:26">
      <c r="A657" s="50"/>
      <c r="B657" s="50"/>
      <c r="C657" s="50"/>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ht="15.5" customHeight="1" spans="1:26">
      <c r="A658" s="50"/>
      <c r="B658" s="50"/>
      <c r="C658" s="50"/>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ht="15.5" customHeight="1" spans="1:26">
      <c r="A659" s="50"/>
      <c r="B659" s="50"/>
      <c r="C659" s="50"/>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ht="15.5" customHeight="1" spans="1:26">
      <c r="A660" s="50"/>
      <c r="B660" s="50"/>
      <c r="C660" s="50"/>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ht="15.5" customHeight="1" spans="1:26">
      <c r="A661" s="50"/>
      <c r="B661" s="50"/>
      <c r="C661" s="50"/>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ht="15.5" customHeight="1" spans="1:26">
      <c r="A662" s="50"/>
      <c r="B662" s="50"/>
      <c r="C662" s="50"/>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ht="15.5" customHeight="1" spans="1:26">
      <c r="A663" s="50"/>
      <c r="B663" s="50"/>
      <c r="C663" s="50"/>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ht="15.5" customHeight="1" spans="1:26">
      <c r="A664" s="50"/>
      <c r="B664" s="50"/>
      <c r="C664" s="50"/>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ht="15.5" customHeight="1" spans="1:26">
      <c r="A665" s="50"/>
      <c r="B665" s="50"/>
      <c r="C665" s="50"/>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ht="15.5" customHeight="1" spans="1:26">
      <c r="A666" s="50"/>
      <c r="B666" s="50"/>
      <c r="C666" s="50"/>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ht="15.5" customHeight="1" spans="1:26">
      <c r="A667" s="50"/>
      <c r="B667" s="50"/>
      <c r="C667" s="50"/>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ht="15.5" customHeight="1" spans="1:26">
      <c r="A668" s="50"/>
      <c r="B668" s="50"/>
      <c r="C668" s="50"/>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ht="15.5" customHeight="1" spans="1:26">
      <c r="A669" s="50"/>
      <c r="B669" s="50"/>
      <c r="C669" s="50"/>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ht="15.5" customHeight="1" spans="1:26">
      <c r="A670" s="50"/>
      <c r="B670" s="50"/>
      <c r="C670" s="50"/>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ht="15.5" customHeight="1" spans="1:26">
      <c r="A671" s="50"/>
      <c r="B671" s="50"/>
      <c r="C671" s="50"/>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ht="15.5" customHeight="1" spans="1:26">
      <c r="A672" s="50"/>
      <c r="B672" s="50"/>
      <c r="C672" s="50"/>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ht="15.5" customHeight="1" spans="1:26">
      <c r="A673" s="50"/>
      <c r="B673" s="50"/>
      <c r="C673" s="50"/>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ht="15.5" customHeight="1" spans="1:26">
      <c r="A674" s="50"/>
      <c r="B674" s="50"/>
      <c r="C674" s="50"/>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ht="15.5" customHeight="1" spans="1:26">
      <c r="A675" s="50"/>
      <c r="B675" s="50"/>
      <c r="C675" s="50"/>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ht="15.5" customHeight="1" spans="1:26">
      <c r="A676" s="50"/>
      <c r="B676" s="50"/>
      <c r="C676" s="50"/>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ht="15.5" customHeight="1" spans="1:26">
      <c r="A677" s="50"/>
      <c r="B677" s="50"/>
      <c r="C677" s="50"/>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ht="15.5" customHeight="1" spans="1:26">
      <c r="A678" s="50"/>
      <c r="B678" s="50"/>
      <c r="C678" s="50"/>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ht="15.5" customHeight="1" spans="1:26">
      <c r="A679" s="50"/>
      <c r="B679" s="50"/>
      <c r="C679" s="50"/>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ht="15.5" customHeight="1" spans="1:26">
      <c r="A680" s="50"/>
      <c r="B680" s="50"/>
      <c r="C680" s="50"/>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ht="15.5" customHeight="1" spans="1:26">
      <c r="A681" s="50"/>
      <c r="B681" s="50"/>
      <c r="C681" s="50"/>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ht="15.5" customHeight="1" spans="1:26">
      <c r="A682" s="50"/>
      <c r="B682" s="50"/>
      <c r="C682" s="50"/>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ht="15.5" customHeight="1" spans="1:26">
      <c r="A683" s="50"/>
      <c r="B683" s="50"/>
      <c r="C683" s="50"/>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ht="15.5" customHeight="1" spans="1:26">
      <c r="A684" s="50"/>
      <c r="B684" s="50"/>
      <c r="C684" s="50"/>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ht="15.5" customHeight="1" spans="1:26">
      <c r="A685" s="50"/>
      <c r="B685" s="50"/>
      <c r="C685" s="50"/>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ht="15.5" customHeight="1" spans="1:26">
      <c r="A686" s="50"/>
      <c r="B686" s="50"/>
      <c r="C686" s="50"/>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ht="15.5" customHeight="1" spans="1:26">
      <c r="A687" s="50"/>
      <c r="B687" s="50"/>
      <c r="C687" s="50"/>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ht="15.5" customHeight="1" spans="1:26">
      <c r="A688" s="50"/>
      <c r="B688" s="50"/>
      <c r="C688" s="50"/>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ht="15.5" customHeight="1" spans="1:26">
      <c r="A689" s="50"/>
      <c r="B689" s="50"/>
      <c r="C689" s="50"/>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ht="15.5" customHeight="1" spans="1:26">
      <c r="A690" s="50"/>
      <c r="B690" s="50"/>
      <c r="C690" s="50"/>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ht="15.5" customHeight="1" spans="1:26">
      <c r="A691" s="50"/>
      <c r="B691" s="50"/>
      <c r="C691" s="50"/>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ht="15.5" customHeight="1" spans="1:26">
      <c r="A692" s="50"/>
      <c r="B692" s="50"/>
      <c r="C692" s="50"/>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ht="15.5" customHeight="1" spans="1:26">
      <c r="A693" s="50"/>
      <c r="B693" s="50"/>
      <c r="C693" s="50"/>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ht="15.5" customHeight="1" spans="1:26">
      <c r="A694" s="50"/>
      <c r="B694" s="50"/>
      <c r="C694" s="50"/>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ht="15.5" customHeight="1" spans="1:26">
      <c r="A695" s="50"/>
      <c r="B695" s="50"/>
      <c r="C695" s="50"/>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ht="15.5" customHeight="1" spans="1:26">
      <c r="A696" s="50"/>
      <c r="B696" s="50"/>
      <c r="C696" s="50"/>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ht="15.5" customHeight="1" spans="1:26">
      <c r="A697" s="50"/>
      <c r="B697" s="50"/>
      <c r="C697" s="50"/>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ht="15.5" customHeight="1" spans="1:26">
      <c r="A698" s="50"/>
      <c r="B698" s="50"/>
      <c r="C698" s="50"/>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ht="15.5" customHeight="1" spans="1:26">
      <c r="A699" s="50"/>
      <c r="B699" s="50"/>
      <c r="C699" s="50"/>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ht="15.5" customHeight="1" spans="1:26">
      <c r="A700" s="50"/>
      <c r="B700" s="50"/>
      <c r="C700" s="50"/>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ht="15.5" customHeight="1" spans="1:26">
      <c r="A701" s="50"/>
      <c r="B701" s="50"/>
      <c r="C701" s="50"/>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ht="15.5" customHeight="1" spans="1:26">
      <c r="A702" s="50"/>
      <c r="B702" s="50"/>
      <c r="C702" s="50"/>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ht="15.5" customHeight="1" spans="1:26">
      <c r="A703" s="50"/>
      <c r="B703" s="50"/>
      <c r="C703" s="50"/>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ht="15.5" customHeight="1" spans="1:26">
      <c r="A704" s="50"/>
      <c r="B704" s="50"/>
      <c r="C704" s="50"/>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ht="15.5" customHeight="1" spans="1:26">
      <c r="A705" s="50"/>
      <c r="B705" s="50"/>
      <c r="C705" s="50"/>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ht="15.5" customHeight="1" spans="1:26">
      <c r="A706" s="50"/>
      <c r="B706" s="50"/>
      <c r="C706" s="50"/>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ht="15.5" customHeight="1" spans="1:26">
      <c r="A707" s="50"/>
      <c r="B707" s="50"/>
      <c r="C707" s="50"/>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ht="15.5" customHeight="1" spans="1:26">
      <c r="A708" s="50"/>
      <c r="B708" s="50"/>
      <c r="C708" s="50"/>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ht="15.5" customHeight="1" spans="1:26">
      <c r="A709" s="50"/>
      <c r="B709" s="50"/>
      <c r="C709" s="50"/>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ht="15.5" customHeight="1" spans="1:26">
      <c r="A710" s="50"/>
      <c r="B710" s="50"/>
      <c r="C710" s="50"/>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ht="15.5" customHeight="1" spans="1:26">
      <c r="A711" s="50"/>
      <c r="B711" s="50"/>
      <c r="C711" s="50"/>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ht="15.5" customHeight="1" spans="1:26">
      <c r="A712" s="50"/>
      <c r="B712" s="50"/>
      <c r="C712" s="50"/>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ht="15.5" customHeight="1" spans="1:26">
      <c r="A713" s="50"/>
      <c r="B713" s="50"/>
      <c r="C713" s="50"/>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ht="15.5" customHeight="1" spans="1:26">
      <c r="A714" s="50"/>
      <c r="B714" s="50"/>
      <c r="C714" s="50"/>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ht="15.5" customHeight="1" spans="1:26">
      <c r="A715" s="50"/>
      <c r="B715" s="50"/>
      <c r="C715" s="50"/>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ht="15.5" customHeight="1" spans="1:26">
      <c r="A716" s="50"/>
      <c r="B716" s="50"/>
      <c r="C716" s="50"/>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ht="15.5" customHeight="1" spans="1:26">
      <c r="A717" s="50"/>
      <c r="B717" s="50"/>
      <c r="C717" s="50"/>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ht="15.5" customHeight="1" spans="1:26">
      <c r="A718" s="50"/>
      <c r="B718" s="50"/>
      <c r="C718" s="50"/>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ht="15.5" customHeight="1" spans="1:26">
      <c r="A719" s="50"/>
      <c r="B719" s="50"/>
      <c r="C719" s="50"/>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ht="15.5" customHeight="1" spans="1:26">
      <c r="A720" s="50"/>
      <c r="B720" s="50"/>
      <c r="C720" s="50"/>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ht="15.5" customHeight="1" spans="1:26">
      <c r="A721" s="50"/>
      <c r="B721" s="50"/>
      <c r="C721" s="50"/>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ht="15.5" customHeight="1" spans="1:26">
      <c r="A722" s="50"/>
      <c r="B722" s="50"/>
      <c r="C722" s="50"/>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ht="15.5" customHeight="1" spans="1:26">
      <c r="A723" s="50"/>
      <c r="B723" s="50"/>
      <c r="C723" s="50"/>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ht="15.5" customHeight="1" spans="1:26">
      <c r="A724" s="50"/>
      <c r="B724" s="50"/>
      <c r="C724" s="50"/>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ht="15.5" customHeight="1" spans="1:26">
      <c r="A725" s="50"/>
      <c r="B725" s="50"/>
      <c r="C725" s="50"/>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ht="15.5" customHeight="1" spans="1:26">
      <c r="A726" s="50"/>
      <c r="B726" s="50"/>
      <c r="C726" s="50"/>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ht="15.5" customHeight="1" spans="1:26">
      <c r="A727" s="50"/>
      <c r="B727" s="50"/>
      <c r="C727" s="50"/>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ht="15.5" customHeight="1" spans="1:26">
      <c r="A728" s="50"/>
      <c r="B728" s="50"/>
      <c r="C728" s="50"/>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ht="15.5" customHeight="1" spans="1:26">
      <c r="A729" s="50"/>
      <c r="B729" s="50"/>
      <c r="C729" s="50"/>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ht="15.5" customHeight="1" spans="1:26">
      <c r="A730" s="50"/>
      <c r="B730" s="50"/>
      <c r="C730" s="50"/>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ht="15.5" customHeight="1" spans="1:26">
      <c r="A731" s="50"/>
      <c r="B731" s="50"/>
      <c r="C731" s="50"/>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ht="15.5" customHeight="1" spans="1:26">
      <c r="A732" s="50"/>
      <c r="B732" s="50"/>
      <c r="C732" s="50"/>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ht="15.5" customHeight="1" spans="1:26">
      <c r="A733" s="50"/>
      <c r="B733" s="50"/>
      <c r="C733" s="50"/>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ht="15.5" customHeight="1" spans="1:26">
      <c r="A734" s="50"/>
      <c r="B734" s="50"/>
      <c r="C734" s="50"/>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ht="15.5" customHeight="1" spans="1:26">
      <c r="A735" s="50"/>
      <c r="B735" s="50"/>
      <c r="C735" s="50"/>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ht="15.5" customHeight="1" spans="1:26">
      <c r="A736" s="50"/>
      <c r="B736" s="50"/>
      <c r="C736" s="50"/>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ht="15.5" customHeight="1" spans="1:26">
      <c r="A737" s="50"/>
      <c r="B737" s="50"/>
      <c r="C737" s="50"/>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ht="15.5" customHeight="1" spans="1:26">
      <c r="A738" s="50"/>
      <c r="B738" s="50"/>
      <c r="C738" s="50"/>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ht="15.5" customHeight="1" spans="1:26">
      <c r="A739" s="50"/>
      <c r="B739" s="50"/>
      <c r="C739" s="50"/>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ht="15.5" customHeight="1" spans="1:26">
      <c r="A740" s="50"/>
      <c r="B740" s="50"/>
      <c r="C740" s="50"/>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ht="15.5" customHeight="1" spans="1:26">
      <c r="A741" s="50"/>
      <c r="B741" s="50"/>
      <c r="C741" s="50"/>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ht="15.5" customHeight="1" spans="1:26">
      <c r="A742" s="50"/>
      <c r="B742" s="50"/>
      <c r="C742" s="50"/>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ht="15.5" customHeight="1" spans="1:26">
      <c r="A743" s="50"/>
      <c r="B743" s="50"/>
      <c r="C743" s="50"/>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ht="15.5" customHeight="1" spans="1:26">
      <c r="A744" s="50"/>
      <c r="B744" s="50"/>
      <c r="C744" s="50"/>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ht="15.5" customHeight="1" spans="1:26">
      <c r="A745" s="50"/>
      <c r="B745" s="50"/>
      <c r="C745" s="50"/>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ht="15.5" customHeight="1" spans="1:26">
      <c r="A746" s="50"/>
      <c r="B746" s="50"/>
      <c r="C746" s="50"/>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ht="15.5" customHeight="1" spans="1:26">
      <c r="A747" s="50"/>
      <c r="B747" s="50"/>
      <c r="C747" s="50"/>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ht="15.5" customHeight="1" spans="1:26">
      <c r="A748" s="50"/>
      <c r="B748" s="50"/>
      <c r="C748" s="50"/>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ht="15.5" customHeight="1" spans="1:26">
      <c r="A749" s="50"/>
      <c r="B749" s="50"/>
      <c r="C749" s="50"/>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ht="15.5" customHeight="1" spans="1:26">
      <c r="A750" s="50"/>
      <c r="B750" s="50"/>
      <c r="C750" s="50"/>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ht="15.5" customHeight="1" spans="1:26">
      <c r="A751" s="50"/>
      <c r="B751" s="50"/>
      <c r="C751" s="50"/>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ht="15.5" customHeight="1" spans="1:26">
      <c r="A752" s="50"/>
      <c r="B752" s="50"/>
      <c r="C752" s="50"/>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ht="15.5" customHeight="1" spans="1:26">
      <c r="A753" s="50"/>
      <c r="B753" s="50"/>
      <c r="C753" s="50"/>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ht="15.5" customHeight="1" spans="1:26">
      <c r="A754" s="50"/>
      <c r="B754" s="50"/>
      <c r="C754" s="50"/>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ht="15.5" customHeight="1" spans="1:26">
      <c r="A755" s="50"/>
      <c r="B755" s="50"/>
      <c r="C755" s="50"/>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ht="15.5" customHeight="1" spans="1:26">
      <c r="A756" s="50"/>
      <c r="B756" s="50"/>
      <c r="C756" s="50"/>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ht="15.5" customHeight="1" spans="1:26">
      <c r="A757" s="50"/>
      <c r="B757" s="50"/>
      <c r="C757" s="50"/>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ht="15.5" customHeight="1" spans="1:26">
      <c r="A758" s="50"/>
      <c r="B758" s="50"/>
      <c r="C758" s="50"/>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ht="15.5" customHeight="1" spans="1:26">
      <c r="A759" s="50"/>
      <c r="B759" s="50"/>
      <c r="C759" s="50"/>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ht="15.5" customHeight="1" spans="1:26">
      <c r="A760" s="50"/>
      <c r="B760" s="50"/>
      <c r="C760" s="50"/>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ht="15.5" customHeight="1" spans="1:26">
      <c r="A761" s="50"/>
      <c r="B761" s="50"/>
      <c r="C761" s="50"/>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ht="15.5" customHeight="1" spans="1:26">
      <c r="A762" s="50"/>
      <c r="B762" s="50"/>
      <c r="C762" s="50"/>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ht="15.5" customHeight="1" spans="1:26">
      <c r="A763" s="50"/>
      <c r="B763" s="50"/>
      <c r="C763" s="50"/>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ht="15.5" customHeight="1" spans="1:26">
      <c r="A764" s="50"/>
      <c r="B764" s="50"/>
      <c r="C764" s="50"/>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ht="15.5" customHeight="1" spans="1:26">
      <c r="A765" s="50"/>
      <c r="B765" s="50"/>
      <c r="C765" s="50"/>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ht="15.5" customHeight="1" spans="1:26">
      <c r="A766" s="50"/>
      <c r="B766" s="50"/>
      <c r="C766" s="50"/>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ht="15.5" customHeight="1" spans="1:26">
      <c r="A767" s="50"/>
      <c r="B767" s="50"/>
      <c r="C767" s="50"/>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ht="15.5" customHeight="1" spans="1:26">
      <c r="A768" s="50"/>
      <c r="B768" s="50"/>
      <c r="C768" s="50"/>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ht="15.5" customHeight="1" spans="1:26">
      <c r="A769" s="50"/>
      <c r="B769" s="50"/>
      <c r="C769" s="50"/>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ht="15.5" customHeight="1" spans="1:26">
      <c r="A770" s="50"/>
      <c r="B770" s="50"/>
      <c r="C770" s="50"/>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ht="15.5" customHeight="1" spans="1:26">
      <c r="A771" s="50"/>
      <c r="B771" s="50"/>
      <c r="C771" s="50"/>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ht="15.5" customHeight="1" spans="1:26">
      <c r="A772" s="50"/>
      <c r="B772" s="50"/>
      <c r="C772" s="50"/>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ht="15.5" customHeight="1" spans="1:26">
      <c r="A773" s="50"/>
      <c r="B773" s="50"/>
      <c r="C773" s="50"/>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ht="15.5" customHeight="1" spans="1:26">
      <c r="A774" s="50"/>
      <c r="B774" s="50"/>
      <c r="C774" s="50"/>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ht="15.5" customHeight="1" spans="1:26">
      <c r="A775" s="50"/>
      <c r="B775" s="50"/>
      <c r="C775" s="50"/>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ht="15.5" customHeight="1" spans="1:26">
      <c r="A776" s="50"/>
      <c r="B776" s="50"/>
      <c r="C776" s="50"/>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ht="15.5" customHeight="1" spans="1:26">
      <c r="A777" s="50"/>
      <c r="B777" s="50"/>
      <c r="C777" s="50"/>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ht="15.5" customHeight="1" spans="1:26">
      <c r="A778" s="50"/>
      <c r="B778" s="50"/>
      <c r="C778" s="50"/>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ht="15.5" customHeight="1" spans="1:26">
      <c r="A779" s="50"/>
      <c r="B779" s="50"/>
      <c r="C779" s="50"/>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ht="15.5" customHeight="1" spans="1:26">
      <c r="A780" s="50"/>
      <c r="B780" s="50"/>
      <c r="C780" s="50"/>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ht="15.5" customHeight="1" spans="1:26">
      <c r="A781" s="50"/>
      <c r="B781" s="50"/>
      <c r="C781" s="50"/>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ht="15.5" customHeight="1" spans="1:26">
      <c r="A782" s="50"/>
      <c r="B782" s="50"/>
      <c r="C782" s="50"/>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ht="15.5" customHeight="1" spans="1:26">
      <c r="A783" s="50"/>
      <c r="B783" s="50"/>
      <c r="C783" s="50"/>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ht="15.5" customHeight="1" spans="1:26">
      <c r="A784" s="50"/>
      <c r="B784" s="50"/>
      <c r="C784" s="50"/>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ht="15.5" customHeight="1" spans="1:26">
      <c r="A785" s="50"/>
      <c r="B785" s="50"/>
      <c r="C785" s="50"/>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ht="15.5" customHeight="1" spans="1:26">
      <c r="A786" s="50"/>
      <c r="B786" s="50"/>
      <c r="C786" s="50"/>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ht="15.5" customHeight="1" spans="1:26">
      <c r="A787" s="50"/>
      <c r="B787" s="50"/>
      <c r="C787" s="50"/>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ht="15.5" customHeight="1" spans="1:26">
      <c r="A788" s="50"/>
      <c r="B788" s="50"/>
      <c r="C788" s="50"/>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ht="15.5" customHeight="1" spans="1:26">
      <c r="A789" s="50"/>
      <c r="B789" s="50"/>
      <c r="C789" s="50"/>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ht="15.5" customHeight="1" spans="1:26">
      <c r="A790" s="50"/>
      <c r="B790" s="50"/>
      <c r="C790" s="50"/>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ht="15.5" customHeight="1" spans="1:26">
      <c r="A791" s="50"/>
      <c r="B791" s="50"/>
      <c r="C791" s="50"/>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ht="15.5" customHeight="1" spans="1:26">
      <c r="A792" s="50"/>
      <c r="B792" s="50"/>
      <c r="C792" s="50"/>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ht="15.5" customHeight="1" spans="1:26">
      <c r="A793" s="50"/>
      <c r="B793" s="50"/>
      <c r="C793" s="50"/>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ht="15.5" customHeight="1" spans="1:26">
      <c r="A794" s="50"/>
      <c r="B794" s="50"/>
      <c r="C794" s="50"/>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ht="15.5" customHeight="1" spans="1:26">
      <c r="A795" s="50"/>
      <c r="B795" s="50"/>
      <c r="C795" s="50"/>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ht="15.5" customHeight="1" spans="1:26">
      <c r="A796" s="50"/>
      <c r="B796" s="50"/>
      <c r="C796" s="50"/>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ht="15.5" customHeight="1" spans="1:26">
      <c r="A797" s="50"/>
      <c r="B797" s="50"/>
      <c r="C797" s="50"/>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ht="15.5" customHeight="1" spans="1:26">
      <c r="A798" s="50"/>
      <c r="B798" s="50"/>
      <c r="C798" s="50"/>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ht="15.5" customHeight="1" spans="1:26">
      <c r="A799" s="50"/>
      <c r="B799" s="50"/>
      <c r="C799" s="50"/>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ht="15.5" customHeight="1" spans="1:26">
      <c r="A800" s="50"/>
      <c r="B800" s="50"/>
      <c r="C800" s="50"/>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ht="15.5" customHeight="1" spans="1:26">
      <c r="A801" s="50"/>
      <c r="B801" s="50"/>
      <c r="C801" s="50"/>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ht="15.5" customHeight="1" spans="1:26">
      <c r="A802" s="50"/>
      <c r="B802" s="50"/>
      <c r="C802" s="50"/>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ht="15.5" customHeight="1" spans="1:26">
      <c r="A803" s="50"/>
      <c r="B803" s="50"/>
      <c r="C803" s="50"/>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ht="15.5" customHeight="1" spans="1:26">
      <c r="A804" s="50"/>
      <c r="B804" s="50"/>
      <c r="C804" s="50"/>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ht="15.5" customHeight="1" spans="1:26">
      <c r="A805" s="50"/>
      <c r="B805" s="50"/>
      <c r="C805" s="50"/>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ht="15.5" customHeight="1" spans="1:26">
      <c r="A806" s="50"/>
      <c r="B806" s="50"/>
      <c r="C806" s="50"/>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ht="15.5" customHeight="1" spans="1:26">
      <c r="A807" s="50"/>
      <c r="B807" s="50"/>
      <c r="C807" s="50"/>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ht="15.5" customHeight="1" spans="1:26">
      <c r="A808" s="50"/>
      <c r="B808" s="50"/>
      <c r="C808" s="50"/>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ht="15.5" customHeight="1" spans="1:26">
      <c r="A809" s="50"/>
      <c r="B809" s="50"/>
      <c r="C809" s="50"/>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ht="15.5" customHeight="1" spans="1:26">
      <c r="A810" s="50"/>
      <c r="B810" s="50"/>
      <c r="C810" s="50"/>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ht="15.5" customHeight="1" spans="1:26">
      <c r="A811" s="50"/>
      <c r="B811" s="50"/>
      <c r="C811" s="50"/>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ht="15.5" customHeight="1" spans="1:26">
      <c r="A812" s="50"/>
      <c r="B812" s="50"/>
      <c r="C812" s="50"/>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ht="15.5" customHeight="1" spans="1:26">
      <c r="A813" s="50"/>
      <c r="B813" s="50"/>
      <c r="C813" s="50"/>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ht="15.5" customHeight="1" spans="1:26">
      <c r="A814" s="50"/>
      <c r="B814" s="50"/>
      <c r="C814" s="50"/>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ht="15.5" customHeight="1" spans="1:26">
      <c r="A815" s="50"/>
      <c r="B815" s="50"/>
      <c r="C815" s="50"/>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ht="15.5" customHeight="1" spans="1:26">
      <c r="A816" s="50"/>
      <c r="B816" s="50"/>
      <c r="C816" s="50"/>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ht="15.5" customHeight="1" spans="1:26">
      <c r="A817" s="50"/>
      <c r="B817" s="50"/>
      <c r="C817" s="50"/>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ht="15.5" customHeight="1" spans="1:26">
      <c r="A818" s="50"/>
      <c r="B818" s="50"/>
      <c r="C818" s="50"/>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ht="15.5" customHeight="1" spans="1:26">
      <c r="A819" s="50"/>
      <c r="B819" s="50"/>
      <c r="C819" s="50"/>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ht="15.5" customHeight="1" spans="1:26">
      <c r="A820" s="50"/>
      <c r="B820" s="50"/>
      <c r="C820" s="50"/>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ht="15.5" customHeight="1" spans="1:26">
      <c r="A821" s="50"/>
      <c r="B821" s="50"/>
      <c r="C821" s="50"/>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ht="15.5" customHeight="1" spans="1:26">
      <c r="A822" s="50"/>
      <c r="B822" s="50"/>
      <c r="C822" s="50"/>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ht="15.5" customHeight="1" spans="1:26">
      <c r="A823" s="50"/>
      <c r="B823" s="50"/>
      <c r="C823" s="50"/>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ht="15.5" customHeight="1" spans="1:26">
      <c r="A824" s="50"/>
      <c r="B824" s="50"/>
      <c r="C824" s="50"/>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ht="15.5" customHeight="1" spans="1:26">
      <c r="A825" s="50"/>
      <c r="B825" s="50"/>
      <c r="C825" s="50"/>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ht="15.5" customHeight="1" spans="1:26">
      <c r="A826" s="50"/>
      <c r="B826" s="50"/>
      <c r="C826" s="50"/>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ht="15.5" customHeight="1" spans="1:26">
      <c r="A827" s="50"/>
      <c r="B827" s="50"/>
      <c r="C827" s="50"/>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ht="15.5" customHeight="1" spans="1:26">
      <c r="A828" s="50"/>
      <c r="B828" s="50"/>
      <c r="C828" s="50"/>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ht="15.5" customHeight="1" spans="1:26">
      <c r="A829" s="50"/>
      <c r="B829" s="50"/>
      <c r="C829" s="50"/>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ht="15.5" customHeight="1" spans="1:26">
      <c r="A830" s="50"/>
      <c r="B830" s="50"/>
      <c r="C830" s="50"/>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ht="15.5" customHeight="1" spans="1:26">
      <c r="A831" s="50"/>
      <c r="B831" s="50"/>
      <c r="C831" s="50"/>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ht="15.5" customHeight="1" spans="1:26">
      <c r="A832" s="50"/>
      <c r="B832" s="50"/>
      <c r="C832" s="50"/>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ht="15.5" customHeight="1" spans="1:26">
      <c r="A833" s="50"/>
      <c r="B833" s="50"/>
      <c r="C833" s="50"/>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ht="15.5" customHeight="1" spans="1:26">
      <c r="A834" s="50"/>
      <c r="B834" s="50"/>
      <c r="C834" s="50"/>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ht="15.5" customHeight="1" spans="1:26">
      <c r="A835" s="50"/>
      <c r="B835" s="50"/>
      <c r="C835" s="50"/>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ht="15.5" customHeight="1" spans="1:26">
      <c r="A836" s="50"/>
      <c r="B836" s="50"/>
      <c r="C836" s="50"/>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ht="15.5" customHeight="1" spans="1:26">
      <c r="A837" s="50"/>
      <c r="B837" s="50"/>
      <c r="C837" s="50"/>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ht="15.5" customHeight="1" spans="1:26">
      <c r="A838" s="50"/>
      <c r="B838" s="50"/>
      <c r="C838" s="50"/>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ht="15.5" customHeight="1" spans="1:26">
      <c r="A839" s="50"/>
      <c r="B839" s="50"/>
      <c r="C839" s="50"/>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ht="15.5" customHeight="1" spans="1:26">
      <c r="A840" s="50"/>
      <c r="B840" s="50"/>
      <c r="C840" s="50"/>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ht="15.5" customHeight="1" spans="1:26">
      <c r="A841" s="50"/>
      <c r="B841" s="50"/>
      <c r="C841" s="50"/>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ht="15.5" customHeight="1" spans="1:26">
      <c r="A842" s="50"/>
      <c r="B842" s="50"/>
      <c r="C842" s="50"/>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ht="15.5" customHeight="1" spans="1:26">
      <c r="A843" s="50"/>
      <c r="B843" s="50"/>
      <c r="C843" s="50"/>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ht="15.5" customHeight="1" spans="1:26">
      <c r="A844" s="50"/>
      <c r="B844" s="50"/>
      <c r="C844" s="50"/>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ht="15.5" customHeight="1" spans="1:26">
      <c r="A845" s="50"/>
      <c r="B845" s="50"/>
      <c r="C845" s="50"/>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ht="15.5" customHeight="1" spans="1:26">
      <c r="A846" s="50"/>
      <c r="B846" s="50"/>
      <c r="C846" s="50"/>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ht="15.5" customHeight="1" spans="1:26">
      <c r="A847" s="50"/>
      <c r="B847" s="50"/>
      <c r="C847" s="50"/>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ht="15.5" customHeight="1" spans="1:26">
      <c r="A848" s="50"/>
      <c r="B848" s="50"/>
      <c r="C848" s="50"/>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ht="15.5" customHeight="1" spans="1:26">
      <c r="A849" s="50"/>
      <c r="B849" s="50"/>
      <c r="C849" s="50"/>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ht="15.5" customHeight="1" spans="1:26">
      <c r="A850" s="50"/>
      <c r="B850" s="50"/>
      <c r="C850" s="50"/>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ht="15.5" customHeight="1" spans="1:26">
      <c r="A851" s="50"/>
      <c r="B851" s="50"/>
      <c r="C851" s="50"/>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ht="15.5" customHeight="1" spans="1:26">
      <c r="A852" s="50"/>
      <c r="B852" s="50"/>
      <c r="C852" s="50"/>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ht="15.5" customHeight="1" spans="1:26">
      <c r="A853" s="50"/>
      <c r="B853" s="50"/>
      <c r="C853" s="50"/>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ht="15.5" customHeight="1" spans="1:26">
      <c r="A854" s="50"/>
      <c r="B854" s="50"/>
      <c r="C854" s="50"/>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ht="15.5" customHeight="1" spans="1:26">
      <c r="A855" s="50"/>
      <c r="B855" s="50"/>
      <c r="C855" s="50"/>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ht="15.5" customHeight="1" spans="1:26">
      <c r="A856" s="50"/>
      <c r="B856" s="50"/>
      <c r="C856" s="50"/>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ht="15.5" customHeight="1" spans="1:26">
      <c r="A857" s="50"/>
      <c r="B857" s="50"/>
      <c r="C857" s="50"/>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ht="15.5" customHeight="1" spans="1:26">
      <c r="A858" s="50"/>
      <c r="B858" s="50"/>
      <c r="C858" s="50"/>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ht="15.5" customHeight="1" spans="1:26">
      <c r="A859" s="50"/>
      <c r="B859" s="50"/>
      <c r="C859" s="50"/>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ht="15.5" customHeight="1" spans="1:26">
      <c r="A860" s="50"/>
      <c r="B860" s="50"/>
      <c r="C860" s="50"/>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ht="15.5" customHeight="1" spans="1:26">
      <c r="A861" s="50"/>
      <c r="B861" s="50"/>
      <c r="C861" s="50"/>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ht="15.5" customHeight="1" spans="1:26">
      <c r="A862" s="50"/>
      <c r="B862" s="50"/>
      <c r="C862" s="50"/>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ht="15.5" customHeight="1" spans="1:26">
      <c r="A863" s="50"/>
      <c r="B863" s="50"/>
      <c r="C863" s="50"/>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ht="15.5" customHeight="1" spans="1:26">
      <c r="A864" s="50"/>
      <c r="B864" s="50"/>
      <c r="C864" s="50"/>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ht="15.5" customHeight="1" spans="1:26">
      <c r="A865" s="50"/>
      <c r="B865" s="50"/>
      <c r="C865" s="50"/>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ht="15.5" customHeight="1" spans="1:26">
      <c r="A866" s="50"/>
      <c r="B866" s="50"/>
      <c r="C866" s="50"/>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ht="15.5" customHeight="1" spans="1:26">
      <c r="A867" s="50"/>
      <c r="B867" s="50"/>
      <c r="C867" s="50"/>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ht="15.5" customHeight="1" spans="1:26">
      <c r="A868" s="50"/>
      <c r="B868" s="50"/>
      <c r="C868" s="50"/>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ht="15.5" customHeight="1" spans="1:26">
      <c r="A869" s="50"/>
      <c r="B869" s="50"/>
      <c r="C869" s="50"/>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ht="15.5" customHeight="1" spans="1:26">
      <c r="A870" s="50"/>
      <c r="B870" s="50"/>
      <c r="C870" s="50"/>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ht="15.5" customHeight="1" spans="1:26">
      <c r="A871" s="50"/>
      <c r="B871" s="50"/>
      <c r="C871" s="50"/>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ht="15.5" customHeight="1" spans="1:26">
      <c r="A872" s="50"/>
      <c r="B872" s="50"/>
      <c r="C872" s="50"/>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ht="15.5" customHeight="1" spans="1:26">
      <c r="A873" s="50"/>
      <c r="B873" s="50"/>
      <c r="C873" s="50"/>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ht="15.5" customHeight="1" spans="1:26">
      <c r="A874" s="50"/>
      <c r="B874" s="50"/>
      <c r="C874" s="50"/>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ht="15.5" customHeight="1" spans="1:26">
      <c r="A875" s="50"/>
      <c r="B875" s="50"/>
      <c r="C875" s="50"/>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ht="15.5" customHeight="1" spans="1:26">
      <c r="A876" s="50"/>
      <c r="B876" s="50"/>
      <c r="C876" s="50"/>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ht="15.5" customHeight="1" spans="1:26">
      <c r="A877" s="50"/>
      <c r="B877" s="50"/>
      <c r="C877" s="50"/>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ht="15.5" customHeight="1" spans="1:26">
      <c r="A878" s="50"/>
      <c r="B878" s="50"/>
      <c r="C878" s="50"/>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ht="15.5" customHeight="1" spans="1:26">
      <c r="A879" s="50"/>
      <c r="B879" s="50"/>
      <c r="C879" s="50"/>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ht="15.5" customHeight="1" spans="1:26">
      <c r="A880" s="50"/>
      <c r="B880" s="50"/>
      <c r="C880" s="50"/>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ht="15.5" customHeight="1" spans="1:26">
      <c r="A881" s="50"/>
      <c r="B881" s="50"/>
      <c r="C881" s="50"/>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ht="15.5" customHeight="1" spans="1:26">
      <c r="A882" s="50"/>
      <c r="B882" s="50"/>
      <c r="C882" s="50"/>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ht="15.5" customHeight="1" spans="1:26">
      <c r="A883" s="50"/>
      <c r="B883" s="50"/>
      <c r="C883" s="50"/>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ht="15.5" customHeight="1" spans="1:26">
      <c r="A884" s="50"/>
      <c r="B884" s="50"/>
      <c r="C884" s="50"/>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ht="15.5" customHeight="1" spans="1:26">
      <c r="A885" s="50"/>
      <c r="B885" s="50"/>
      <c r="C885" s="50"/>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ht="15.5" customHeight="1" spans="1:26">
      <c r="A886" s="50"/>
      <c r="B886" s="50"/>
      <c r="C886" s="50"/>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ht="15.5" customHeight="1" spans="1:26">
      <c r="A887" s="50"/>
      <c r="B887" s="50"/>
      <c r="C887" s="50"/>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ht="15.5" customHeight="1" spans="1:26">
      <c r="A888" s="50"/>
      <c r="B888" s="50"/>
      <c r="C888" s="50"/>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ht="15.5" customHeight="1" spans="1:26">
      <c r="A889" s="50"/>
      <c r="B889" s="50"/>
      <c r="C889" s="50"/>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ht="15.5" customHeight="1" spans="1:26">
      <c r="A890" s="50"/>
      <c r="B890" s="50"/>
      <c r="C890" s="50"/>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ht="15.5" customHeight="1" spans="1:26">
      <c r="A891" s="50"/>
      <c r="B891" s="50"/>
      <c r="C891" s="50"/>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ht="15.5" customHeight="1" spans="1:26">
      <c r="A892" s="50"/>
      <c r="B892" s="50"/>
      <c r="C892" s="50"/>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ht="15.5" customHeight="1" spans="1:26">
      <c r="A893" s="50"/>
      <c r="B893" s="50"/>
      <c r="C893" s="50"/>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ht="15.5" customHeight="1" spans="1:26">
      <c r="A894" s="50"/>
      <c r="B894" s="50"/>
      <c r="C894" s="50"/>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ht="15.5" customHeight="1" spans="1:26">
      <c r="A895" s="50"/>
      <c r="B895" s="50"/>
      <c r="C895" s="50"/>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ht="15.5" customHeight="1" spans="1:26">
      <c r="A896" s="50"/>
      <c r="B896" s="50"/>
      <c r="C896" s="50"/>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ht="15.5" customHeight="1" spans="1:26">
      <c r="A897" s="50"/>
      <c r="B897" s="50"/>
      <c r="C897" s="50"/>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ht="15.5" customHeight="1" spans="1:26">
      <c r="A898" s="50"/>
      <c r="B898" s="50"/>
      <c r="C898" s="50"/>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ht="15.5" customHeight="1" spans="1:26">
      <c r="A899" s="50"/>
      <c r="B899" s="50"/>
      <c r="C899" s="50"/>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ht="15.5" customHeight="1" spans="1:26">
      <c r="A900" s="50"/>
      <c r="B900" s="50"/>
      <c r="C900" s="50"/>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ht="15.5" customHeight="1" spans="1:26">
      <c r="A901" s="50"/>
      <c r="B901" s="50"/>
      <c r="C901" s="50"/>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ht="15.5" customHeight="1" spans="1:26">
      <c r="A902" s="50"/>
      <c r="B902" s="50"/>
      <c r="C902" s="50"/>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ht="15.5" customHeight="1" spans="1:26">
      <c r="A903" s="50"/>
      <c r="B903" s="50"/>
      <c r="C903" s="50"/>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ht="15.5" customHeight="1" spans="1:26">
      <c r="A904" s="50"/>
      <c r="B904" s="50"/>
      <c r="C904" s="50"/>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ht="15.5" customHeight="1" spans="1:26">
      <c r="A905" s="50"/>
      <c r="B905" s="50"/>
      <c r="C905" s="50"/>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ht="15.5" customHeight="1" spans="1:26">
      <c r="A906" s="50"/>
      <c r="B906" s="50"/>
      <c r="C906" s="50"/>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ht="15.5" customHeight="1" spans="1:26">
      <c r="A907" s="50"/>
      <c r="B907" s="50"/>
      <c r="C907" s="50"/>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ht="15.5" customHeight="1" spans="1:26">
      <c r="A908" s="50"/>
      <c r="B908" s="50"/>
      <c r="C908" s="50"/>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ht="15.5" customHeight="1" spans="1:26">
      <c r="A909" s="50"/>
      <c r="B909" s="50"/>
      <c r="C909" s="50"/>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ht="15.5" customHeight="1" spans="1:26">
      <c r="A910" s="50"/>
      <c r="B910" s="50"/>
      <c r="C910" s="50"/>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ht="15.5" customHeight="1" spans="1:26">
      <c r="A911" s="50"/>
      <c r="B911" s="50"/>
      <c r="C911" s="50"/>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ht="15.5" customHeight="1" spans="1:26">
      <c r="A912" s="50"/>
      <c r="B912" s="50"/>
      <c r="C912" s="50"/>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ht="15.5" customHeight="1" spans="1:26">
      <c r="A913" s="50"/>
      <c r="B913" s="50"/>
      <c r="C913" s="50"/>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ht="15.5" customHeight="1" spans="1:26">
      <c r="A914" s="50"/>
      <c r="B914" s="50"/>
      <c r="C914" s="50"/>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ht="15.5" customHeight="1" spans="1:26">
      <c r="A915" s="50"/>
      <c r="B915" s="50"/>
      <c r="C915" s="50"/>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ht="15.5" customHeight="1" spans="1:26">
      <c r="A916" s="50"/>
      <c r="B916" s="50"/>
      <c r="C916" s="50"/>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ht="15.5" customHeight="1" spans="1:26">
      <c r="A917" s="50"/>
      <c r="B917" s="50"/>
      <c r="C917" s="50"/>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ht="15.5" customHeight="1" spans="1:26">
      <c r="A918" s="50"/>
      <c r="B918" s="50"/>
      <c r="C918" s="50"/>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ht="15.5" customHeight="1" spans="1:26">
      <c r="A919" s="50"/>
      <c r="B919" s="50"/>
      <c r="C919" s="50"/>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ht="15.5" customHeight="1" spans="1:26">
      <c r="A920" s="50"/>
      <c r="B920" s="50"/>
      <c r="C920" s="50"/>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ht="15.5" customHeight="1" spans="1:26">
      <c r="A921" s="50"/>
      <c r="B921" s="50"/>
      <c r="C921" s="50"/>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ht="15.5" customHeight="1" spans="1:26">
      <c r="A922" s="50"/>
      <c r="B922" s="50"/>
      <c r="C922" s="50"/>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ht="15.5" customHeight="1" spans="1:26">
      <c r="A923" s="50"/>
      <c r="B923" s="50"/>
      <c r="C923" s="50"/>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ht="15.5" customHeight="1" spans="1:26">
      <c r="A924" s="50"/>
      <c r="B924" s="50"/>
      <c r="C924" s="50"/>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ht="15.5" customHeight="1" spans="1:26">
      <c r="A925" s="50"/>
      <c r="B925" s="50"/>
      <c r="C925" s="50"/>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ht="15.5" customHeight="1" spans="1:26">
      <c r="A926" s="50"/>
      <c r="B926" s="50"/>
      <c r="C926" s="50"/>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ht="15.5" customHeight="1" spans="1:26">
      <c r="A927" s="50"/>
      <c r="B927" s="50"/>
      <c r="C927" s="50"/>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ht="15.5" customHeight="1" spans="1:26">
      <c r="A928" s="50"/>
      <c r="B928" s="50"/>
      <c r="C928" s="50"/>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ht="15.5" customHeight="1" spans="1:26">
      <c r="A929" s="50"/>
      <c r="B929" s="50"/>
      <c r="C929" s="50"/>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ht="15.5" customHeight="1" spans="1:26">
      <c r="A930" s="50"/>
      <c r="B930" s="50"/>
      <c r="C930" s="50"/>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ht="15.5" customHeight="1" spans="1:26">
      <c r="A931" s="50"/>
      <c r="B931" s="50"/>
      <c r="C931" s="50"/>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ht="15.5" customHeight="1" spans="1:26">
      <c r="A932" s="50"/>
      <c r="B932" s="50"/>
      <c r="C932" s="50"/>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ht="15.5" customHeight="1" spans="1:26">
      <c r="A933" s="50"/>
      <c r="B933" s="50"/>
      <c r="C933" s="50"/>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ht="15.5" customHeight="1" spans="1:26">
      <c r="A934" s="50"/>
      <c r="B934" s="50"/>
      <c r="C934" s="50"/>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ht="15.5" customHeight="1" spans="1:26">
      <c r="A935" s="50"/>
      <c r="B935" s="50"/>
      <c r="C935" s="50"/>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ht="15.5" customHeight="1" spans="1:26">
      <c r="A936" s="50"/>
      <c r="B936" s="50"/>
      <c r="C936" s="50"/>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ht="15.5" customHeight="1" spans="1:26">
      <c r="A937" s="50"/>
      <c r="B937" s="50"/>
      <c r="C937" s="50"/>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ht="15.5" customHeight="1" spans="1:26">
      <c r="A938" s="50"/>
      <c r="B938" s="50"/>
      <c r="C938" s="50"/>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ht="15.5" customHeight="1" spans="1:26">
      <c r="A939" s="50"/>
      <c r="B939" s="50"/>
      <c r="C939" s="50"/>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ht="15.5" customHeight="1" spans="1:26">
      <c r="A940" s="50"/>
      <c r="B940" s="50"/>
      <c r="C940" s="50"/>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ht="15.5" customHeight="1" spans="1:26">
      <c r="A941" s="50"/>
      <c r="B941" s="50"/>
      <c r="C941" s="50"/>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ht="15.5" customHeight="1" spans="1:26">
      <c r="A942" s="50"/>
      <c r="B942" s="50"/>
      <c r="C942" s="50"/>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ht="15.5" customHeight="1" spans="1:26">
      <c r="A943" s="50"/>
      <c r="B943" s="50"/>
      <c r="C943" s="50"/>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ht="15.5" customHeight="1" spans="1:26">
      <c r="A944" s="50"/>
      <c r="B944" s="50"/>
      <c r="C944" s="50"/>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ht="15.5" customHeight="1" spans="1:26">
      <c r="A945" s="50"/>
      <c r="B945" s="50"/>
      <c r="C945" s="50"/>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ht="15.5" customHeight="1" spans="1:26">
      <c r="A946" s="50"/>
      <c r="B946" s="50"/>
      <c r="C946" s="50"/>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ht="15.5" customHeight="1" spans="1:26">
      <c r="A947" s="50"/>
      <c r="B947" s="50"/>
      <c r="C947" s="50"/>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ht="15.5" customHeight="1" spans="1:26">
      <c r="A948" s="50"/>
      <c r="B948" s="50"/>
      <c r="C948" s="50"/>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ht="15.5" customHeight="1" spans="1:26">
      <c r="A949" s="50"/>
      <c r="B949" s="50"/>
      <c r="C949" s="50"/>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ht="15.5" customHeight="1" spans="1:26">
      <c r="A950" s="50"/>
      <c r="B950" s="50"/>
      <c r="C950" s="50"/>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ht="15.5" customHeight="1" spans="1:26">
      <c r="A951" s="50"/>
      <c r="B951" s="50"/>
      <c r="C951" s="50"/>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ht="15.5" customHeight="1" spans="1:26">
      <c r="A952" s="50"/>
      <c r="B952" s="50"/>
      <c r="C952" s="50"/>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ht="15.5" customHeight="1" spans="1:26">
      <c r="A953" s="50"/>
      <c r="B953" s="50"/>
      <c r="C953" s="50"/>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ht="15.5" customHeight="1" spans="1:26">
      <c r="A954" s="50"/>
      <c r="B954" s="50"/>
      <c r="C954" s="50"/>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ht="15.5" customHeight="1" spans="1:26">
      <c r="A955" s="50"/>
      <c r="B955" s="50"/>
      <c r="C955" s="50"/>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ht="15.5" customHeight="1" spans="1:26">
      <c r="A956" s="50"/>
      <c r="B956" s="50"/>
      <c r="C956" s="50"/>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ht="15.5" customHeight="1" spans="1:26">
      <c r="A957" s="50"/>
      <c r="B957" s="50"/>
      <c r="C957" s="50"/>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ht="15.5" customHeight="1" spans="1:26">
      <c r="A958" s="50"/>
      <c r="B958" s="50"/>
      <c r="C958" s="50"/>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ht="15.5" customHeight="1" spans="1:26">
      <c r="A959" s="50"/>
      <c r="B959" s="50"/>
      <c r="C959" s="50"/>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ht="15.5" customHeight="1" spans="1:26">
      <c r="A960" s="50"/>
      <c r="B960" s="50"/>
      <c r="C960" s="50"/>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ht="15.5" customHeight="1" spans="1:26">
      <c r="A961" s="50"/>
      <c r="B961" s="50"/>
      <c r="C961" s="50"/>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ht="15.5" customHeight="1" spans="1:26">
      <c r="A962" s="50"/>
      <c r="B962" s="50"/>
      <c r="C962" s="50"/>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ht="15.5" customHeight="1" spans="1:26">
      <c r="A963" s="50"/>
      <c r="B963" s="50"/>
      <c r="C963" s="50"/>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ht="15.5" customHeight="1" spans="1:26">
      <c r="A964" s="50"/>
      <c r="B964" s="50"/>
      <c r="C964" s="50"/>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ht="15.5" customHeight="1" spans="1:26">
      <c r="A965" s="50"/>
      <c r="B965" s="50"/>
      <c r="C965" s="50"/>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ht="15.5" customHeight="1" spans="1:26">
      <c r="A966" s="50"/>
      <c r="B966" s="50"/>
      <c r="C966" s="50"/>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ht="15.5" customHeight="1" spans="1:26">
      <c r="A967" s="50"/>
      <c r="B967" s="50"/>
      <c r="C967" s="50"/>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ht="15.5" customHeight="1" spans="1:26">
      <c r="A968" s="50"/>
      <c r="B968" s="50"/>
      <c r="C968" s="50"/>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ht="15.5" customHeight="1" spans="1:26">
      <c r="A969" s="50"/>
      <c r="B969" s="50"/>
      <c r="C969" s="50"/>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ht="15.5" customHeight="1" spans="1:26">
      <c r="A970" s="50"/>
      <c r="B970" s="50"/>
      <c r="C970" s="50"/>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ht="15.5" customHeight="1" spans="1:26">
      <c r="A971" s="50"/>
      <c r="B971" s="50"/>
      <c r="C971" s="50"/>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ht="15.5" customHeight="1" spans="1:26">
      <c r="A972" s="50"/>
      <c r="B972" s="50"/>
      <c r="C972" s="50"/>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ht="15.5" customHeight="1" spans="1:26">
      <c r="A973" s="50"/>
      <c r="B973" s="50"/>
      <c r="C973" s="50"/>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ht="15.5" customHeight="1" spans="1:26">
      <c r="A974" s="50"/>
      <c r="B974" s="50"/>
      <c r="C974" s="50"/>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ht="15.5" customHeight="1" spans="1:26">
      <c r="A975" s="50"/>
      <c r="B975" s="50"/>
      <c r="C975" s="50"/>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ht="15.5" customHeight="1" spans="1:26">
      <c r="A976" s="50"/>
      <c r="B976" s="50"/>
      <c r="C976" s="50"/>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ht="15.5" customHeight="1" spans="1:26">
      <c r="A977" s="50"/>
      <c r="B977" s="50"/>
      <c r="C977" s="50"/>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ht="15.5" customHeight="1" spans="1:26">
      <c r="A978" s="50"/>
      <c r="B978" s="50"/>
      <c r="C978" s="50"/>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ht="15.5" customHeight="1" spans="1:26">
      <c r="A979" s="50"/>
      <c r="B979" s="50"/>
      <c r="C979" s="50"/>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ht="15.5" customHeight="1" spans="1:26">
      <c r="A980" s="50"/>
      <c r="B980" s="50"/>
      <c r="C980" s="50"/>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ht="15.5" customHeight="1" spans="1:26">
      <c r="A981" s="50"/>
      <c r="B981" s="50"/>
      <c r="C981" s="50"/>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ht="15.5" customHeight="1" spans="1:26">
      <c r="A982" s="50"/>
      <c r="B982" s="50"/>
      <c r="C982" s="50"/>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ht="15.5" customHeight="1" spans="1:26">
      <c r="A983" s="50"/>
      <c r="B983" s="50"/>
      <c r="C983" s="50"/>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ht="15.5" customHeight="1" spans="1:26">
      <c r="A984" s="50"/>
      <c r="B984" s="50"/>
      <c r="C984" s="50"/>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ht="15.5" customHeight="1" spans="1:26">
      <c r="A985" s="50"/>
      <c r="B985" s="50"/>
      <c r="C985" s="50"/>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ht="15.5" customHeight="1" spans="1:26">
      <c r="A986" s="50"/>
      <c r="B986" s="50"/>
      <c r="C986" s="50"/>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ht="15.5" customHeight="1" spans="1:26">
      <c r="A987" s="50"/>
      <c r="B987" s="50"/>
      <c r="C987" s="50"/>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ht="15.5" customHeight="1" spans="1:26">
      <c r="A988" s="50"/>
      <c r="B988" s="50"/>
      <c r="C988" s="50"/>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ht="15.5" customHeight="1" spans="1:26">
      <c r="A989" s="50"/>
      <c r="B989" s="50"/>
      <c r="C989" s="50"/>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ht="15.5" customHeight="1" spans="1:26">
      <c r="A990" s="50"/>
      <c r="B990" s="50"/>
      <c r="C990" s="50"/>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ht="15.5" customHeight="1" spans="1:26">
      <c r="A991" s="50"/>
      <c r="B991" s="50"/>
      <c r="C991" s="50"/>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ht="15.5" customHeight="1" spans="1:26">
      <c r="A992" s="50"/>
      <c r="B992" s="50"/>
      <c r="C992" s="50"/>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ht="15.5" customHeight="1" spans="1:26">
      <c r="A993" s="50"/>
      <c r="B993" s="50"/>
      <c r="C993" s="50"/>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ht="15.5" customHeight="1" spans="1:26">
      <c r="A994" s="50"/>
      <c r="B994" s="50"/>
      <c r="C994" s="50"/>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ht="15.5" customHeight="1" spans="1:26">
      <c r="A995" s="50"/>
      <c r="B995" s="50"/>
      <c r="C995" s="50"/>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ht="15.5" customHeight="1" spans="1:26">
      <c r="A996" s="50"/>
      <c r="B996" s="50"/>
      <c r="C996" s="50"/>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ht="15.5" customHeight="1" spans="1:26">
      <c r="A997" s="50"/>
      <c r="B997" s="50"/>
      <c r="C997" s="50"/>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ht="15.5" customHeight="1" spans="1:26">
      <c r="A998" s="50"/>
      <c r="B998" s="50"/>
      <c r="C998" s="50"/>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ht="15.5" customHeight="1" spans="1:26">
      <c r="A999" s="50"/>
      <c r="B999" s="50"/>
      <c r="C999" s="50"/>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ht="15.5" customHeight="1" spans="1:26">
      <c r="A1000" s="50"/>
      <c r="B1000" s="50"/>
      <c r="C1000" s="50"/>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mergeCells count="7">
    <mergeCell ref="A4:D4"/>
    <mergeCell ref="E4:H4"/>
    <mergeCell ref="A5:D5"/>
    <mergeCell ref="E5:H5"/>
    <mergeCell ref="A6:D6"/>
    <mergeCell ref="A7:D7"/>
    <mergeCell ref="E7:H7"/>
  </mergeCells>
  <hyperlinks>
    <hyperlink ref="F11" r:id="rId1" location="#'DisplayManualQuestionForm'!A1" display="DisplayManualQuestionForm"/>
    <hyperlink ref="F12" r:id="rId2" location="#'ValidateJobTitleRequired'!A1" display="ValidateJobTitleRequired"/>
    <hyperlink ref="F13" r:id="rId3" location="#'ValidateQuestionContentRequired'!A1" display="ValidateQuestionContentRequired"/>
    <hyperlink ref="F14" r:id="rId4" location="#'ValidateDurationBoundaryValue'!A1" display="ValidateDurationBoundaryValue"/>
    <hyperlink ref="F15" r:id="rId5" location="#'SaveQuestionSetSuccess'!A1" display="SaveQuestionSetSuccess"/>
    <hyperlink ref="F16" r:id="rId6" location="#'DeleteQuestionMinLimitGuard'!A1" display="DeleteQuestionMinLimitGuard"/>
    <hyperlink ref="F17" r:id="rId7" location="#'ImportExcelValidFile'!A1" display="ImportExcelValidFile"/>
    <hyperlink ref="F18" r:id="rId8" location="#'ImportExcelInvalidFile'!A1" display="ImportExcelInvalidFile"/>
    <hyperlink ref="F19" r:id="rId9" location="#'ExportTxtValidation'!A1" display="ExportTxtValidation"/>
    <hyperlink ref="F20" r:id="rId10" location="#'AiQuotaExceededManualLink'!A1" display="AiQuotaExceededManualLink"/>
    <hyperlink ref="F21" r:id="rId11" location="#'UnauthorizedRoleAccessManualPag'!A1" display="UnauthorizedRoleAccessManualPag"/>
    <hyperlink ref="F22" r:id="rId12" location="#'JdInputPasteValidation'!A1" display="JdInputPasteValidation"/>
    <hyperlink ref="F23" r:id="rId13" location="#'JdInputUploadFileTypes'!A1" display="JdInputUploadFileTypes"/>
    <hyperlink ref="F24" r:id="rId14" location="#'KnowledgeDocumentIngestionStatu'!A1" display="KnowledgeDocumentIngestionStatu"/>
    <hyperlink ref="F25" r:id="rId15" location="#'SourcesPanelLockOnGenerate'!A1" display="SourcesPanelLockOnGenerate"/>
    <hyperlink ref="F26" r:id="rId16" location="#'GenerateQuestionsSuccessFlow'!A1" display="GenerateQuestionsSuccessFlow"/>
    <hyperlink ref="F27" r:id="rId17" location="#'GenerateQuestionsAutoRetryRepla'!A1" display="GenerateQuestionsAutoRetryRepla"/>
    <hyperlink ref="F28" r:id="rId18" location="#'GenerateQuestionsFailedStatus'!A1" display="GenerateQuestionsFailedStatus"/>
    <hyperlink ref="F29" r:id="rId19" location="#'GenerateQuestionsTimeoutDeadlin'!A1" display="GenerateQuestionsTimeoutDeadlin"/>
    <hyperlink ref="F30" r:id="rId20" location="#'BackgroundPollResumeOnReload'!A1" display="BackgroundPollResumeOnReload"/>
    <hyperlink ref="F31" r:id="rId21" location="#'QuotaCooldownBlockingModal'!A1" display="QuotaCooldownBlockingModal"/>
    <hyperlink ref="F32" r:id="rId22" location="#'PlanApprovedLocksRefine'!A1" display="PlanApprovedLocksRefine"/>
    <hyperlink ref="F33" r:id="rId23" location="#'QuestionEditDeleteRegenerate'!A1" display="QuestionEditDeleteRegenerate"/>
    <hyperlink ref="F34" r:id="rId24" location="#'SaveDraftPublishShare'!A1" display="SaveDraftPublishShare"/>
    <hyperlink ref="F35" r:id="rId25" location="#'GenerateFormRetired'!A1" display="GenerateFormRetired"/>
    <hyperlink ref="F36" r:id="rId26" location="#'Token401SilentRefreshSuccess'!A1" display="Token401SilentRefreshSuccess"/>
    <hyperlink ref="F37" r:id="rId27" location="#'Token401RefreshFailureRedirect'!A1" display="Token401RefreshFailureRedirect"/>
    <hyperlink ref="F38" r:id="rId28" location="#'Token401NoRefreshTokenStored'!A1" display="Token401NoRefreshTokenStored"/>
    <hyperlink ref="F39" r:id="rId29" location="#'Token401OnRefreshEndpointItself'!A1" display="Token401OnRefreshEndpointItself"/>
    <hyperlink ref="F40" r:id="rId30" location="#'Token401AlreadyRetriedOnce'!A1" display="Token401AlreadyRetriedOnce"/>
    <hyperlink ref="F41" r:id="rId31" location="#'PublicAuthEndpoint401NoIntercep'!A1" display="PublicAuthEndpoint401NoIntercep"/>
    <hyperlink ref="F42" r:id="rId32" location="#'Forbidden403NoDedicatedHandling'!A1" display="Forbidden403NoDedicatedHandling"/>
    <hyperlink ref="F43" r:id="rId33" location="#'NoRoleGateOnHrRoutes'!A1" display="NoRoleGateOnHrRoutes"/>
    <hyperlink ref="F44" r:id="rId34" location="#'SubscriptionErrorCodeCannedMess'!A1" display="SubscriptionErrorCodeCannedMess"/>
    <hyperlink ref="F45" r:id="rId35" location="#'UnrecognizedErrorCodeFallback'!A1" display="UnrecognizedErrorCodeFallback"/>
    <hyperlink ref="F46" r:id="rId36" location="#'TimeoutRaw5xxNoFriendlyMessage'!A1" display="TimeoutRaw5xxNoFriendlyMessage"/>
    <hyperlink ref="F47" r:id="rId37" location="#'SessionExpiryMidGenerationPolli'!A1" display="SessionExpiryMidGenerationPolli"/>
    <hyperlink ref="F48" r:id="rId38" location="#'ConcurrentRequests401Dedup'!A1" display="ConcurrentRequests401Dedup"/>
    <hyperlink ref="F49" r:id="rId39" location="#'RagServiceDeadCodeNoAuthHeader'!A1" display="RagServiceDeadCodeNoAuthHeader"/>
    <hyperlink ref="F50" r:id="rId40" location="#'SampleJdModalCopyUse'!A1" display="SampleJdModalCopyUse"/>
    <hyperlink ref="F51" r:id="rId41" location="#'PublishedSetEditRestrictions'!A1" display="PublishedSetEditRestrictions"/>
    <hyperlink ref="F52" r:id="rId42" location="#'ApplyPlanSettingsTimeout'!A1" display="ApplyPlanSettingsTimeout"/>
    <hyperlink ref="F53" r:id="rId43" location="#'RefinePlanChatFlow'!A1" display="RefinePlanChatFlow"/>
    <hyperlink ref="F54" r:id="rId44" location="#'StudioGenerationSettingsToggles'!A1" display="StudioGenerationSettingsToggles"/>
    <hyperlink ref="F55" r:id="rId45" location="#'NewSetResetsLockedPanels'!A1" display="NewSetResetsLockedPanels"/>
    <hyperlink ref="F56" r:id="rId46" location="#'KnowledgeDocLibraryAttachVsUplo'!A1" display="KnowledgeDocLibraryAttachVsUplo"/>
    <hyperlink ref="F57" r:id="rId47" location="#'StudioChatRefineMultiTurn'!A1" display="StudioChatRefineMultiTurn"/>
    <hyperlink ref="F58" r:id="rId48" location="#'StudioApprovePlanButtonStates'!A1" display="StudioApprovePlanButtonStates"/>
    <hyperlink ref="F59" r:id="rId49" location="#'StudioQuestionListEmptyStateBef'!A1" display="StudioQuestionListEmptyStateBef"/>
    <hyperlink ref="F60" r:id="rId50" location="#'LoginSpecificAuthErrors'!A1" display="LoginSpecificAuthErrors"/>
    <hyperlink ref="F61" r:id="rId51" location="#'CandidateForbiddenErrorMessages'!A1" display="CandidateForbiddenErrorMessages"/>
    <hyperlink ref="F62" r:id="rId52" location="#'TokenStorageLocalStorageNotHttp'!A1" display="TokenStorageLocalStorageNotHttp"/>
    <hyperlink ref="F63" r:id="rId53" location="#'SsrNoTokenAttachNoOp'!A1" display="SsrNoTokenAttachNoOp"/>
    <hyperlink ref="F64" r:id="rId54" location="#'ClearAuthClearsCachedUserProfil'!A1" display="ClearAuthClearsCachedUserProfil"/>
    <hyperlink ref="F65" r:id="rId55" location="#'RefreshTokenRotationOnSuccess'!A1" display="RefreshTokenRotationOnSuccess"/>
    <hyperlink ref="F66" r:id="rId56" location="#'ManualQuestionPageResponsiveLay'!A1" display="ManualQuestionPageResponsiveLay"/>
    <hyperlink ref="F67" r:id="rId57" location="#'ManualQuestionPageDarkLightThem'!A1" display="ManualQuestionPageDarkLightThem"/>
    <hyperlink ref="F68" r:id="rId58" location="#'StudioPageResponsiveLayout'!A1" display="StudioPageResponsiveLayout"/>
    <hyperlink ref="F69" r:id="rId59" location="#'StudioPageDarkLightTheme'!A1" display="StudioPageDarkLightTheme"/>
    <hyperlink ref="F70" r:id="rId60" location="#'QuotaModalResponsiveDisplay'!A1" display="QuotaModalResponsiveDisplay"/>
    <hyperlink ref="F71" r:id="rId61" location="#'ToastNotificationPositioning'!A1" display="ToastNotificationPositioning"/>
    <hyperlink ref="F72" r:id="rId62" location="#'FileUploadDropzoneVisualStates'!A1" display="FileUploadDropzoneVisualStates"/>
    <hyperlink ref="F73" r:id="rId63" location="#'ButtonLoadingDisabledStates'!A1" display="ButtonLoadingDisabledStates"/>
    <hyperlink ref="F74" r:id="rId64" location="#'FormFieldValidationVisualStates'!A1" display="FormFieldValidationVisualStates"/>
    <hyperlink ref="F75" r:id="rId65" location="#'NavigationSidebarResponsive'!A1" display="NavigationSidebarResponsive"/>
    <hyperlink ref="F76" r:id="rId66" location="#'ModalDialogPositioningZIndex'!A1" display="ModalDialogPositioningZIndex"/>
    <hyperlink ref="F77" r:id="rId67" location="#'TableGridResponsiveOverflow'!A1" display="TableGridResponsiveOverflow"/>
    <hyperlink ref="F78" r:id="rId68" location="#'TooltipHoverDisplay'!A1" display="TooltipHoverDisplay"/>
    <hyperlink ref="F79" r:id="rId69" location="#'LoadingSpinnerSkeletonStates'!A1" display="LoadingSpinnerSkeletonStates"/>
    <hyperlink ref="F80" r:id="rId70" location="#'AccessibilityKeyboardNavigation'!A1" display="AccessibilityKeyboardNavigation"/>
    <hyperlink ref="F81" r:id="rId71" location="#'BrandingLogoHeaderConsistency'!A1" display="BrandingLogoHeaderConsistency"/>
    <hyperlink ref="F82" r:id="rId72" location="#'RegisterHR'!A1" display="RegisterHR"/>
    <hyperlink ref="F83" r:id="rId73" location="#'Login'!A1" display="Login"/>
    <hyperlink ref="F84" r:id="rId74" location="#'RegisterJobSeeker'!A1" display="RegisterJobSeeker"/>
    <hyperlink ref="F85" r:id="rId75" location="#'VerifyEmail'!A1" display="VerifyEmail"/>
    <hyperlink ref="F86" r:id="rId76" location="#'ForgotResetPassword'!A1" display="ForgotResetPassword"/>
    <hyperlink ref="F87" r:id="rId77" location="#'AccessControl'!A1" display="AccessControl"/>
    <hyperlink ref="F88" r:id="rId78" location="#'UpdateProfile'!A1" display="UpdateProfile"/>
    <hyperlink ref="F89" r:id="rId79" location="#'ManageUsers'!A1" display="ManageUsers"/>
    <hyperlink ref="F90" r:id="rId80" location="#'GetTimeOfDayGreeting'!A1" display="GetTimeOfDayGreeting"/>
    <hyperlink ref="F91" r:id="rId81" location="#'BuildWelcomeMessage'!A1" display="BuildWelcomeMessage"/>
    <hyperlink ref="F92" r:id="rId82" location="#'FormatRelativeTimeInvalidDate'!A1" display="FormatRelativeTimeInvalidDate"/>
    <hyperlink ref="F93" r:id="rId83" location="#'FormatRelativeTimeAgeBuckets'!A1" display="FormatRelativeTimeAgeBuckets"/>
    <hyperlink ref="F94" r:id="rId84" location="#'NormalizePathname'!A1" display="NormalizePathname"/>
    <hyperlink ref="F95" r:id="rId85" location="#'IsAdminNavActive'!A1" display="IsAdminNavActive"/>
    <hyperlink ref="F96" r:id="rId86" location="#'IsHrNavActive'!A1" display="IsHrNavActive"/>
    <hyperlink ref="F97" r:id="rId87" location="#'GetInitials'!A1" display="GetInitials"/>
    <hyperlink ref="F98" r:id="rId88" location="#'ResolveAvatarUrl'!A1" display="ResolveAvatarUrl"/>
    <hyperlink ref="F99" r:id="rId89" location="#'IsValidUrl'!A1" display="IsValidUrl"/>
    <hyperlink ref="F100" r:id="rId90" location="#'MapAvatarUploadError'!A1" display="MapAvatarUploadError"/>
    <hyperlink ref="F101" r:id="rId91" location="#'AuthRoundTripLegacyFlagAndRealT'!A1" display="AuthRoundTripLegacyFlagAndRealT"/>
    <hyperlink ref="F102" r:id="rId92" location="#'UserRoleAndClearAuthCascade'!A1" display="UserRoleAndClearAuthCascade"/>
    <hyperlink ref="F103" r:id="rId93" location="#'GetRoleRedirect'!A1" display="GetRoleRedirect"/>
    <hyperlink ref="F104" r:id="rId94" location="#'ExtractRole'!A1" display="ExtractRole"/>
    <hyperlink ref="F105" r:id="rId95" location="#'IsJdCitation'!A1" display="IsJdCitation"/>
    <hyperlink ref="F106" r:id="rId96" location="#'SortAndInjectJdCitation'!A1" display="SortAndInjectJdCitation"/>
    <hyperlink ref="F107" r:id="rId97" location="#'FormatCitationExcerptAndDisplay'!A1" display="FormatCitationExcerptAndDisplay"/>
    <hyperlink ref="F108" r:id="rId98" location="#'FormatXp'!A1" display="FormatXp"/>
    <hyperlink ref="F109" r:id="rId99" location="#'GetLevelLabel'!A1" display="GetLevelLabel"/>
    <hyperlink ref="F110" r:id="rId100" location="#'LevelColorAndStreakIntensity'!A1" display="LevelColorAndStreakIntensity"/>
    <hyperlink ref="F111" r:id="rId101" location="#'XpRewardTypeLabel'!A1" display="XpRewardTypeLabel"/>
    <hyperlink ref="F112" r:id="rId102" location="#'TimeAgo'!A1" display="TimeAgo"/>
    <hyperlink ref="F113" r:id="rId103" location="#'GetLoginWelcomeRoleFromRedirect'!A1" display="GetLoginWelcomeRoleFromRedirect"/>
    <hyperlink ref="F114" r:id="rId104" location="#'LoginWelcomePendingFlagRoundTri'!A1" display="LoginWelcomePendingFlagRoundTri"/>
    <hyperlink ref="F115" r:id="rId105" location="#'SaveAndGetLocalSession'!A1" display="SaveAndGetLocalSession"/>
    <hyperlink ref="F116" r:id="rId106" location="#'PatchAndUpdateLocalSession'!A1" display="PatchAndUpdateLocalSession"/>
    <hyperlink ref="F117" r:id="rId107" location="#'ToGenerationSessionAndMalformed'!A1" display="ToGenerationSessionAndMalformed"/>
    <hyperlink ref="F118" r:id="rId108" location="#'ValidateAvatarFile'!A1" display="ValidateAvatarFile"/>
    <hyperlink ref="F119" r:id="rId109" location="#'ComputeStreakDays'!A1" display="ComputeStreakDays"/>
    <hyperlink ref="F120" r:id="rId110" location="#'TranslateDimensionKeyAndCategor'!A1" display="TranslateDimensionKeyAndCategor"/>
    <hyperlink ref="F121" r:id="rId111" location="#'CompanyInitialsAndColor'!A1" display="CompanyInitialsAndColor"/>
    <hyperlink ref="F122" r:id="rId112" location="#'ToBackendRoleFilterAndNormalize'!A1" display="ToBackendRoleFilterAndNormalize"/>
    <hyperlink ref="F123" r:id="rId113" location="#'GetAdminUserStatusAndIsAdminRol'!A1" display="GetAdminUserStatusAndIsAdminRol"/>
    <hyperlink ref="F124" r:id="rId114" location="#'BadgeClassAndCategoryLabelHelpe'!A1" display="BadgeClassAndCategoryLabelHelpe"/>
    <hyperlink ref="F125" r:id="rId115" location="#'ScoreBadgeClassAndScoreLevel'!A1" display="ScoreBadgeClassAndScoreLevel"/>
    <hyperlink ref="F126" r:id="rId116" location="#'TemplateDetectionExplicitAndKey'!A1" display="TemplateDetectionExplicitAndKey"/>
    <hyperlink ref="F127" r:id="rId117" location="#'SnippetExtraction'!A1" display="SnippetExtraction"/>
    <hyperlink ref="F128" r:id="rId118" location="#'MetaParsingLangImageDiagramHint'!A1" display="MetaParsingLangImageDiagramHint"/>
    <hyperlink ref="F129" r:id="rId119" location="#'InferGeneratedQuestionTemplate'!A1" display="InferGeneratedQuestionTemplate"/>
    <hyperlink ref="F130" r:id="rId120" location="#'ChangePasswordClientValidation'!A1" display="ChangePasswordClientValidation"/>
    <hyperlink ref="F131" r:id="rId121" location="#'ChangePasswordSubmitFlow'!A1" display="ChangePasswordSubmitFlow"/>
    <hyperlink ref="F132" r:id="rId122" location="#'XpHistoryStandaloneList'!A1" display="XpHistoryStandaloneList"/>
    <hyperlink ref="F133" r:id="rId123" location="#'XpHistoryEmbeddedMode'!A1" display="XpHistoryEmbeddedMode"/>
    <hyperlink ref="F134" r:id="rId124" location="#'DailyGoalPresetDisplay'!A1" display="DailyGoalPresetDisplay"/>
    <hyperlink ref="F135" r:id="rId125" location="#'DailyGoalSaveFlow'!A1" display="DailyGoalSaveFlow"/>
    <hyperlink ref="F136" r:id="rId126" location="#'GamificationProgressCardDisplay'!A1" display="GamificationProgressCardDisplay"/>
    <hyperlink ref="F137" r:id="rId127" location="#'AchievementGridFullVariant'!A1" display="AchievementGridFullVariant"/>
    <hyperlink ref="F138" r:id="rId128" location="#'AchievementGridCompactVariant'!A1" display="AchievementGridCompactVariant"/>
    <hyperlink ref="F139" r:id="rId129" location="#'PlatformSettingsGeneralLoadSave'!A1" display="PlatformSettingsGeneralLoadSave"/>
    <hyperlink ref="F140" r:id="rId130" location="#'PlatformSettingsPermissionsNoti'!A1" display="PlatformSettingsPermissionsNoti"/>
    <hyperlink ref="F141" r:id="rId131" location="#'PlatformSettingsComingSoonButto'!A1" display="PlatformSettingsComingSoonButto"/>
    <hyperlink ref="F142" r:id="rId132" location="#'AiConfigLoadAndRetry'!A1" display="AiConfigLoadAndRetry"/>
    <hyperlink ref="F143" r:id="rId133" location="#'AiConfigProviderSwitchAndSave'!A1" display="AiConfigProviderSwitchAndSave"/>
    <hyperlink ref="F144" r:id="rId134" location="#'ContentTableRowAndDeadDeleteBut'!A1" display="ContentTableRowAndDeadDeleteBut"/>
    <hyperlink ref="F145" r:id="rId135" location="#'CompanyManagementListingSearchR'!A1" display="CompanyManagementListingSearchR"/>
    <hyperlink ref="F146" r:id="rId136" location="#'CompanyManagementCreateEditDele'!A1" display="CompanyManagementCreateEditDele"/>
    <hyperlink ref="F147" r:id="rId137" location="#'AdminKnowledgeWrapperWiring'!A1" display="AdminKnowledgeWrapperWiring"/>
    <hyperlink ref="F148" r:id="rId138" location="#'AdminDashboardKpisAndAlerts'!A1" display="AdminDashboardKpisAndAlerts"/>
    <hyperlink ref="F149" r:id="rId139" location="#'AdminDashboardRetryAndRefresh'!A1" display="AdminDashboardRetryAndRefresh"/>
    <hyperlink ref="F150" r:id="rId140" location="#'MarketplaceListingSearchAndErro'!A1" display="MarketplaceListingSearchAndErro"/>
    <hyperlink ref="F151" r:id="rId141" location="#'MarketplacePinAndDetail'!A1" display="MarketplacePinAndDetail"/>
    <hyperlink ref="F152" r:id="rId142" location="#'PlansListingAndRefresh'!A1" display="PlansListingAndRefresh"/>
    <hyperlink ref="F153" r:id="rId143" location="#'PlansEditSaveAndFailure'!A1" display="PlansEditSaveAndFailure"/>
    <hyperlink ref="F154" r:id="rId144" location="#'PlansFreeVisiblePercentClamp'!A1" display="PlansFreeVisiblePercentClamp"/>
    <hyperlink ref="F155" r:id="rId145" location="#'HrDashboardKpisAndSections'!A1" display="HrDashboardKpisAndSections"/>
    <hyperlink ref="F156" r:id="rId146" location="#'HrDashboardRetryAndNullFallback'!A1" display="HrDashboardRetryAndNullFallback"/>
    <hyperlink ref="F157" r:id="rId147" location="#'HistoryListingSearchAndFilter'!A1" display="HistoryListingSearchAndFilter"/>
    <hyperlink ref="F158" r:id="rId148" location="#'HistoryPublishUnpublishBookmark'!A1" display="HistoryPublishUnpublishBookmark"/>
    <hyperlink ref="F159" r:id="rId149" location="#'HistoryDeleteConfirmAndPublishe'!A1" display="HistoryDeleteConfirmAndPublishe"/>
    <hyperlink ref="F160" r:id="rId150" location="#'HistoryExportGatedByPlan'!A1" display="HistoryExportGatedByPlan"/>
    <hyperlink ref="F161" r:id="rId151" location="#'BillingCurrentPlanDisplay'!A1" display="BillingCurrentPlanDisplay"/>
    <hyperlink ref="F162" r:id="rId152" location="#'BillingPaymentHistoryAndReceipt'!A1" display="BillingPaymentHistoryAndReceipt"/>
    <hyperlink ref="F163" r:id="rId153" location="#'BillingComingSoonButtons'!A1" display="BillingComingSoonButtons"/>
    <hyperlink ref="F164" r:id="rId154" location="#'BillingUpgradeAndCancel'!A1" display="BillingUpgradeAndCancel"/>
    <hyperlink ref="F165" r:id="rId155" location="#'CandidateDashboardKpisAndSessio'!A1" display="CandidateDashboardKpisAndSessio"/>
    <hyperlink ref="F166" r:id="rId156" location="#'CandidateDashboardRecommendedSe'!A1" display="CandidateDashboardRecommendedSe"/>
    <hyperlink ref="F167" r:id="rId157" location="#'CandidateProfileViewAndEditTogg'!A1" display="CandidateProfileViewAndEditTogg"/>
    <hyperlink ref="F168" r:id="rId158" location="#'CandidateProfileSaveValidationS'!A1" display="CandidateProfileSaveValidationS"/>
    <hyperlink ref="F169" r:id="rId159" location="#'CandidateProfileCvManagement'!A1" display="CandidateProfileCvManagement"/>
    <hyperlink ref="F170" r:id="rId160" location="#'CandidateSettingsTabRouting'!A1" display="CandidateSettingsTabRouting"/>
    <hyperlink ref="F171" r:id="rId161" location="#'CandidateSettingsGeneral'!A1" display="CandidateSettingsGeneral"/>
    <hyperlink ref="F172" r:id="rId162" location="#'CandidateSettingsPrivacyPlanGat'!A1" display="CandidateSettingsPrivacyPlanGat"/>
    <hyperlink ref="F173" r:id="rId163" location="#'SubscriptionContextUserScopedPl'!A1" display="SubscriptionContextUserScopedPl"/>
    <hyperlink ref="F174" r:id="rId164" location="#'UpgradeModalFinishPaidRetry'!A1" display="UpgradeModalFinishPaidRetry"/>
    <hyperlink ref="F175" r:id="rId165" location="#'FeedbackScorePollingUntilArriva'!A1" display="FeedbackScorePollingUntilArriva"/>
    <hyperlink ref="F176" r:id="rId166" location="#'FeedbackScoreTimeoutAndRetry'!A1" display="FeedbackScoreTimeoutAndRetry"/>
    <hyperlink ref="F177" r:id="rId167" location="#'HrBillingCurrentPlan'!A1" display="HrBillingCurrentPlan"/>
    <hyperlink ref="F178" r:id="rId168" location="#'HrBillingPaymentHistoryAndRecei'!A1" display="HrBillingPaymentHistoryAndRecei"/>
    <hyperlink ref="F179" r:id="rId169" location="#'HrBillingCancelToFreeFlow'!A1" display="HrBillingCancelToFreeFlow"/>
    <hyperlink ref="F180" r:id="rId170" location="#'KnowledgePageListingAndErrors'!A1" display="KnowledgePageListingAndErrors"/>
    <hyperlink ref="F181" r:id="rId171" location="#'KnowledgeUploadAndSizeLimit'!A1" display="KnowledgeUploadAndSizeLimit"/>
    <hyperlink ref="F182" r:id="rId172" location="#'KnowledgeDeleteConfirm'!A1" display="KnowledgeDeleteConfirm"/>
    <hyperlink ref="F183" r:id="rId173" location="#'RecommendationsListingFilterSea'!A1" display="RecommendationsListingFilterSea"/>
    <hyperlink ref="F184" r:id="rId174" location="#'RecommendationsShortlistDismiss'!A1" display="RecommendationsShortlistDismiss"/>
    <hyperlink ref="F185" r:id="rId175" location="#'HrSettingsPreferencesNotificati'!A1" display="HrSettingsPreferencesNotificati"/>
    <hyperlink ref="F186" r:id="rId176" location="#'InvitationsListingAndFilter'!A1" display="InvitationsListingAndFilter"/>
    <hyperlink ref="F187" r:id="rId177" location="#'InvitationsAcceptFlow'!A1" display="InvitationsAcceptFlow"/>
    <hyperlink ref="F188" r:id="rId178" location="#'InvitationsDeclineFlow'!A1" display="InvitationsDeclineFlow"/>
    <hyperlink ref="F189" r:id="rId179" location="#'MarketplaceBrowsingFilterSearch'!A1" display="MarketplaceBrowsingFilterSearch"/>
    <hyperlink ref="F190" r:id="rId180" location="#'MarketplaceBookmarkAndNavigatio'!A1" display="MarketplaceBookmarkAndNavigatio"/>
    <hyperlink ref="F191" r:id="rId181" location="#'PracticeSessionStarting'!A1" display="PracticeSessionStarting"/>
    <hyperlink ref="F192" r:id="rId182" location="#'PracticeSessionResume'!A1" display="PracticeSessionResume"/>
    <hyperlink ref="F193" r:id="rId183" location="#'PracticeSessionFinishAndSubmit'!A1" display="PracticeSessionFinishAndSubmit"/>
    <hyperlink ref="F194" r:id="rId184" location="#'PracticeSessionAutoCompletedFal'!A1" display="PracticeSessionAutoCompletedFal"/>
    <hyperlink ref="F195" r:id="rId185" location="#'PracticeSessionLockedQuestion'!A1" display="PracticeSessionLockedQuestion"/>
    <hyperlink ref="F196" r:id="rId186" location="#'PremiumRevokedDialogVisibilityA'!A1" display="PremiumRevokedDialogVisibilityA"/>
    <hyperlink ref="F197" r:id="rId187" location="#'PremiumRevokedDialogUpgradeCta'!A1" display="PremiumRevokedDialogUpgradeCta"/>
    <hyperlink ref="F198" r:id="rId188" location="#'PremiumRevokedDialogCloseVarian'!A1" display="PremiumRevokedDialogCloseVarian"/>
    <hyperlink ref="F199" r:id="rId189" location="#'SubscriptionHubConnectionNeverT'!A1" display="SubscriptionHubConnectionNeverT"/>
    <hyperlink ref="F200" r:id="rId190" location="#'SubscriptionRealtimeFallbackPol'!A1" display="SubscriptionRealtimeFallbackPol"/>
    <hyperlink ref="F201" r:id="rId191" location="#'HealthCheckEndpoints'!A1" display="HealthCheckEndpoints"/>
    <hyperlink ref="F202" r:id="rId192" location="#'InternalApiKeyAuthGate'!A1" display="InternalApiKeyAuthGate"/>
    <hyperlink ref="F203" r:id="rId193" location="#'ChatEndpointValidation'!A1" display="ChatEndpointValidation"/>
    <hyperlink ref="F204" r:id="rId194" location="#'IngestSystemFilesValidation'!A1" display="IngestSystemFilesValidation"/>
    <hyperlink ref="F205" r:id="rId195" location="#'IngestHrFilesValidation'!A1" display="IngestHrFilesValidation"/>
    <hyperlink ref="F206" r:id="rId196" location="#'JdValidationRules'!A1" display="JdValidationRules"/>
    <hyperlink ref="F207" r:id="rId197" location="#'InterviewPlanStartValidation'!A1" display="InterviewPlanStartValidation"/>
    <hyperlink ref="F208" r:id="rId198" location="#'InterviewPlanMessagesClarifyLoo'!A1" display="InterviewPlanMessagesClarifyLoo"/>
    <hyperlink ref="F209" r:id="rId199" location="#'InterviewPlanConfirmValidation'!A1" display="InterviewPlanConfirmValidation"/>
    <hyperlink ref="F210" r:id="rId200" location="#'InterviewQuestionsGenerateValid'!A1" display="InterviewQuestionsGenerateValid"/>
    <hyperlink ref="F211" r:id="rId201" location="#'ErrorResponseEnvelopeConsistenc'!A1" display="ErrorResponseEnvelopeConsistenc"/>
    <hyperlink ref="F212" r:id="rId202" location="#'LlmErrorMapping'!A1" display="LlmErrorMapping"/>
    <hyperlink ref="F213" r:id="rId203" location="#'LegacyEndpointsDeprecation'!A1" display="LegacyEndpointsDeprecation"/>
    <hyperlink ref="F214" r:id="rId204" location="#'SynchronousBlockingNoTimeout'!A1" display="SynchronousBlockingNoTimeout"/>
    <hyperlink ref="F215" r:id="rId205" location="#'NoCorsMiddlewareConfigured'!A1" display="NoCorsMiddlewareConfigured"/>
    <hyperlink ref="F216" r:id="rId206" location="#'NoRateLimitingConfigured'!A1" display="NoRateLimitingConfigured"/>
    <hyperlink ref="F217" r:id="rId207" location="#'StartupNoFailFastValidation'!A1" display="StartupNoFailFastValidation"/>
    <hyperlink ref="F218" r:id="rId208" location="#'FileExtensionAllowList'!A1" display="FileExtensionAllowList"/>
  </hyperlinks>
  <pageMargins left="0.7" right="0.7" top="0.75" bottom="0.75" header="0" footer="0"/>
  <pageSetup paperSize="1" orientation="landscape" useFirstPageNumber="1"/>
  <headerFooter>
    <oddFooter>&amp;L 02ae-BM/PM/HDCV/FSOFT v2/1&amp;CInternal use&amp;R&amp;P/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93366"/>
  </sheetPr>
  <dimension ref="A1:Z1000"/>
  <sheetViews>
    <sheetView topLeftCell="A6" workbookViewId="0">
      <selection activeCell="A1" sqref="A1"/>
    </sheetView>
  </sheetViews>
  <sheetFormatPr defaultColWidth="14.4406779661017" defaultRowHeight="15.05" customHeight="1"/>
  <cols>
    <col min="1" max="1" width="17.5508474576271" customWidth="1"/>
    <col min="2" max="2" width="30.4406779661017" customWidth="1"/>
    <col min="3" max="3" width="13.8898305084746" customWidth="1"/>
    <col min="4" max="8" width="12" customWidth="1"/>
    <col min="9" max="9" width="24" customWidth="1"/>
    <col min="10" max="26" width="9.11016949152542" customWidth="1"/>
  </cols>
  <sheetData>
    <row r="1" ht="15.5" customHeight="1" spans="1:26">
      <c r="A1" s="24"/>
      <c r="B1" s="24"/>
      <c r="C1" s="24"/>
      <c r="D1" s="24"/>
      <c r="E1" s="24"/>
      <c r="F1" s="24"/>
      <c r="G1" s="24"/>
      <c r="H1" s="24"/>
      <c r="I1" s="24"/>
      <c r="J1" s="24"/>
      <c r="K1" s="24"/>
      <c r="L1" s="24"/>
      <c r="M1" s="24"/>
      <c r="N1" s="24"/>
      <c r="O1" s="24"/>
      <c r="P1" s="24"/>
      <c r="Q1" s="24"/>
      <c r="R1" s="24"/>
      <c r="S1" s="24"/>
      <c r="T1" s="24"/>
      <c r="U1" s="24"/>
      <c r="V1" s="24"/>
      <c r="W1" s="24"/>
      <c r="X1" s="24"/>
      <c r="Y1" s="24"/>
      <c r="Z1" s="24"/>
    </row>
    <row r="2" ht="25.55" customHeight="1" spans="1:26">
      <c r="A2" s="25" t="s">
        <v>999</v>
      </c>
      <c r="B2" s="26"/>
      <c r="C2" s="26"/>
      <c r="D2" s="26"/>
      <c r="E2" s="26"/>
      <c r="F2" s="26"/>
      <c r="G2" s="26"/>
      <c r="H2" s="26"/>
      <c r="I2" s="26"/>
      <c r="J2" s="24"/>
      <c r="K2" s="24"/>
      <c r="L2" s="24"/>
      <c r="M2" s="24"/>
      <c r="N2" s="24"/>
      <c r="O2" s="24"/>
      <c r="P2" s="24"/>
      <c r="Q2" s="24"/>
      <c r="R2" s="24"/>
      <c r="S2" s="24"/>
      <c r="T2" s="24"/>
      <c r="U2" s="24"/>
      <c r="V2" s="24"/>
      <c r="W2" s="24"/>
      <c r="X2" s="24"/>
      <c r="Y2" s="24"/>
      <c r="Z2" s="24"/>
    </row>
    <row r="3" ht="15.5" customHeight="1" spans="1:26">
      <c r="A3" s="27"/>
      <c r="B3" s="24"/>
      <c r="C3" s="24"/>
      <c r="D3" s="24"/>
      <c r="E3" s="24"/>
      <c r="F3" s="24"/>
      <c r="G3" s="24"/>
      <c r="H3" s="24"/>
      <c r="I3" s="28"/>
      <c r="J3" s="24"/>
      <c r="K3" s="24"/>
      <c r="L3" s="24"/>
      <c r="M3" s="24"/>
      <c r="N3" s="24"/>
      <c r="O3" s="24"/>
      <c r="P3" s="24"/>
      <c r="Q3" s="24"/>
      <c r="R3" s="24"/>
      <c r="S3" s="24"/>
      <c r="T3" s="24"/>
      <c r="U3" s="24"/>
      <c r="V3" s="24"/>
      <c r="W3" s="24"/>
      <c r="X3" s="24"/>
      <c r="Y3" s="24"/>
      <c r="Z3" s="24"/>
    </row>
    <row r="4" ht="15.5" customHeight="1" spans="1:26">
      <c r="A4" s="29" t="s">
        <v>46</v>
      </c>
      <c r="B4" s="30" t="str">
        <f>Cover!B4</f>
        <v>IQGS – AI-Powered Interview Question Generation System Using RAG and LLM – A Dual-Sided Platform for Recruiters and Job Seekers</v>
      </c>
      <c r="C4" s="31"/>
      <c r="D4" s="32" t="s">
        <v>48</v>
      </c>
      <c r="E4" s="31"/>
      <c r="F4" s="33"/>
      <c r="G4" s="34"/>
      <c r="H4" s="34"/>
      <c r="I4" s="31"/>
      <c r="J4" s="24"/>
      <c r="K4" s="24"/>
      <c r="L4" s="24"/>
      <c r="M4" s="24"/>
      <c r="N4" s="24"/>
      <c r="O4" s="24"/>
      <c r="P4" s="24"/>
      <c r="Q4" s="24"/>
      <c r="R4" s="24"/>
      <c r="S4" s="24"/>
      <c r="T4" s="24"/>
      <c r="U4" s="24"/>
      <c r="V4" s="24"/>
      <c r="W4" s="24"/>
      <c r="X4" s="24"/>
      <c r="Y4" s="24"/>
      <c r="Z4" s="24"/>
    </row>
    <row r="5" ht="15.5" customHeight="1" spans="1:26">
      <c r="A5" s="29" t="s">
        <v>50</v>
      </c>
      <c r="B5" s="30" t="str">
        <f>Cover!B5</f>
        <v>SU26SE102</v>
      </c>
      <c r="C5" s="31"/>
      <c r="D5" s="32" t="s">
        <v>1000</v>
      </c>
      <c r="E5" s="31"/>
      <c r="F5" s="33"/>
      <c r="G5" s="34"/>
      <c r="H5" s="34"/>
      <c r="I5" s="31"/>
      <c r="J5" s="24"/>
      <c r="K5" s="24"/>
      <c r="L5" s="24"/>
      <c r="M5" s="24"/>
      <c r="N5" s="24"/>
      <c r="O5" s="24"/>
      <c r="P5" s="24"/>
      <c r="Q5" s="24"/>
      <c r="R5" s="24"/>
      <c r="S5" s="24"/>
      <c r="T5" s="24"/>
      <c r="U5" s="24"/>
      <c r="V5" s="24"/>
      <c r="W5" s="24"/>
      <c r="X5" s="24"/>
      <c r="Y5" s="24"/>
      <c r="Z5" s="24"/>
    </row>
    <row r="6" ht="15.5" customHeight="1" spans="1:26">
      <c r="A6" s="35" t="s">
        <v>53</v>
      </c>
      <c r="B6" s="30" t="str">
        <f>B5&amp;"_"&amp;"Test Report"&amp;"_"&amp;"vx.x"</f>
        <v>SU26SE102_Test Report_vx.x</v>
      </c>
      <c r="C6" s="31"/>
      <c r="D6" s="32" t="s">
        <v>52</v>
      </c>
      <c r="E6" s="31"/>
      <c r="F6" s="36" t="s">
        <v>1001</v>
      </c>
      <c r="G6" s="34"/>
      <c r="H6" s="34"/>
      <c r="I6" s="31"/>
      <c r="J6" s="24"/>
      <c r="K6" s="24"/>
      <c r="L6" s="24"/>
      <c r="M6" s="24"/>
      <c r="N6" s="24"/>
      <c r="O6" s="24"/>
      <c r="P6" s="24"/>
      <c r="Q6" s="24"/>
      <c r="R6" s="24"/>
      <c r="S6" s="24"/>
      <c r="T6" s="24"/>
      <c r="U6" s="24"/>
      <c r="V6" s="24"/>
      <c r="W6" s="24"/>
      <c r="X6" s="24"/>
      <c r="Y6" s="24"/>
      <c r="Z6" s="24"/>
    </row>
    <row r="7" ht="15.75" customHeight="1" spans="1:26">
      <c r="A7" s="35" t="s">
        <v>1002</v>
      </c>
      <c r="B7" s="37" t="s">
        <v>1003</v>
      </c>
      <c r="C7" s="34"/>
      <c r="D7" s="34"/>
      <c r="E7" s="34"/>
      <c r="F7" s="34"/>
      <c r="G7" s="34"/>
      <c r="H7" s="34"/>
      <c r="I7" s="31"/>
      <c r="J7" s="24"/>
      <c r="K7" s="24"/>
      <c r="L7" s="24"/>
      <c r="M7" s="24"/>
      <c r="N7" s="24"/>
      <c r="O7" s="24"/>
      <c r="P7" s="24"/>
      <c r="Q7" s="24"/>
      <c r="R7" s="24"/>
      <c r="S7" s="24"/>
      <c r="T7" s="24"/>
      <c r="U7" s="24"/>
      <c r="V7" s="24"/>
      <c r="W7" s="24"/>
      <c r="X7" s="24"/>
      <c r="Y7" s="24"/>
      <c r="Z7" s="24"/>
    </row>
    <row r="8" ht="15.5" customHeight="1" spans="1:26">
      <c r="A8" s="38"/>
      <c r="B8" s="39"/>
      <c r="C8" s="24"/>
      <c r="D8" s="24"/>
      <c r="E8" s="24"/>
      <c r="F8" s="24"/>
      <c r="G8" s="24"/>
      <c r="H8" s="24"/>
      <c r="I8" s="28"/>
      <c r="J8" s="24"/>
      <c r="K8" s="24"/>
      <c r="L8" s="24"/>
      <c r="M8" s="24"/>
      <c r="N8" s="24"/>
      <c r="O8" s="24"/>
      <c r="P8" s="24"/>
      <c r="Q8" s="24"/>
      <c r="R8" s="24"/>
      <c r="S8" s="24"/>
      <c r="T8" s="24"/>
      <c r="U8" s="24"/>
      <c r="V8" s="24"/>
      <c r="W8" s="24"/>
      <c r="X8" s="24"/>
      <c r="Y8" s="24"/>
      <c r="Z8" s="24"/>
    </row>
    <row r="9" ht="15.5" customHeight="1" spans="1:26">
      <c r="A9" s="38"/>
      <c r="B9" s="39"/>
      <c r="C9" s="24"/>
      <c r="D9" s="24"/>
      <c r="E9" s="24"/>
      <c r="F9" s="24"/>
      <c r="G9" s="24"/>
      <c r="H9" s="24"/>
      <c r="I9" s="28"/>
      <c r="J9" s="24"/>
      <c r="K9" s="24"/>
      <c r="L9" s="24"/>
      <c r="M9" s="24"/>
      <c r="N9" s="24"/>
      <c r="O9" s="24"/>
      <c r="P9" s="24"/>
      <c r="Q9" s="24"/>
      <c r="R9" s="24"/>
      <c r="S9" s="24"/>
      <c r="T9" s="24"/>
      <c r="U9" s="24"/>
      <c r="V9" s="24"/>
      <c r="W9" s="24"/>
      <c r="X9" s="24"/>
      <c r="Y9" s="24"/>
      <c r="Z9" s="24"/>
    </row>
    <row r="10" ht="15.5" customHeight="1" spans="1:26">
      <c r="A10" s="24"/>
      <c r="B10" s="24"/>
      <c r="C10" s="24"/>
      <c r="D10" s="24"/>
      <c r="E10" s="24"/>
      <c r="F10" s="24"/>
      <c r="G10" s="24"/>
      <c r="H10" s="24"/>
      <c r="I10" s="24"/>
      <c r="J10" s="24"/>
      <c r="K10" s="24"/>
      <c r="L10" s="24"/>
      <c r="M10" s="24"/>
      <c r="N10" s="24"/>
      <c r="O10" s="24"/>
      <c r="P10" s="24"/>
      <c r="Q10" s="24"/>
      <c r="R10" s="24"/>
      <c r="S10" s="24"/>
      <c r="T10" s="24"/>
      <c r="U10" s="24"/>
      <c r="V10" s="24"/>
      <c r="W10" s="24"/>
      <c r="X10" s="24"/>
      <c r="Y10" s="24"/>
      <c r="Z10" s="24"/>
    </row>
    <row r="11" ht="15.5" customHeight="1" spans="1:26">
      <c r="A11" s="40" t="s">
        <v>74</v>
      </c>
      <c r="B11" s="41" t="s">
        <v>1004</v>
      </c>
      <c r="C11" s="42" t="s">
        <v>1005</v>
      </c>
      <c r="D11" s="41" t="s">
        <v>1006</v>
      </c>
      <c r="E11" s="43" t="s">
        <v>1007</v>
      </c>
      <c r="F11" s="43" t="s">
        <v>1008</v>
      </c>
      <c r="G11" s="43" t="s">
        <v>63</v>
      </c>
      <c r="H11" s="43" t="s">
        <v>1009</v>
      </c>
      <c r="I11" s="44" t="s">
        <v>1010</v>
      </c>
      <c r="J11" s="24"/>
      <c r="K11" s="24"/>
      <c r="L11" s="24"/>
      <c r="M11" s="24"/>
      <c r="N11" s="24"/>
      <c r="O11" s="24"/>
      <c r="P11" s="24"/>
      <c r="Q11" s="24"/>
      <c r="R11" s="24"/>
      <c r="S11" s="24"/>
      <c r="T11" s="24"/>
      <c r="U11" s="24"/>
      <c r="V11" s="24"/>
      <c r="W11" s="24"/>
      <c r="X11" s="24"/>
      <c r="Y11" s="24"/>
      <c r="Z11" s="24"/>
    </row>
    <row r="12" ht="15.5" customHeight="1" spans="1:26">
      <c r="A12" s="24">
        <v>1</v>
      </c>
      <c r="B12" s="45" t="s">
        <v>85</v>
      </c>
      <c r="C12" s="24">
        <f>DisplayManualQuestionForm!A5</f>
        <v>3</v>
      </c>
      <c r="D12" s="24">
        <f>DisplayManualQuestionForm!C5</f>
        <v>0</v>
      </c>
      <c r="E12" s="24">
        <f>DisplayManualQuestionForm!F5</f>
        <v>0</v>
      </c>
      <c r="F12" s="24">
        <f>DisplayManualQuestionForm!L5</f>
        <v>3</v>
      </c>
      <c r="G12" s="24">
        <f>DisplayManualQuestionForm!M5</f>
        <v>0</v>
      </c>
      <c r="H12" s="24">
        <f>DisplayManualQuestionForm!N5</f>
        <v>0</v>
      </c>
      <c r="I12" s="24">
        <f>DisplayManualQuestionForm!O5</f>
        <v>3</v>
      </c>
      <c r="J12" s="24"/>
      <c r="K12" s="24"/>
      <c r="L12" s="24"/>
      <c r="M12" s="24"/>
      <c r="N12" s="24"/>
      <c r="O12" s="24"/>
      <c r="P12" s="24"/>
      <c r="Q12" s="24"/>
      <c r="R12" s="24"/>
      <c r="S12" s="24"/>
      <c r="T12" s="24"/>
      <c r="U12" s="24"/>
      <c r="V12" s="24"/>
      <c r="W12" s="24"/>
      <c r="X12" s="24"/>
      <c r="Y12" s="24"/>
      <c r="Z12" s="24"/>
    </row>
    <row r="13" ht="15.5" customHeight="1" spans="1:26">
      <c r="A13" s="24">
        <v>2</v>
      </c>
      <c r="B13" s="45" t="s">
        <v>89</v>
      </c>
      <c r="C13" s="24">
        <f>ValidateJobTitleRequired!A5</f>
        <v>3</v>
      </c>
      <c r="D13" s="24">
        <f>ValidateJobTitleRequired!C5</f>
        <v>0</v>
      </c>
      <c r="E13" s="24">
        <f>ValidateJobTitleRequired!F5</f>
        <v>0</v>
      </c>
      <c r="F13" s="24">
        <f>ValidateJobTitleRequired!L5</f>
        <v>1</v>
      </c>
      <c r="G13" s="24">
        <f>ValidateJobTitleRequired!M5</f>
        <v>2</v>
      </c>
      <c r="H13" s="24">
        <f>ValidateJobTitleRequired!N5</f>
        <v>0</v>
      </c>
      <c r="I13" s="24">
        <f>ValidateJobTitleRequired!O5</f>
        <v>3</v>
      </c>
      <c r="J13" s="24"/>
      <c r="K13" s="24"/>
      <c r="L13" s="24"/>
      <c r="M13" s="24"/>
      <c r="N13" s="24"/>
      <c r="O13" s="24"/>
      <c r="P13" s="24"/>
      <c r="Q13" s="24"/>
      <c r="R13" s="24"/>
      <c r="S13" s="24"/>
      <c r="T13" s="24"/>
      <c r="U13" s="24"/>
      <c r="V13" s="24"/>
      <c r="W13" s="24"/>
      <c r="X13" s="24"/>
      <c r="Y13" s="24"/>
      <c r="Z13" s="24"/>
    </row>
    <row r="14" ht="15.5" customHeight="1" spans="1:26">
      <c r="A14" s="24">
        <v>3</v>
      </c>
      <c r="B14" s="45" t="s">
        <v>93</v>
      </c>
      <c r="C14" s="24">
        <f>ValidateQuestionContentRequired!A5</f>
        <v>3</v>
      </c>
      <c r="D14" s="24">
        <f>ValidateQuestionContentRequired!C5</f>
        <v>0</v>
      </c>
      <c r="E14" s="24">
        <f>ValidateQuestionContentRequired!F5</f>
        <v>0</v>
      </c>
      <c r="F14" s="24">
        <f>ValidateQuestionContentRequired!L5</f>
        <v>1</v>
      </c>
      <c r="G14" s="24">
        <f>ValidateQuestionContentRequired!M5</f>
        <v>2</v>
      </c>
      <c r="H14" s="24">
        <f>ValidateQuestionContentRequired!N5</f>
        <v>0</v>
      </c>
      <c r="I14" s="24">
        <f>ValidateQuestionContentRequired!O5</f>
        <v>3</v>
      </c>
      <c r="J14" s="24"/>
      <c r="K14" s="24"/>
      <c r="L14" s="24"/>
      <c r="M14" s="24"/>
      <c r="N14" s="24"/>
      <c r="O14" s="24"/>
      <c r="P14" s="24"/>
      <c r="Q14" s="24"/>
      <c r="R14" s="24"/>
      <c r="S14" s="24"/>
      <c r="T14" s="24"/>
      <c r="U14" s="24"/>
      <c r="V14" s="24"/>
      <c r="W14" s="24"/>
      <c r="X14" s="24"/>
      <c r="Y14" s="24"/>
      <c r="Z14" s="24"/>
    </row>
    <row r="15" ht="15.5" customHeight="1" spans="1:26">
      <c r="A15" s="24">
        <v>4</v>
      </c>
      <c r="B15" s="45" t="s">
        <v>97</v>
      </c>
      <c r="C15" s="24">
        <f>ValidateDurationBoundaryValue!A5</f>
        <v>3</v>
      </c>
      <c r="D15" s="24">
        <f>ValidateDurationBoundaryValue!C5</f>
        <v>0</v>
      </c>
      <c r="E15" s="24">
        <f>ValidateDurationBoundaryValue!F5</f>
        <v>0</v>
      </c>
      <c r="F15" s="24">
        <f>ValidateDurationBoundaryValue!L5</f>
        <v>0</v>
      </c>
      <c r="G15" s="24">
        <f>ValidateDurationBoundaryValue!M5</f>
        <v>0</v>
      </c>
      <c r="H15" s="24">
        <f>ValidateDurationBoundaryValue!N5</f>
        <v>3</v>
      </c>
      <c r="I15" s="24">
        <f>ValidateDurationBoundaryValue!O5</f>
        <v>3</v>
      </c>
      <c r="J15" s="24"/>
      <c r="K15" s="24"/>
      <c r="L15" s="24"/>
      <c r="M15" s="24"/>
      <c r="N15" s="24"/>
      <c r="O15" s="24"/>
      <c r="P15" s="24"/>
      <c r="Q15" s="24"/>
      <c r="R15" s="24"/>
      <c r="S15" s="24"/>
      <c r="T15" s="24"/>
      <c r="U15" s="24"/>
      <c r="V15" s="24"/>
      <c r="W15" s="24"/>
      <c r="X15" s="24"/>
      <c r="Y15" s="24"/>
      <c r="Z15" s="24"/>
    </row>
    <row r="16" ht="15.5" customHeight="1" spans="1:26">
      <c r="A16" s="24">
        <v>5</v>
      </c>
      <c r="B16" s="45" t="s">
        <v>101</v>
      </c>
      <c r="C16" s="24">
        <f>SaveQuestionSetSuccess!A5</f>
        <v>3</v>
      </c>
      <c r="D16" s="24">
        <f>SaveQuestionSetSuccess!C5</f>
        <v>0</v>
      </c>
      <c r="E16" s="24">
        <f>SaveQuestionSetSuccess!F5</f>
        <v>0</v>
      </c>
      <c r="F16" s="24">
        <f>SaveQuestionSetSuccess!L5</f>
        <v>3</v>
      </c>
      <c r="G16" s="24">
        <f>SaveQuestionSetSuccess!M5</f>
        <v>0</v>
      </c>
      <c r="H16" s="24">
        <f>SaveQuestionSetSuccess!N5</f>
        <v>0</v>
      </c>
      <c r="I16" s="24">
        <f>SaveQuestionSetSuccess!O5</f>
        <v>3</v>
      </c>
      <c r="J16" s="24"/>
      <c r="K16" s="24"/>
      <c r="L16" s="24"/>
      <c r="M16" s="24"/>
      <c r="N16" s="24"/>
      <c r="O16" s="24"/>
      <c r="P16" s="24"/>
      <c r="Q16" s="24"/>
      <c r="R16" s="24"/>
      <c r="S16" s="24"/>
      <c r="T16" s="24"/>
      <c r="U16" s="24"/>
      <c r="V16" s="24"/>
      <c r="W16" s="24"/>
      <c r="X16" s="24"/>
      <c r="Y16" s="24"/>
      <c r="Z16" s="24"/>
    </row>
    <row r="17" ht="15.5" customHeight="1" spans="1:26">
      <c r="A17" s="46">
        <v>6</v>
      </c>
      <c r="B17" s="46" t="s">
        <v>105</v>
      </c>
      <c r="C17" s="46">
        <f>DeleteQuestionMinLimitGuard!A5</f>
        <v>3</v>
      </c>
      <c r="D17" s="46">
        <f>DeleteQuestionMinLimitGuard!C5</f>
        <v>0</v>
      </c>
      <c r="E17" s="46">
        <f>DeleteQuestionMinLimitGuard!F5</f>
        <v>0</v>
      </c>
      <c r="F17" s="46">
        <f>DeleteQuestionMinLimitGuard!L5</f>
        <v>2</v>
      </c>
      <c r="G17" s="46">
        <f>DeleteQuestionMinLimitGuard!M5</f>
        <v>0</v>
      </c>
      <c r="H17" s="46">
        <f>DeleteQuestionMinLimitGuard!N5</f>
        <v>1</v>
      </c>
      <c r="I17" s="46">
        <f>DeleteQuestionMinLimitGuard!O5</f>
        <v>3</v>
      </c>
      <c r="J17" s="24"/>
      <c r="K17" s="24"/>
      <c r="L17" s="24"/>
      <c r="M17" s="24"/>
      <c r="N17" s="24"/>
      <c r="O17" s="24"/>
      <c r="P17" s="24"/>
      <c r="Q17" s="24"/>
      <c r="R17" s="24"/>
      <c r="S17" s="24"/>
      <c r="T17" s="24"/>
      <c r="U17" s="24"/>
      <c r="V17" s="24"/>
      <c r="W17" s="24"/>
      <c r="X17" s="24"/>
      <c r="Y17" s="24"/>
      <c r="Z17" s="24"/>
    </row>
    <row r="18" ht="15.5" customHeight="1" spans="1:26">
      <c r="A18" s="24">
        <v>7</v>
      </c>
      <c r="B18" s="24" t="s">
        <v>109</v>
      </c>
      <c r="C18" s="47">
        <f>ImportExcelValidFile!A5</f>
        <v>3</v>
      </c>
      <c r="D18" s="48">
        <f>ImportExcelValidFile!C5</f>
        <v>0</v>
      </c>
      <c r="E18" s="48">
        <f>ImportExcelValidFile!F5</f>
        <v>0</v>
      </c>
      <c r="F18" s="48">
        <f>ImportExcelValidFile!L5</f>
        <v>2</v>
      </c>
      <c r="G18" s="48">
        <f>ImportExcelValidFile!M5</f>
        <v>1</v>
      </c>
      <c r="H18" s="48">
        <f>ImportExcelValidFile!N5</f>
        <v>0</v>
      </c>
      <c r="I18" s="48">
        <f>ImportExcelValidFile!O5</f>
        <v>3</v>
      </c>
      <c r="J18" s="24"/>
      <c r="K18" s="24"/>
      <c r="L18" s="24"/>
      <c r="M18" s="24"/>
      <c r="N18" s="24"/>
      <c r="O18" s="24"/>
      <c r="P18" s="24"/>
      <c r="Q18" s="24"/>
      <c r="R18" s="24"/>
      <c r="S18" s="24"/>
      <c r="T18" s="24"/>
      <c r="U18" s="24"/>
      <c r="V18" s="24"/>
      <c r="W18" s="24"/>
      <c r="X18" s="24"/>
      <c r="Y18" s="24"/>
      <c r="Z18" s="24"/>
    </row>
    <row r="19" ht="15.5" customHeight="1" spans="1:26">
      <c r="A19" s="24">
        <v>8</v>
      </c>
      <c r="B19" s="24" t="s">
        <v>113</v>
      </c>
      <c r="C19" s="24">
        <f>ImportExcelInvalidFile!A5</f>
        <v>3</v>
      </c>
      <c r="D19" s="49">
        <f>ImportExcelInvalidFile!C5</f>
        <v>0</v>
      </c>
      <c r="E19" s="24">
        <f>ImportExcelInvalidFile!F5</f>
        <v>0</v>
      </c>
      <c r="F19" s="24">
        <f>ImportExcelInvalidFile!L5</f>
        <v>0</v>
      </c>
      <c r="G19" s="24">
        <f>ImportExcelInvalidFile!M5</f>
        <v>3</v>
      </c>
      <c r="H19" s="24">
        <f>ImportExcelInvalidFile!N5</f>
        <v>0</v>
      </c>
      <c r="I19" s="24">
        <f>ImportExcelInvalidFile!O5</f>
        <v>3</v>
      </c>
      <c r="J19" s="24"/>
      <c r="K19" s="24"/>
      <c r="L19" s="24"/>
      <c r="M19" s="24"/>
      <c r="N19" s="24"/>
      <c r="O19" s="24"/>
      <c r="P19" s="24"/>
      <c r="Q19" s="24"/>
      <c r="R19" s="24"/>
      <c r="S19" s="24"/>
      <c r="T19" s="24"/>
      <c r="U19" s="24"/>
      <c r="V19" s="24"/>
      <c r="W19" s="24"/>
      <c r="X19" s="24"/>
      <c r="Y19" s="24"/>
      <c r="Z19" s="24"/>
    </row>
    <row r="20" ht="15.5" customHeight="1" spans="1:26">
      <c r="A20" s="24">
        <v>9</v>
      </c>
      <c r="B20" s="24" t="s">
        <v>117</v>
      </c>
      <c r="C20" s="24">
        <f>ExportTxtValidation!A5</f>
        <v>3</v>
      </c>
      <c r="D20" s="49">
        <f>ExportTxtValidation!C5</f>
        <v>0</v>
      </c>
      <c r="E20" s="24">
        <f>ExportTxtValidation!F5</f>
        <v>0</v>
      </c>
      <c r="F20" s="24">
        <f>ExportTxtValidation!L5</f>
        <v>1</v>
      </c>
      <c r="G20" s="24">
        <f>ExportTxtValidation!M5</f>
        <v>2</v>
      </c>
      <c r="H20" s="24">
        <f>ExportTxtValidation!N5</f>
        <v>0</v>
      </c>
      <c r="I20" s="24">
        <f>ExportTxtValidation!O5</f>
        <v>3</v>
      </c>
      <c r="J20" s="24"/>
      <c r="K20" s="24"/>
      <c r="L20" s="24"/>
      <c r="M20" s="24"/>
      <c r="N20" s="24"/>
      <c r="O20" s="24"/>
      <c r="P20" s="24"/>
      <c r="Q20" s="24"/>
      <c r="R20" s="24"/>
      <c r="S20" s="24"/>
      <c r="T20" s="24"/>
      <c r="U20" s="24"/>
      <c r="V20" s="24"/>
      <c r="W20" s="24"/>
      <c r="X20" s="24"/>
      <c r="Y20" s="24"/>
      <c r="Z20" s="24"/>
    </row>
    <row r="21" ht="15.5" customHeight="1" spans="1:26">
      <c r="A21" s="24">
        <v>10</v>
      </c>
      <c r="B21" s="24" t="s">
        <v>121</v>
      </c>
      <c r="C21" s="24">
        <f>AiQuotaExceededManualLink!A5</f>
        <v>3</v>
      </c>
      <c r="D21" s="49">
        <f>AiQuotaExceededManualLink!C5</f>
        <v>0</v>
      </c>
      <c r="E21" s="24">
        <f>AiQuotaExceededManualLink!F5</f>
        <v>0</v>
      </c>
      <c r="F21" s="24">
        <f>AiQuotaExceededManualLink!L5</f>
        <v>3</v>
      </c>
      <c r="G21" s="24">
        <f>AiQuotaExceededManualLink!M5</f>
        <v>0</v>
      </c>
      <c r="H21" s="24">
        <f>AiQuotaExceededManualLink!N5</f>
        <v>0</v>
      </c>
      <c r="I21" s="24">
        <f>AiQuotaExceededManualLink!O5</f>
        <v>3</v>
      </c>
      <c r="J21" s="24"/>
      <c r="K21" s="24"/>
      <c r="L21" s="24"/>
      <c r="M21" s="24"/>
      <c r="N21" s="24"/>
      <c r="O21" s="24"/>
      <c r="P21" s="24"/>
      <c r="Q21" s="24"/>
      <c r="R21" s="24"/>
      <c r="S21" s="24"/>
      <c r="T21" s="24"/>
      <c r="U21" s="24"/>
      <c r="V21" s="24"/>
      <c r="W21" s="24"/>
      <c r="X21" s="24"/>
      <c r="Y21" s="24"/>
      <c r="Z21" s="24"/>
    </row>
    <row r="22" ht="15.5" customHeight="1" spans="1:26">
      <c r="A22" s="24">
        <v>11</v>
      </c>
      <c r="B22" s="24" t="s">
        <v>125</v>
      </c>
      <c r="C22" s="24">
        <f>UnauthorizedRoleAccessManualPag!A5</f>
        <v>3</v>
      </c>
      <c r="D22" s="49">
        <f>UnauthorizedRoleAccessManualPag!C5</f>
        <v>0</v>
      </c>
      <c r="E22" s="24">
        <f>UnauthorizedRoleAccessManualPag!F5</f>
        <v>0</v>
      </c>
      <c r="F22" s="24">
        <f>UnauthorizedRoleAccessManualPag!L5</f>
        <v>0</v>
      </c>
      <c r="G22" s="24">
        <f>UnauthorizedRoleAccessManualPag!M5</f>
        <v>3</v>
      </c>
      <c r="H22" s="24">
        <f>UnauthorizedRoleAccessManualPag!N5</f>
        <v>0</v>
      </c>
      <c r="I22" s="24">
        <f>UnauthorizedRoleAccessManualPag!O5</f>
        <v>3</v>
      </c>
      <c r="J22" s="24"/>
      <c r="K22" s="24"/>
      <c r="L22" s="24"/>
      <c r="M22" s="24"/>
      <c r="N22" s="24"/>
      <c r="O22" s="24"/>
      <c r="P22" s="24"/>
      <c r="Q22" s="24"/>
      <c r="R22" s="24"/>
      <c r="S22" s="24"/>
      <c r="T22" s="24"/>
      <c r="U22" s="24"/>
      <c r="V22" s="24"/>
      <c r="W22" s="24"/>
      <c r="X22" s="24"/>
      <c r="Y22" s="24"/>
      <c r="Z22" s="24"/>
    </row>
    <row r="23" ht="15.5" customHeight="1" spans="1:26">
      <c r="A23" s="24">
        <v>12</v>
      </c>
      <c r="B23" s="24" t="s">
        <v>132</v>
      </c>
      <c r="C23" s="24">
        <f>JdInputPasteValidation!A5</f>
        <v>4</v>
      </c>
      <c r="D23" s="49">
        <f>JdInputPasteValidation!C5</f>
        <v>0</v>
      </c>
      <c r="E23" s="24">
        <f>JdInputPasteValidation!F5</f>
        <v>0</v>
      </c>
      <c r="F23" s="24">
        <f>JdInputPasteValidation!L5</f>
        <v>2</v>
      </c>
      <c r="G23" s="24">
        <f>JdInputPasteValidation!M5</f>
        <v>2</v>
      </c>
      <c r="H23" s="24">
        <f>JdInputPasteValidation!N5</f>
        <v>0</v>
      </c>
      <c r="I23" s="24">
        <f>JdInputPasteValidation!O5</f>
        <v>4</v>
      </c>
      <c r="J23" s="24"/>
      <c r="K23" s="24"/>
      <c r="L23" s="24"/>
      <c r="M23" s="24"/>
      <c r="N23" s="24"/>
      <c r="O23" s="24"/>
      <c r="P23" s="24"/>
      <c r="Q23" s="24"/>
      <c r="R23" s="24"/>
      <c r="S23" s="24"/>
      <c r="T23" s="24"/>
      <c r="U23" s="24"/>
      <c r="V23" s="24"/>
      <c r="W23" s="24"/>
      <c r="X23" s="24"/>
      <c r="Y23" s="24"/>
      <c r="Z23" s="24"/>
    </row>
    <row r="24" ht="15.5" customHeight="1" spans="1:26">
      <c r="A24" s="24">
        <v>13</v>
      </c>
      <c r="B24" s="24" t="s">
        <v>136</v>
      </c>
      <c r="C24" s="24">
        <f>JdInputUploadFileTypes!A5</f>
        <v>6</v>
      </c>
      <c r="D24" s="24">
        <f>JdInputUploadFileTypes!C5</f>
        <v>0</v>
      </c>
      <c r="E24" s="24">
        <f>JdInputUploadFileTypes!F5</f>
        <v>0</v>
      </c>
      <c r="F24" s="24">
        <f>JdInputUploadFileTypes!L5</f>
        <v>4</v>
      </c>
      <c r="G24" s="24">
        <f>JdInputUploadFileTypes!M5</f>
        <v>1</v>
      </c>
      <c r="H24" s="24">
        <f>JdInputUploadFileTypes!N5</f>
        <v>1</v>
      </c>
      <c r="I24" s="24">
        <f>JdInputUploadFileTypes!O5</f>
        <v>6</v>
      </c>
      <c r="J24" s="24"/>
      <c r="K24" s="24"/>
      <c r="L24" s="24"/>
      <c r="M24" s="24"/>
      <c r="N24" s="24"/>
      <c r="O24" s="24"/>
      <c r="P24" s="24"/>
      <c r="Q24" s="24"/>
      <c r="R24" s="24"/>
      <c r="S24" s="24"/>
      <c r="T24" s="24"/>
      <c r="U24" s="24"/>
      <c r="V24" s="24"/>
      <c r="W24" s="24"/>
      <c r="X24" s="24"/>
      <c r="Y24" s="24"/>
      <c r="Z24" s="24"/>
    </row>
    <row r="25" ht="15.5" customHeight="1" spans="1:26">
      <c r="A25" s="24">
        <v>14</v>
      </c>
      <c r="B25" s="24" t="s">
        <v>140</v>
      </c>
      <c r="C25" s="24">
        <f>KnowledgeDocumentIngestionStatu!A5</f>
        <v>4</v>
      </c>
      <c r="D25" s="24">
        <f>KnowledgeDocumentIngestionStatu!C5</f>
        <v>0</v>
      </c>
      <c r="E25" s="24">
        <f>KnowledgeDocumentIngestionStatu!F5</f>
        <v>0</v>
      </c>
      <c r="F25" s="24">
        <f>KnowledgeDocumentIngestionStatu!L5</f>
        <v>3</v>
      </c>
      <c r="G25" s="24">
        <f>KnowledgeDocumentIngestionStatu!M5</f>
        <v>1</v>
      </c>
      <c r="H25" s="24">
        <f>KnowledgeDocumentIngestionStatu!N5</f>
        <v>0</v>
      </c>
      <c r="I25" s="24">
        <f>KnowledgeDocumentIngestionStatu!O5</f>
        <v>4</v>
      </c>
      <c r="J25" s="24"/>
      <c r="K25" s="24"/>
      <c r="L25" s="24"/>
      <c r="M25" s="24"/>
      <c r="N25" s="24"/>
      <c r="O25" s="24"/>
      <c r="P25" s="24"/>
      <c r="Q25" s="24"/>
      <c r="R25" s="24"/>
      <c r="S25" s="24"/>
      <c r="T25" s="24"/>
      <c r="U25" s="24"/>
      <c r="V25" s="24"/>
      <c r="W25" s="24"/>
      <c r="X25" s="24"/>
      <c r="Y25" s="24"/>
      <c r="Z25" s="24"/>
    </row>
    <row r="26" ht="15.5" customHeight="1" spans="1:26">
      <c r="A26" s="24">
        <v>15</v>
      </c>
      <c r="B26" s="24" t="s">
        <v>145</v>
      </c>
      <c r="C26" s="24">
        <f>SourcesPanelLockOnGenerate!A5</f>
        <v>3</v>
      </c>
      <c r="D26" s="24">
        <f>SourcesPanelLockOnGenerate!C5</f>
        <v>0</v>
      </c>
      <c r="E26" s="24">
        <f>SourcesPanelLockOnGenerate!F5</f>
        <v>0</v>
      </c>
      <c r="F26" s="24">
        <f>SourcesPanelLockOnGenerate!L5</f>
        <v>3</v>
      </c>
      <c r="G26" s="24">
        <f>SourcesPanelLockOnGenerate!M5</f>
        <v>0</v>
      </c>
      <c r="H26" s="24">
        <f>SourcesPanelLockOnGenerate!N5</f>
        <v>0</v>
      </c>
      <c r="I26" s="24">
        <f>SourcesPanelLockOnGenerate!O5</f>
        <v>3</v>
      </c>
      <c r="J26" s="24"/>
      <c r="K26" s="24"/>
      <c r="L26" s="24"/>
      <c r="M26" s="24"/>
      <c r="N26" s="24"/>
      <c r="O26" s="24"/>
      <c r="P26" s="24"/>
      <c r="Q26" s="24"/>
      <c r="R26" s="24"/>
      <c r="S26" s="24"/>
      <c r="T26" s="24"/>
      <c r="U26" s="24"/>
      <c r="V26" s="24"/>
      <c r="W26" s="24"/>
      <c r="X26" s="24"/>
      <c r="Y26" s="24"/>
      <c r="Z26" s="24"/>
    </row>
    <row r="27" ht="15.5" customHeight="1" spans="1:26">
      <c r="A27" s="24">
        <v>16</v>
      </c>
      <c r="B27" s="24" t="s">
        <v>149</v>
      </c>
      <c r="C27" s="24">
        <f>GenerateQuestionsSuccessFlow!A5</f>
        <v>3</v>
      </c>
      <c r="D27" s="24">
        <f>GenerateQuestionsSuccessFlow!C5</f>
        <v>0</v>
      </c>
      <c r="E27" s="24">
        <f>GenerateQuestionsSuccessFlow!F5</f>
        <v>0</v>
      </c>
      <c r="F27" s="24">
        <f>GenerateQuestionsSuccessFlow!L5</f>
        <v>3</v>
      </c>
      <c r="G27" s="24">
        <f>GenerateQuestionsSuccessFlow!M5</f>
        <v>0</v>
      </c>
      <c r="H27" s="24">
        <f>GenerateQuestionsSuccessFlow!N5</f>
        <v>0</v>
      </c>
      <c r="I27" s="24">
        <f>GenerateQuestionsSuccessFlow!O5</f>
        <v>3</v>
      </c>
      <c r="J27" s="24"/>
      <c r="K27" s="24"/>
      <c r="L27" s="24"/>
      <c r="M27" s="24"/>
      <c r="N27" s="24"/>
      <c r="O27" s="24"/>
      <c r="P27" s="24"/>
      <c r="Q27" s="24"/>
      <c r="R27" s="24"/>
      <c r="S27" s="24"/>
      <c r="T27" s="24"/>
      <c r="U27" s="24"/>
      <c r="V27" s="24"/>
      <c r="W27" s="24"/>
      <c r="X27" s="24"/>
      <c r="Y27" s="24"/>
      <c r="Z27" s="24"/>
    </row>
    <row r="28" ht="15.5" customHeight="1" spans="1:26">
      <c r="A28" s="24">
        <v>17</v>
      </c>
      <c r="B28" s="24" t="s">
        <v>153</v>
      </c>
      <c r="C28" s="24">
        <f>GenerateQuestionsAutoRetryRepla!A5</f>
        <v>3</v>
      </c>
      <c r="D28" s="24">
        <f>GenerateQuestionsAutoRetryRepla!C5</f>
        <v>0</v>
      </c>
      <c r="E28" s="24">
        <f>GenerateQuestionsAutoRetryRepla!F5</f>
        <v>0</v>
      </c>
      <c r="F28" s="24">
        <f>GenerateQuestionsAutoRetryRepla!L5</f>
        <v>1</v>
      </c>
      <c r="G28" s="24">
        <f>GenerateQuestionsAutoRetryRepla!M5</f>
        <v>2</v>
      </c>
      <c r="H28" s="24">
        <f>GenerateQuestionsAutoRetryRepla!N5</f>
        <v>0</v>
      </c>
      <c r="I28" s="24">
        <f>GenerateQuestionsAutoRetryRepla!O5</f>
        <v>3</v>
      </c>
      <c r="J28" s="24"/>
      <c r="K28" s="24"/>
      <c r="L28" s="24"/>
      <c r="M28" s="24"/>
      <c r="N28" s="24"/>
      <c r="O28" s="24"/>
      <c r="P28" s="24"/>
      <c r="Q28" s="24"/>
      <c r="R28" s="24"/>
      <c r="S28" s="24"/>
      <c r="T28" s="24"/>
      <c r="U28" s="24"/>
      <c r="V28" s="24"/>
      <c r="W28" s="24"/>
      <c r="X28" s="24"/>
      <c r="Y28" s="24"/>
      <c r="Z28" s="24"/>
    </row>
    <row r="29" ht="15.5" customHeight="1" spans="1:26">
      <c r="A29" s="24">
        <v>18</v>
      </c>
      <c r="B29" s="24" t="s">
        <v>158</v>
      </c>
      <c r="C29" s="24">
        <f>GenerateQuestionsFailedStatus!A5</f>
        <v>3</v>
      </c>
      <c r="D29" s="24">
        <f>GenerateQuestionsFailedStatus!C5</f>
        <v>0</v>
      </c>
      <c r="E29" s="24">
        <f>GenerateQuestionsFailedStatus!F5</f>
        <v>0</v>
      </c>
      <c r="F29" s="24">
        <f>GenerateQuestionsFailedStatus!L5</f>
        <v>1</v>
      </c>
      <c r="G29" s="24">
        <f>GenerateQuestionsFailedStatus!M5</f>
        <v>2</v>
      </c>
      <c r="H29" s="24">
        <f>GenerateQuestionsFailedStatus!N5</f>
        <v>0</v>
      </c>
      <c r="I29" s="24">
        <f>GenerateQuestionsFailedStatus!O5</f>
        <v>3</v>
      </c>
      <c r="J29" s="24"/>
      <c r="K29" s="24"/>
      <c r="L29" s="24"/>
      <c r="M29" s="24"/>
      <c r="N29" s="24"/>
      <c r="O29" s="24"/>
      <c r="P29" s="24"/>
      <c r="Q29" s="24"/>
      <c r="R29" s="24"/>
      <c r="S29" s="24"/>
      <c r="T29" s="24"/>
      <c r="U29" s="24"/>
      <c r="V29" s="24"/>
      <c r="W29" s="24"/>
      <c r="X29" s="24"/>
      <c r="Y29" s="24"/>
      <c r="Z29" s="24"/>
    </row>
    <row r="30" ht="15.5" customHeight="1" spans="1:26">
      <c r="A30" s="24">
        <v>19</v>
      </c>
      <c r="B30" s="24" t="s">
        <v>162</v>
      </c>
      <c r="C30" s="24">
        <f>GenerateQuestionsTimeoutDeadlin!A5</f>
        <v>2</v>
      </c>
      <c r="D30" s="24">
        <f>GenerateQuestionsTimeoutDeadlin!C5</f>
        <v>0</v>
      </c>
      <c r="E30" s="24">
        <f>GenerateQuestionsTimeoutDeadlin!F5</f>
        <v>0</v>
      </c>
      <c r="F30" s="24">
        <f>GenerateQuestionsTimeoutDeadlin!L5</f>
        <v>1</v>
      </c>
      <c r="G30" s="24">
        <f>GenerateQuestionsTimeoutDeadlin!M5</f>
        <v>0</v>
      </c>
      <c r="H30" s="24">
        <f>GenerateQuestionsTimeoutDeadlin!N5</f>
        <v>1</v>
      </c>
      <c r="I30" s="24">
        <f>GenerateQuestionsTimeoutDeadlin!O5</f>
        <v>2</v>
      </c>
      <c r="J30" s="24"/>
      <c r="K30" s="24"/>
      <c r="L30" s="24"/>
      <c r="M30" s="24"/>
      <c r="N30" s="24"/>
      <c r="O30" s="24"/>
      <c r="P30" s="24"/>
      <c r="Q30" s="24"/>
      <c r="R30" s="24"/>
      <c r="S30" s="24"/>
      <c r="T30" s="24"/>
      <c r="U30" s="24"/>
      <c r="V30" s="24"/>
      <c r="W30" s="24"/>
      <c r="X30" s="24"/>
      <c r="Y30" s="24"/>
      <c r="Z30" s="24"/>
    </row>
    <row r="31" ht="15.5" customHeight="1" spans="1:26">
      <c r="A31" s="24">
        <v>20</v>
      </c>
      <c r="B31" s="24" t="s">
        <v>167</v>
      </c>
      <c r="C31" s="24">
        <f>BackgroundPollResumeOnReload!A5</f>
        <v>3</v>
      </c>
      <c r="D31" s="24">
        <f>BackgroundPollResumeOnReload!C5</f>
        <v>0</v>
      </c>
      <c r="E31" s="24">
        <f>BackgroundPollResumeOnReload!F5</f>
        <v>0</v>
      </c>
      <c r="F31" s="24">
        <f>BackgroundPollResumeOnReload!L5</f>
        <v>3</v>
      </c>
      <c r="G31" s="24">
        <f>BackgroundPollResumeOnReload!M5</f>
        <v>0</v>
      </c>
      <c r="H31" s="24">
        <f>BackgroundPollResumeOnReload!N5</f>
        <v>0</v>
      </c>
      <c r="I31" s="24">
        <f>BackgroundPollResumeOnReload!O5</f>
        <v>3</v>
      </c>
      <c r="J31" s="24"/>
      <c r="K31" s="24"/>
      <c r="L31" s="24"/>
      <c r="M31" s="24"/>
      <c r="N31" s="24"/>
      <c r="O31" s="24"/>
      <c r="P31" s="24"/>
      <c r="Q31" s="24"/>
      <c r="R31" s="24"/>
      <c r="S31" s="24"/>
      <c r="T31" s="24"/>
      <c r="U31" s="24"/>
      <c r="V31" s="24"/>
      <c r="W31" s="24"/>
      <c r="X31" s="24"/>
      <c r="Y31" s="24"/>
      <c r="Z31" s="24"/>
    </row>
    <row r="32" ht="15.5" customHeight="1" spans="1:26">
      <c r="A32" s="24">
        <v>21</v>
      </c>
      <c r="B32" s="24" t="s">
        <v>171</v>
      </c>
      <c r="C32" s="24">
        <f>QuotaCooldownBlockingModal!A5</f>
        <v>5</v>
      </c>
      <c r="D32" s="24">
        <f>QuotaCooldownBlockingModal!C5</f>
        <v>0</v>
      </c>
      <c r="E32" s="24">
        <f>QuotaCooldownBlockingModal!F5</f>
        <v>0</v>
      </c>
      <c r="F32" s="24">
        <f>QuotaCooldownBlockingModal!L5</f>
        <v>4</v>
      </c>
      <c r="G32" s="24">
        <f>QuotaCooldownBlockingModal!M5</f>
        <v>0</v>
      </c>
      <c r="H32" s="24">
        <f>QuotaCooldownBlockingModal!N5</f>
        <v>1</v>
      </c>
      <c r="I32" s="24">
        <f>QuotaCooldownBlockingModal!O5</f>
        <v>5</v>
      </c>
      <c r="J32" s="24"/>
      <c r="K32" s="24"/>
      <c r="L32" s="24"/>
      <c r="M32" s="24"/>
      <c r="N32" s="24"/>
      <c r="O32" s="24"/>
      <c r="P32" s="24"/>
      <c r="Q32" s="24"/>
      <c r="R32" s="24"/>
      <c r="S32" s="24"/>
      <c r="T32" s="24"/>
      <c r="U32" s="24"/>
      <c r="V32" s="24"/>
      <c r="W32" s="24"/>
      <c r="X32" s="24"/>
      <c r="Y32" s="24"/>
      <c r="Z32" s="24"/>
    </row>
    <row r="33" ht="15.5" customHeight="1" spans="1:26">
      <c r="A33" s="24">
        <v>22</v>
      </c>
      <c r="B33" s="24" t="s">
        <v>175</v>
      </c>
      <c r="C33" s="24">
        <f>PlanApprovedLocksRefine!A5</f>
        <v>3</v>
      </c>
      <c r="D33" s="24">
        <f>PlanApprovedLocksRefine!C5</f>
        <v>0</v>
      </c>
      <c r="E33" s="24">
        <f>PlanApprovedLocksRefine!F5</f>
        <v>0</v>
      </c>
      <c r="F33" s="24">
        <f>PlanApprovedLocksRefine!L5</f>
        <v>1</v>
      </c>
      <c r="G33" s="24">
        <f>PlanApprovedLocksRefine!M5</f>
        <v>2</v>
      </c>
      <c r="H33" s="24">
        <f>PlanApprovedLocksRefine!N5</f>
        <v>0</v>
      </c>
      <c r="I33" s="24">
        <f>PlanApprovedLocksRefine!O5</f>
        <v>3</v>
      </c>
      <c r="J33" s="24"/>
      <c r="K33" s="24"/>
      <c r="L33" s="24"/>
      <c r="M33" s="24"/>
      <c r="N33" s="24"/>
      <c r="O33" s="24"/>
      <c r="P33" s="24"/>
      <c r="Q33" s="24"/>
      <c r="R33" s="24"/>
      <c r="S33" s="24"/>
      <c r="T33" s="24"/>
      <c r="U33" s="24"/>
      <c r="V33" s="24"/>
      <c r="W33" s="24"/>
      <c r="X33" s="24"/>
      <c r="Y33" s="24"/>
      <c r="Z33" s="24"/>
    </row>
    <row r="34" ht="15.5" customHeight="1" spans="1:26">
      <c r="A34" s="24">
        <v>23</v>
      </c>
      <c r="B34" s="24" t="s">
        <v>179</v>
      </c>
      <c r="C34" s="24">
        <f>QuestionEditDeleteRegenerate!A5</f>
        <v>4</v>
      </c>
      <c r="D34" s="24">
        <f>QuestionEditDeleteRegenerate!C5</f>
        <v>0</v>
      </c>
      <c r="E34" s="24">
        <f>QuestionEditDeleteRegenerate!F5</f>
        <v>0</v>
      </c>
      <c r="F34" s="24">
        <f>QuestionEditDeleteRegenerate!L5</f>
        <v>2</v>
      </c>
      <c r="G34" s="24">
        <f>QuestionEditDeleteRegenerate!M5</f>
        <v>2</v>
      </c>
      <c r="H34" s="24">
        <f>QuestionEditDeleteRegenerate!N5</f>
        <v>0</v>
      </c>
      <c r="I34" s="24">
        <f>QuestionEditDeleteRegenerate!O5</f>
        <v>4</v>
      </c>
      <c r="J34" s="24"/>
      <c r="K34" s="24"/>
      <c r="L34" s="24"/>
      <c r="M34" s="24"/>
      <c r="N34" s="24"/>
      <c r="O34" s="24"/>
      <c r="P34" s="24"/>
      <c r="Q34" s="24"/>
      <c r="R34" s="24"/>
      <c r="S34" s="24"/>
      <c r="T34" s="24"/>
      <c r="U34" s="24"/>
      <c r="V34" s="24"/>
      <c r="W34" s="24"/>
      <c r="X34" s="24"/>
      <c r="Y34" s="24"/>
      <c r="Z34" s="24"/>
    </row>
    <row r="35" ht="15.5" customHeight="1" spans="1:26">
      <c r="A35" s="24">
        <v>24</v>
      </c>
      <c r="B35" s="24" t="s">
        <v>183</v>
      </c>
      <c r="C35" s="24">
        <f>SaveDraftPublishShare!A5</f>
        <v>5</v>
      </c>
      <c r="D35" s="24">
        <f>SaveDraftPublishShare!C5</f>
        <v>0</v>
      </c>
      <c r="E35" s="24">
        <f>SaveDraftPublishShare!F5</f>
        <v>0</v>
      </c>
      <c r="F35" s="24">
        <f>SaveDraftPublishShare!L5</f>
        <v>5</v>
      </c>
      <c r="G35" s="24">
        <f>SaveDraftPublishShare!M5</f>
        <v>0</v>
      </c>
      <c r="H35" s="24">
        <f>SaveDraftPublishShare!N5</f>
        <v>0</v>
      </c>
      <c r="I35" s="24">
        <f>SaveDraftPublishShare!O5</f>
        <v>5</v>
      </c>
      <c r="J35" s="24"/>
      <c r="K35" s="24"/>
      <c r="L35" s="24"/>
      <c r="M35" s="24"/>
      <c r="N35" s="24"/>
      <c r="O35" s="24"/>
      <c r="P35" s="24"/>
      <c r="Q35" s="24"/>
      <c r="R35" s="24"/>
      <c r="S35" s="24"/>
      <c r="T35" s="24"/>
      <c r="U35" s="24"/>
      <c r="V35" s="24"/>
      <c r="W35" s="24"/>
      <c r="X35" s="24"/>
      <c r="Y35" s="24"/>
      <c r="Z35" s="24"/>
    </row>
    <row r="36" ht="15.5" customHeight="1" spans="1:26">
      <c r="A36" s="24">
        <v>25</v>
      </c>
      <c r="B36" s="24" t="s">
        <v>187</v>
      </c>
      <c r="C36" s="24">
        <f>GenerateFormRetired!A5</f>
        <v>1</v>
      </c>
      <c r="D36" s="24">
        <f>GenerateFormRetired!C5</f>
        <v>0</v>
      </c>
      <c r="E36" s="24">
        <f>GenerateFormRetired!F5</f>
        <v>0</v>
      </c>
      <c r="F36" s="24">
        <f>GenerateFormRetired!L5</f>
        <v>1</v>
      </c>
      <c r="G36" s="24">
        <f>GenerateFormRetired!M5</f>
        <v>0</v>
      </c>
      <c r="H36" s="24">
        <f>GenerateFormRetired!N5</f>
        <v>0</v>
      </c>
      <c r="I36" s="24">
        <f>GenerateFormRetired!O5</f>
        <v>1</v>
      </c>
      <c r="J36" s="24"/>
      <c r="K36" s="24"/>
      <c r="L36" s="24"/>
      <c r="M36" s="24"/>
      <c r="N36" s="24"/>
      <c r="O36" s="24"/>
      <c r="P36" s="24"/>
      <c r="Q36" s="24"/>
      <c r="R36" s="24"/>
      <c r="S36" s="24"/>
      <c r="T36" s="24"/>
      <c r="U36" s="24"/>
      <c r="V36" s="24"/>
      <c r="W36" s="24"/>
      <c r="X36" s="24"/>
      <c r="Y36" s="24"/>
      <c r="Z36" s="24"/>
    </row>
    <row r="37" ht="15.5" customHeight="1" spans="1:26">
      <c r="A37" s="24">
        <v>26</v>
      </c>
      <c r="B37" s="24" t="s">
        <v>193</v>
      </c>
      <c r="C37" s="24">
        <f>Token401SilentRefreshSuccess!A5</f>
        <v>3</v>
      </c>
      <c r="D37" s="24">
        <f>Token401SilentRefreshSuccess!C5</f>
        <v>0</v>
      </c>
      <c r="E37" s="24">
        <f>Token401SilentRefreshSuccess!F5</f>
        <v>0</v>
      </c>
      <c r="F37" s="24">
        <f>Token401SilentRefreshSuccess!L5</f>
        <v>3</v>
      </c>
      <c r="G37" s="24">
        <f>Token401SilentRefreshSuccess!M5</f>
        <v>0</v>
      </c>
      <c r="H37" s="24">
        <f>Token401SilentRefreshSuccess!N5</f>
        <v>0</v>
      </c>
      <c r="I37" s="24">
        <f>Token401SilentRefreshSuccess!O5</f>
        <v>3</v>
      </c>
      <c r="J37" s="24"/>
      <c r="K37" s="24"/>
      <c r="L37" s="24"/>
      <c r="M37" s="24"/>
      <c r="N37" s="24"/>
      <c r="O37" s="24"/>
      <c r="P37" s="24"/>
      <c r="Q37" s="24"/>
      <c r="R37" s="24"/>
      <c r="S37" s="24"/>
      <c r="T37" s="24"/>
      <c r="U37" s="24"/>
      <c r="V37" s="24"/>
      <c r="W37" s="24"/>
      <c r="X37" s="24"/>
      <c r="Y37" s="24"/>
      <c r="Z37" s="24"/>
    </row>
    <row r="38" ht="15.5" customHeight="1" spans="1:26">
      <c r="A38" s="24">
        <v>27</v>
      </c>
      <c r="B38" s="24" t="s">
        <v>197</v>
      </c>
      <c r="C38" s="24">
        <f>Token401RefreshFailureRedirect!A5</f>
        <v>3</v>
      </c>
      <c r="D38" s="24">
        <f>Token401RefreshFailureRedirect!C5</f>
        <v>0</v>
      </c>
      <c r="E38" s="24">
        <f>Token401RefreshFailureRedirect!F5</f>
        <v>0</v>
      </c>
      <c r="F38" s="24">
        <f>Token401RefreshFailureRedirect!L5</f>
        <v>0</v>
      </c>
      <c r="G38" s="24">
        <f>Token401RefreshFailureRedirect!M5</f>
        <v>3</v>
      </c>
      <c r="H38" s="24">
        <f>Token401RefreshFailureRedirect!N5</f>
        <v>0</v>
      </c>
      <c r="I38" s="24">
        <f>Token401RefreshFailureRedirect!O5</f>
        <v>3</v>
      </c>
      <c r="J38" s="24"/>
      <c r="K38" s="24"/>
      <c r="L38" s="24"/>
      <c r="M38" s="24"/>
      <c r="N38" s="24"/>
      <c r="O38" s="24"/>
      <c r="P38" s="24"/>
      <c r="Q38" s="24"/>
      <c r="R38" s="24"/>
      <c r="S38" s="24"/>
      <c r="T38" s="24"/>
      <c r="U38" s="24"/>
      <c r="V38" s="24"/>
      <c r="W38" s="24"/>
      <c r="X38" s="24"/>
      <c r="Y38" s="24"/>
      <c r="Z38" s="24"/>
    </row>
    <row r="39" ht="15.5" customHeight="1" spans="1:26">
      <c r="A39" s="24">
        <v>28</v>
      </c>
      <c r="B39" s="24" t="s">
        <v>201</v>
      </c>
      <c r="C39" s="24">
        <f>Token401NoRefreshTokenStored!A5</f>
        <v>1</v>
      </c>
      <c r="D39" s="24">
        <f>Token401NoRefreshTokenStored!C5</f>
        <v>0</v>
      </c>
      <c r="E39" s="24">
        <f>Token401NoRefreshTokenStored!F5</f>
        <v>0</v>
      </c>
      <c r="F39" s="24">
        <f>Token401NoRefreshTokenStored!L5</f>
        <v>0</v>
      </c>
      <c r="G39" s="24">
        <f>Token401NoRefreshTokenStored!M5</f>
        <v>1</v>
      </c>
      <c r="H39" s="24">
        <f>Token401NoRefreshTokenStored!N5</f>
        <v>0</v>
      </c>
      <c r="I39" s="24">
        <f>Token401NoRefreshTokenStored!O5</f>
        <v>1</v>
      </c>
      <c r="J39" s="24"/>
      <c r="K39" s="24"/>
      <c r="L39" s="24"/>
      <c r="M39" s="24"/>
      <c r="N39" s="24"/>
      <c r="O39" s="24"/>
      <c r="P39" s="24"/>
      <c r="Q39" s="24"/>
      <c r="R39" s="24"/>
      <c r="S39" s="24"/>
      <c r="T39" s="24"/>
      <c r="U39" s="24"/>
      <c r="V39" s="24"/>
      <c r="W39" s="24"/>
      <c r="X39" s="24"/>
      <c r="Y39" s="24"/>
      <c r="Z39" s="24"/>
    </row>
    <row r="40" ht="15.5" customHeight="1" spans="1:26">
      <c r="A40" s="24">
        <v>29</v>
      </c>
      <c r="B40" s="24" t="s">
        <v>205</v>
      </c>
      <c r="C40" s="24">
        <f>Token401OnRefreshEndpointItself!A5</f>
        <v>1</v>
      </c>
      <c r="D40" s="24">
        <f>Token401OnRefreshEndpointItself!C5</f>
        <v>0</v>
      </c>
      <c r="E40" s="24">
        <f>Token401OnRefreshEndpointItself!F5</f>
        <v>0</v>
      </c>
      <c r="F40" s="24">
        <f>Token401OnRefreshEndpointItself!L5</f>
        <v>0</v>
      </c>
      <c r="G40" s="24">
        <f>Token401OnRefreshEndpointItself!M5</f>
        <v>1</v>
      </c>
      <c r="H40" s="24">
        <f>Token401OnRefreshEndpointItself!N5</f>
        <v>0</v>
      </c>
      <c r="I40" s="24">
        <f>Token401OnRefreshEndpointItself!O5</f>
        <v>1</v>
      </c>
      <c r="J40" s="24"/>
      <c r="K40" s="24"/>
      <c r="L40" s="24"/>
      <c r="M40" s="24"/>
      <c r="N40" s="24"/>
      <c r="O40" s="24"/>
      <c r="P40" s="24"/>
      <c r="Q40" s="24"/>
      <c r="R40" s="24"/>
      <c r="S40" s="24"/>
      <c r="T40" s="24"/>
      <c r="U40" s="24"/>
      <c r="V40" s="24"/>
      <c r="W40" s="24"/>
      <c r="X40" s="24"/>
      <c r="Y40" s="24"/>
      <c r="Z40" s="24"/>
    </row>
    <row r="41" ht="15.5" customHeight="1" spans="1:26">
      <c r="A41" s="24">
        <v>30</v>
      </c>
      <c r="B41" s="24" t="s">
        <v>209</v>
      </c>
      <c r="C41" s="24">
        <f>Token401AlreadyRetriedOnce!A5</f>
        <v>1</v>
      </c>
      <c r="D41" s="24">
        <f>Token401AlreadyRetriedOnce!C5</f>
        <v>0</v>
      </c>
      <c r="E41" s="24">
        <f>Token401AlreadyRetriedOnce!F5</f>
        <v>0</v>
      </c>
      <c r="F41" s="24">
        <f>Token401AlreadyRetriedOnce!L5</f>
        <v>0</v>
      </c>
      <c r="G41" s="24">
        <f>Token401AlreadyRetriedOnce!M5</f>
        <v>1</v>
      </c>
      <c r="H41" s="24">
        <f>Token401AlreadyRetriedOnce!N5</f>
        <v>0</v>
      </c>
      <c r="I41" s="24">
        <f>Token401AlreadyRetriedOnce!O5</f>
        <v>1</v>
      </c>
      <c r="J41" s="24"/>
      <c r="K41" s="24"/>
      <c r="L41" s="24"/>
      <c r="M41" s="24"/>
      <c r="N41" s="24"/>
      <c r="O41" s="24"/>
      <c r="P41" s="24"/>
      <c r="Q41" s="24"/>
      <c r="R41" s="24"/>
      <c r="S41" s="24"/>
      <c r="T41" s="24"/>
      <c r="U41" s="24"/>
      <c r="V41" s="24"/>
      <c r="W41" s="24"/>
      <c r="X41" s="24"/>
      <c r="Y41" s="24"/>
      <c r="Z41" s="24"/>
    </row>
    <row r="42" ht="15.5" customHeight="1" spans="1:26">
      <c r="A42" s="24">
        <v>31</v>
      </c>
      <c r="B42" s="24" t="s">
        <v>213</v>
      </c>
      <c r="C42" s="24">
        <f>PublicAuthEndpoint401NoIntercep!A5</f>
        <v>3</v>
      </c>
      <c r="D42" s="24">
        <f>PublicAuthEndpoint401NoIntercep!C5</f>
        <v>0</v>
      </c>
      <c r="E42" s="24">
        <f>PublicAuthEndpoint401NoIntercep!F5</f>
        <v>0</v>
      </c>
      <c r="F42" s="24">
        <f>PublicAuthEndpoint401NoIntercep!L5</f>
        <v>3</v>
      </c>
      <c r="G42" s="24">
        <f>PublicAuthEndpoint401NoIntercep!M5</f>
        <v>0</v>
      </c>
      <c r="H42" s="24">
        <f>PublicAuthEndpoint401NoIntercep!N5</f>
        <v>0</v>
      </c>
      <c r="I42" s="24">
        <f>PublicAuthEndpoint401NoIntercep!O5</f>
        <v>3</v>
      </c>
      <c r="J42" s="24"/>
      <c r="K42" s="24"/>
      <c r="L42" s="24"/>
      <c r="M42" s="24"/>
      <c r="N42" s="24"/>
      <c r="O42" s="24"/>
      <c r="P42" s="24"/>
      <c r="Q42" s="24"/>
      <c r="R42" s="24"/>
      <c r="S42" s="24"/>
      <c r="T42" s="24"/>
      <c r="U42" s="24"/>
      <c r="V42" s="24"/>
      <c r="W42" s="24"/>
      <c r="X42" s="24"/>
      <c r="Y42" s="24"/>
      <c r="Z42" s="24"/>
    </row>
    <row r="43" ht="15.5" customHeight="1" spans="1:26">
      <c r="A43" s="24">
        <v>32</v>
      </c>
      <c r="B43" s="24" t="s">
        <v>218</v>
      </c>
      <c r="C43" s="24">
        <f>Forbidden403NoDedicatedHandling!A5</f>
        <v>3</v>
      </c>
      <c r="D43" s="24">
        <f>Forbidden403NoDedicatedHandling!C5</f>
        <v>0</v>
      </c>
      <c r="E43" s="24">
        <f>Forbidden403NoDedicatedHandling!F5</f>
        <v>0</v>
      </c>
      <c r="F43" s="24">
        <f>Forbidden403NoDedicatedHandling!L5</f>
        <v>1</v>
      </c>
      <c r="G43" s="24">
        <f>Forbidden403NoDedicatedHandling!M5</f>
        <v>2</v>
      </c>
      <c r="H43" s="24">
        <f>Forbidden403NoDedicatedHandling!N5</f>
        <v>0</v>
      </c>
      <c r="I43" s="24">
        <f>Forbidden403NoDedicatedHandling!O5</f>
        <v>3</v>
      </c>
      <c r="J43" s="24"/>
      <c r="K43" s="24"/>
      <c r="L43" s="24"/>
      <c r="M43" s="24"/>
      <c r="N43" s="24"/>
      <c r="O43" s="24"/>
      <c r="P43" s="24"/>
      <c r="Q43" s="24"/>
      <c r="R43" s="24"/>
      <c r="S43" s="24"/>
      <c r="T43" s="24"/>
      <c r="U43" s="24"/>
      <c r="V43" s="24"/>
      <c r="W43" s="24"/>
      <c r="X43" s="24"/>
      <c r="Y43" s="24"/>
      <c r="Z43" s="24"/>
    </row>
    <row r="44" ht="15.5" customHeight="1" spans="1:26">
      <c r="A44" s="24">
        <v>33</v>
      </c>
      <c r="B44" s="24" t="s">
        <v>222</v>
      </c>
      <c r="C44" s="24">
        <f>NoRoleGateOnHrRoutes!A5</f>
        <v>3</v>
      </c>
      <c r="D44" s="24">
        <f>NoRoleGateOnHrRoutes!C5</f>
        <v>0</v>
      </c>
      <c r="E44" s="24">
        <f>NoRoleGateOnHrRoutes!F5</f>
        <v>0</v>
      </c>
      <c r="F44" s="24">
        <f>NoRoleGateOnHrRoutes!L5</f>
        <v>0</v>
      </c>
      <c r="G44" s="24">
        <f>NoRoleGateOnHrRoutes!M5</f>
        <v>3</v>
      </c>
      <c r="H44" s="24">
        <f>NoRoleGateOnHrRoutes!N5</f>
        <v>0</v>
      </c>
      <c r="I44" s="24">
        <f>NoRoleGateOnHrRoutes!O5</f>
        <v>3</v>
      </c>
      <c r="J44" s="24"/>
      <c r="K44" s="24"/>
      <c r="L44" s="24"/>
      <c r="M44" s="24"/>
      <c r="N44" s="24"/>
      <c r="O44" s="24"/>
      <c r="P44" s="24"/>
      <c r="Q44" s="24"/>
      <c r="R44" s="24"/>
      <c r="S44" s="24"/>
      <c r="T44" s="24"/>
      <c r="U44" s="24"/>
      <c r="V44" s="24"/>
      <c r="W44" s="24"/>
      <c r="X44" s="24"/>
      <c r="Y44" s="24"/>
      <c r="Z44" s="24"/>
    </row>
    <row r="45" ht="15.5" customHeight="1" spans="1:26">
      <c r="A45" s="24">
        <v>34</v>
      </c>
      <c r="B45" s="24" t="s">
        <v>226</v>
      </c>
      <c r="C45" s="24">
        <f>SubscriptionErrorCodeCannedMess!A5</f>
        <v>4</v>
      </c>
      <c r="D45" s="24">
        <f>SubscriptionErrorCodeCannedMess!C5</f>
        <v>0</v>
      </c>
      <c r="E45" s="24">
        <f>SubscriptionErrorCodeCannedMess!F5</f>
        <v>0</v>
      </c>
      <c r="F45" s="24">
        <f>SubscriptionErrorCodeCannedMess!L5</f>
        <v>4</v>
      </c>
      <c r="G45" s="24">
        <f>SubscriptionErrorCodeCannedMess!M5</f>
        <v>0</v>
      </c>
      <c r="H45" s="24">
        <f>SubscriptionErrorCodeCannedMess!N5</f>
        <v>0</v>
      </c>
      <c r="I45" s="24">
        <f>SubscriptionErrorCodeCannedMess!O5</f>
        <v>4</v>
      </c>
      <c r="J45" s="24"/>
      <c r="K45" s="24"/>
      <c r="L45" s="24"/>
      <c r="M45" s="24"/>
      <c r="N45" s="24"/>
      <c r="O45" s="24"/>
      <c r="P45" s="24"/>
      <c r="Q45" s="24"/>
      <c r="R45" s="24"/>
      <c r="S45" s="24"/>
      <c r="T45" s="24"/>
      <c r="U45" s="24"/>
      <c r="V45" s="24"/>
      <c r="W45" s="24"/>
      <c r="X45" s="24"/>
      <c r="Y45" s="24"/>
      <c r="Z45" s="24"/>
    </row>
    <row r="46" ht="15.5" customHeight="1" spans="1:26">
      <c r="A46" s="24">
        <v>35</v>
      </c>
      <c r="B46" s="24" t="s">
        <v>231</v>
      </c>
      <c r="C46" s="24">
        <f>UnrecognizedErrorCodeFallback!A5</f>
        <v>5</v>
      </c>
      <c r="D46" s="24">
        <f>UnrecognizedErrorCodeFallback!C5</f>
        <v>0</v>
      </c>
      <c r="E46" s="24">
        <f>UnrecognizedErrorCodeFallback!F5</f>
        <v>0</v>
      </c>
      <c r="F46" s="24">
        <f>UnrecognizedErrorCodeFallback!L5</f>
        <v>2</v>
      </c>
      <c r="G46" s="24">
        <f>UnrecognizedErrorCodeFallback!M5</f>
        <v>3</v>
      </c>
      <c r="H46" s="24">
        <f>UnrecognizedErrorCodeFallback!N5</f>
        <v>0</v>
      </c>
      <c r="I46" s="24">
        <f>UnrecognizedErrorCodeFallback!O5</f>
        <v>5</v>
      </c>
      <c r="J46" s="24"/>
      <c r="K46" s="24"/>
      <c r="L46" s="24"/>
      <c r="M46" s="24"/>
      <c r="N46" s="24"/>
      <c r="O46" s="24"/>
      <c r="P46" s="24"/>
      <c r="Q46" s="24"/>
      <c r="R46" s="24"/>
      <c r="S46" s="24"/>
      <c r="T46" s="24"/>
      <c r="U46" s="24"/>
      <c r="V46" s="24"/>
      <c r="W46" s="24"/>
      <c r="X46" s="24"/>
      <c r="Y46" s="24"/>
      <c r="Z46" s="24"/>
    </row>
    <row r="47" ht="15.5" customHeight="1" spans="1:26">
      <c r="A47" s="24">
        <v>36</v>
      </c>
      <c r="B47" s="24" t="s">
        <v>235</v>
      </c>
      <c r="C47" s="24">
        <f>TimeoutRaw5xxNoFriendlyMessage!A5</f>
        <v>4</v>
      </c>
      <c r="D47" s="24">
        <f>TimeoutRaw5xxNoFriendlyMessage!C5</f>
        <v>0</v>
      </c>
      <c r="E47" s="24">
        <f>TimeoutRaw5xxNoFriendlyMessage!F5</f>
        <v>0</v>
      </c>
      <c r="F47" s="24">
        <f>TimeoutRaw5xxNoFriendlyMessage!L5</f>
        <v>0</v>
      </c>
      <c r="G47" s="24">
        <f>TimeoutRaw5xxNoFriendlyMessage!M5</f>
        <v>2</v>
      </c>
      <c r="H47" s="24">
        <f>TimeoutRaw5xxNoFriendlyMessage!N5</f>
        <v>2</v>
      </c>
      <c r="I47" s="24">
        <f>TimeoutRaw5xxNoFriendlyMessage!O5</f>
        <v>4</v>
      </c>
      <c r="J47" s="24"/>
      <c r="K47" s="24"/>
      <c r="L47" s="24"/>
      <c r="M47" s="24"/>
      <c r="N47" s="24"/>
      <c r="O47" s="24"/>
      <c r="P47" s="24"/>
      <c r="Q47" s="24"/>
      <c r="R47" s="24"/>
      <c r="S47" s="24"/>
      <c r="T47" s="24"/>
      <c r="U47" s="24"/>
      <c r="V47" s="24"/>
      <c r="W47" s="24"/>
      <c r="X47" s="24"/>
      <c r="Y47" s="24"/>
      <c r="Z47" s="24"/>
    </row>
    <row r="48" ht="15.5" customHeight="1" spans="1:26">
      <c r="A48" s="24">
        <v>37</v>
      </c>
      <c r="B48" s="24" t="s">
        <v>239</v>
      </c>
      <c r="C48" s="24">
        <f>SessionExpiryMidGenerationPolli!A5</f>
        <v>2</v>
      </c>
      <c r="D48" s="24">
        <f>SessionExpiryMidGenerationPolli!C5</f>
        <v>0</v>
      </c>
      <c r="E48" s="24">
        <f>SessionExpiryMidGenerationPolli!F5</f>
        <v>0</v>
      </c>
      <c r="F48" s="24">
        <f>SessionExpiryMidGenerationPolli!L5</f>
        <v>1</v>
      </c>
      <c r="G48" s="24">
        <f>SessionExpiryMidGenerationPolli!M5</f>
        <v>1</v>
      </c>
      <c r="H48" s="24">
        <f>SessionExpiryMidGenerationPolli!N5</f>
        <v>0</v>
      </c>
      <c r="I48" s="24">
        <f>SessionExpiryMidGenerationPolli!O5</f>
        <v>2</v>
      </c>
      <c r="J48" s="24"/>
      <c r="K48" s="24"/>
      <c r="L48" s="24"/>
      <c r="M48" s="24"/>
      <c r="N48" s="24"/>
      <c r="O48" s="24"/>
      <c r="P48" s="24"/>
      <c r="Q48" s="24"/>
      <c r="R48" s="24"/>
      <c r="S48" s="24"/>
      <c r="T48" s="24"/>
      <c r="U48" s="24"/>
      <c r="V48" s="24"/>
      <c r="W48" s="24"/>
      <c r="X48" s="24"/>
      <c r="Y48" s="24"/>
      <c r="Z48" s="24"/>
    </row>
    <row r="49" ht="15.5" customHeight="1" spans="1:26">
      <c r="A49" s="24">
        <v>38</v>
      </c>
      <c r="B49" s="24" t="s">
        <v>244</v>
      </c>
      <c r="C49" s="24">
        <f>ConcurrentRequests401Dedup!A5</f>
        <v>2</v>
      </c>
      <c r="D49" s="24">
        <f>ConcurrentRequests401Dedup!C5</f>
        <v>0</v>
      </c>
      <c r="E49" s="24">
        <f>ConcurrentRequests401Dedup!F5</f>
        <v>0</v>
      </c>
      <c r="F49" s="24">
        <f>ConcurrentRequests401Dedup!L5</f>
        <v>2</v>
      </c>
      <c r="G49" s="24">
        <f>ConcurrentRequests401Dedup!M5</f>
        <v>0</v>
      </c>
      <c r="H49" s="24">
        <f>ConcurrentRequests401Dedup!N5</f>
        <v>0</v>
      </c>
      <c r="I49" s="24">
        <f>ConcurrentRequests401Dedup!O5</f>
        <v>2</v>
      </c>
      <c r="J49" s="24"/>
      <c r="K49" s="24"/>
      <c r="L49" s="24"/>
      <c r="M49" s="24"/>
      <c r="N49" s="24"/>
      <c r="O49" s="24"/>
      <c r="P49" s="24"/>
      <c r="Q49" s="24"/>
      <c r="R49" s="24"/>
      <c r="S49" s="24"/>
      <c r="T49" s="24"/>
      <c r="U49" s="24"/>
      <c r="V49" s="24"/>
      <c r="W49" s="24"/>
      <c r="X49" s="24"/>
      <c r="Y49" s="24"/>
      <c r="Z49" s="24"/>
    </row>
    <row r="50" ht="15.5" customHeight="1" spans="1:26">
      <c r="A50" s="24">
        <v>39</v>
      </c>
      <c r="B50" s="24" t="s">
        <v>248</v>
      </c>
      <c r="C50" s="24">
        <f>RagServiceDeadCodeNoAuthHeader!A5</f>
        <v>2</v>
      </c>
      <c r="D50" s="24">
        <f>RagServiceDeadCodeNoAuthHeader!C5</f>
        <v>0</v>
      </c>
      <c r="E50" s="24">
        <f>RagServiceDeadCodeNoAuthHeader!F5</f>
        <v>0</v>
      </c>
      <c r="F50" s="24">
        <f>RagServiceDeadCodeNoAuthHeader!L5</f>
        <v>0</v>
      </c>
      <c r="G50" s="24">
        <f>RagServiceDeadCodeNoAuthHeader!M5</f>
        <v>0</v>
      </c>
      <c r="H50" s="24">
        <f>RagServiceDeadCodeNoAuthHeader!N5</f>
        <v>2</v>
      </c>
      <c r="I50" s="24">
        <f>RagServiceDeadCodeNoAuthHeader!O5</f>
        <v>2</v>
      </c>
      <c r="J50" s="24"/>
      <c r="K50" s="24"/>
      <c r="L50" s="24"/>
      <c r="M50" s="24"/>
      <c r="N50" s="24"/>
      <c r="O50" s="24"/>
      <c r="P50" s="24"/>
      <c r="Q50" s="24"/>
      <c r="R50" s="24"/>
      <c r="S50" s="24"/>
      <c r="T50" s="24"/>
      <c r="U50" s="24"/>
      <c r="V50" s="24"/>
      <c r="W50" s="24"/>
      <c r="X50" s="24"/>
      <c r="Y50" s="24"/>
      <c r="Z50" s="24"/>
    </row>
    <row r="51" ht="15.5" customHeight="1" spans="1:26">
      <c r="A51" s="24">
        <v>40</v>
      </c>
      <c r="B51" s="24" t="s">
        <v>252</v>
      </c>
      <c r="C51" s="24">
        <f>SampleJdModalCopyUse!A5</f>
        <v>2</v>
      </c>
      <c r="D51" s="24">
        <f>SampleJdModalCopyUse!C5</f>
        <v>0</v>
      </c>
      <c r="E51" s="24">
        <f>SampleJdModalCopyUse!F5</f>
        <v>0</v>
      </c>
      <c r="F51" s="24">
        <f>SampleJdModalCopyUse!L5</f>
        <v>2</v>
      </c>
      <c r="G51" s="24">
        <f>SampleJdModalCopyUse!M5</f>
        <v>0</v>
      </c>
      <c r="H51" s="24">
        <f>SampleJdModalCopyUse!N5</f>
        <v>0</v>
      </c>
      <c r="I51" s="24">
        <f>SampleJdModalCopyUse!O5</f>
        <v>2</v>
      </c>
      <c r="J51" s="24"/>
      <c r="K51" s="24"/>
      <c r="L51" s="24"/>
      <c r="M51" s="24"/>
      <c r="N51" s="24"/>
      <c r="O51" s="24"/>
      <c r="P51" s="24"/>
      <c r="Q51" s="24"/>
      <c r="R51" s="24"/>
      <c r="S51" s="24"/>
      <c r="T51" s="24"/>
      <c r="U51" s="24"/>
      <c r="V51" s="24"/>
      <c r="W51" s="24"/>
      <c r="X51" s="24"/>
      <c r="Y51" s="24"/>
      <c r="Z51" s="24"/>
    </row>
    <row r="52" ht="15.5" customHeight="1" spans="1:26">
      <c r="A52" s="24">
        <v>41</v>
      </c>
      <c r="B52" s="24" t="s">
        <v>256</v>
      </c>
      <c r="C52" s="24">
        <f>PublishedSetEditRestrictions!A5</f>
        <v>2</v>
      </c>
      <c r="D52" s="24">
        <f>PublishedSetEditRestrictions!C5</f>
        <v>0</v>
      </c>
      <c r="E52" s="24">
        <f>PublishedSetEditRestrictions!F5</f>
        <v>0</v>
      </c>
      <c r="F52" s="24">
        <f>PublishedSetEditRestrictions!L5</f>
        <v>1</v>
      </c>
      <c r="G52" s="24">
        <f>PublishedSetEditRestrictions!M5</f>
        <v>1</v>
      </c>
      <c r="H52" s="24">
        <f>PublishedSetEditRestrictions!N5</f>
        <v>0</v>
      </c>
      <c r="I52" s="24">
        <f>PublishedSetEditRestrictions!O5</f>
        <v>2</v>
      </c>
      <c r="J52" s="24"/>
      <c r="K52" s="24"/>
      <c r="L52" s="24"/>
      <c r="M52" s="24"/>
      <c r="N52" s="24"/>
      <c r="O52" s="24"/>
      <c r="P52" s="24"/>
      <c r="Q52" s="24"/>
      <c r="R52" s="24"/>
      <c r="S52" s="24"/>
      <c r="T52" s="24"/>
      <c r="U52" s="24"/>
      <c r="V52" s="24"/>
      <c r="W52" s="24"/>
      <c r="X52" s="24"/>
      <c r="Y52" s="24"/>
      <c r="Z52" s="24"/>
    </row>
    <row r="53" ht="15.5" customHeight="1" spans="1:26">
      <c r="A53" s="24">
        <v>42</v>
      </c>
      <c r="B53" s="24" t="s">
        <v>260</v>
      </c>
      <c r="C53" s="24">
        <f>ApplyPlanSettingsTimeout!A5</f>
        <v>2</v>
      </c>
      <c r="D53" s="24">
        <f>ApplyPlanSettingsTimeout!C5</f>
        <v>0</v>
      </c>
      <c r="E53" s="24">
        <f>ApplyPlanSettingsTimeout!F5</f>
        <v>0</v>
      </c>
      <c r="F53" s="24">
        <f>ApplyPlanSettingsTimeout!L5</f>
        <v>1</v>
      </c>
      <c r="G53" s="24">
        <f>ApplyPlanSettingsTimeout!M5</f>
        <v>0</v>
      </c>
      <c r="H53" s="24">
        <f>ApplyPlanSettingsTimeout!N5</f>
        <v>1</v>
      </c>
      <c r="I53" s="24">
        <f>ApplyPlanSettingsTimeout!O5</f>
        <v>2</v>
      </c>
      <c r="J53" s="24"/>
      <c r="K53" s="24"/>
      <c r="L53" s="24"/>
      <c r="M53" s="24"/>
      <c r="N53" s="24"/>
      <c r="O53" s="24"/>
      <c r="P53" s="24"/>
      <c r="Q53" s="24"/>
      <c r="R53" s="24"/>
      <c r="S53" s="24"/>
      <c r="T53" s="24"/>
      <c r="U53" s="24"/>
      <c r="V53" s="24"/>
      <c r="W53" s="24"/>
      <c r="X53" s="24"/>
      <c r="Y53" s="24"/>
      <c r="Z53" s="24"/>
    </row>
    <row r="54" ht="15.5" customHeight="1" spans="1:26">
      <c r="A54" s="24">
        <v>43</v>
      </c>
      <c r="B54" s="24" t="s">
        <v>264</v>
      </c>
      <c r="C54" s="24">
        <f>RefinePlanChatFlow!A5</f>
        <v>2</v>
      </c>
      <c r="D54" s="24">
        <f>RefinePlanChatFlow!C5</f>
        <v>0</v>
      </c>
      <c r="E54" s="24">
        <f>RefinePlanChatFlow!F5</f>
        <v>0</v>
      </c>
      <c r="F54" s="24">
        <f>RefinePlanChatFlow!L5</f>
        <v>1</v>
      </c>
      <c r="G54" s="24">
        <f>RefinePlanChatFlow!M5</f>
        <v>0</v>
      </c>
      <c r="H54" s="24">
        <f>RefinePlanChatFlow!N5</f>
        <v>1</v>
      </c>
      <c r="I54" s="24">
        <f>RefinePlanChatFlow!O5</f>
        <v>2</v>
      </c>
      <c r="J54" s="24"/>
      <c r="K54" s="24"/>
      <c r="L54" s="24"/>
      <c r="M54" s="24"/>
      <c r="N54" s="24"/>
      <c r="O54" s="24"/>
      <c r="P54" s="24"/>
      <c r="Q54" s="24"/>
      <c r="R54" s="24"/>
      <c r="S54" s="24"/>
      <c r="T54" s="24"/>
      <c r="U54" s="24"/>
      <c r="V54" s="24"/>
      <c r="W54" s="24"/>
      <c r="X54" s="24"/>
      <c r="Y54" s="24"/>
      <c r="Z54" s="24"/>
    </row>
    <row r="55" ht="15.5" customHeight="1" spans="1:26">
      <c r="A55" s="24">
        <v>44</v>
      </c>
      <c r="B55" s="24" t="s">
        <v>268</v>
      </c>
      <c r="C55" s="24">
        <f>StudioGenerationSettingsToggles!A5</f>
        <v>4</v>
      </c>
      <c r="D55" s="24">
        <f>StudioGenerationSettingsToggles!C5</f>
        <v>0</v>
      </c>
      <c r="E55" s="24">
        <f>StudioGenerationSettingsToggles!F5</f>
        <v>0</v>
      </c>
      <c r="F55" s="24">
        <f>StudioGenerationSettingsToggles!L5</f>
        <v>4</v>
      </c>
      <c r="G55" s="24">
        <f>StudioGenerationSettingsToggles!M5</f>
        <v>0</v>
      </c>
      <c r="H55" s="24">
        <f>StudioGenerationSettingsToggles!N5</f>
        <v>0</v>
      </c>
      <c r="I55" s="24">
        <f>StudioGenerationSettingsToggles!O5</f>
        <v>4</v>
      </c>
      <c r="J55" s="24"/>
      <c r="K55" s="24"/>
      <c r="L55" s="24"/>
      <c r="M55" s="24"/>
      <c r="N55" s="24"/>
      <c r="O55" s="24"/>
      <c r="P55" s="24"/>
      <c r="Q55" s="24"/>
      <c r="R55" s="24"/>
      <c r="S55" s="24"/>
      <c r="T55" s="24"/>
      <c r="U55" s="24"/>
      <c r="V55" s="24"/>
      <c r="W55" s="24"/>
      <c r="X55" s="24"/>
      <c r="Y55" s="24"/>
      <c r="Z55" s="24"/>
    </row>
    <row r="56" ht="15.5" customHeight="1" spans="1:26">
      <c r="A56" s="24">
        <v>45</v>
      </c>
      <c r="B56" s="24" t="s">
        <v>272</v>
      </c>
      <c r="C56" s="24">
        <f>NewSetResetsLockedPanels!A5</f>
        <v>2</v>
      </c>
      <c r="D56" s="24">
        <f>NewSetResetsLockedPanels!C5</f>
        <v>0</v>
      </c>
      <c r="E56" s="24">
        <f>NewSetResetsLockedPanels!F5</f>
        <v>0</v>
      </c>
      <c r="F56" s="24">
        <f>NewSetResetsLockedPanels!L5</f>
        <v>1</v>
      </c>
      <c r="G56" s="24">
        <f>NewSetResetsLockedPanels!M5</f>
        <v>1</v>
      </c>
      <c r="H56" s="24">
        <f>NewSetResetsLockedPanels!N5</f>
        <v>0</v>
      </c>
      <c r="I56" s="24">
        <f>NewSetResetsLockedPanels!O5</f>
        <v>2</v>
      </c>
      <c r="J56" s="24"/>
      <c r="K56" s="24"/>
      <c r="L56" s="24"/>
      <c r="M56" s="24"/>
      <c r="N56" s="24"/>
      <c r="O56" s="24"/>
      <c r="P56" s="24"/>
      <c r="Q56" s="24"/>
      <c r="R56" s="24"/>
      <c r="S56" s="24"/>
      <c r="T56" s="24"/>
      <c r="U56" s="24"/>
      <c r="V56" s="24"/>
      <c r="W56" s="24"/>
      <c r="X56" s="24"/>
      <c r="Y56" s="24"/>
      <c r="Z56" s="24"/>
    </row>
    <row r="57" ht="15.5" customHeight="1" spans="1:26">
      <c r="A57" s="24">
        <v>46</v>
      </c>
      <c r="B57" s="24" t="s">
        <v>276</v>
      </c>
      <c r="C57" s="24">
        <f>KnowledgeDocLibraryAttachVsUplo!A5</f>
        <v>2</v>
      </c>
      <c r="D57" s="24">
        <f>KnowledgeDocLibraryAttachVsUplo!C5</f>
        <v>0</v>
      </c>
      <c r="E57" s="24">
        <f>KnowledgeDocLibraryAttachVsUplo!F5</f>
        <v>0</v>
      </c>
      <c r="F57" s="24">
        <f>KnowledgeDocLibraryAttachVsUplo!L5</f>
        <v>2</v>
      </c>
      <c r="G57" s="24">
        <f>KnowledgeDocLibraryAttachVsUplo!M5</f>
        <v>0</v>
      </c>
      <c r="H57" s="24">
        <f>KnowledgeDocLibraryAttachVsUplo!N5</f>
        <v>0</v>
      </c>
      <c r="I57" s="24">
        <f>KnowledgeDocLibraryAttachVsUplo!O5</f>
        <v>2</v>
      </c>
      <c r="J57" s="24"/>
      <c r="K57" s="24"/>
      <c r="L57" s="24"/>
      <c r="M57" s="24"/>
      <c r="N57" s="24"/>
      <c r="O57" s="24"/>
      <c r="P57" s="24"/>
      <c r="Q57" s="24"/>
      <c r="R57" s="24"/>
      <c r="S57" s="24"/>
      <c r="T57" s="24"/>
      <c r="U57" s="24"/>
      <c r="V57" s="24"/>
      <c r="W57" s="24"/>
      <c r="X57" s="24"/>
      <c r="Y57" s="24"/>
      <c r="Z57" s="24"/>
    </row>
    <row r="58" ht="15.5" customHeight="1" spans="1:26">
      <c r="A58" s="24">
        <v>47</v>
      </c>
      <c r="B58" s="24" t="s">
        <v>281</v>
      </c>
      <c r="C58" s="24">
        <f>StudioChatRefineMultiTurn!A5</f>
        <v>3</v>
      </c>
      <c r="D58" s="24">
        <f>StudioChatRefineMultiTurn!C5</f>
        <v>0</v>
      </c>
      <c r="E58" s="24">
        <f>StudioChatRefineMultiTurn!F5</f>
        <v>0</v>
      </c>
      <c r="F58" s="24">
        <f>StudioChatRefineMultiTurn!L5</f>
        <v>3</v>
      </c>
      <c r="G58" s="24">
        <f>StudioChatRefineMultiTurn!M5</f>
        <v>0</v>
      </c>
      <c r="H58" s="24">
        <f>StudioChatRefineMultiTurn!N5</f>
        <v>0</v>
      </c>
      <c r="I58" s="24">
        <f>StudioChatRefineMultiTurn!O5</f>
        <v>3</v>
      </c>
      <c r="J58" s="24"/>
      <c r="K58" s="24"/>
      <c r="L58" s="24"/>
      <c r="M58" s="24"/>
      <c r="N58" s="24"/>
      <c r="O58" s="24"/>
      <c r="P58" s="24"/>
      <c r="Q58" s="24"/>
      <c r="R58" s="24"/>
      <c r="S58" s="24"/>
      <c r="T58" s="24"/>
      <c r="U58" s="24"/>
      <c r="V58" s="24"/>
      <c r="W58" s="24"/>
      <c r="X58" s="24"/>
      <c r="Y58" s="24"/>
      <c r="Z58" s="24"/>
    </row>
    <row r="59" ht="15.5" customHeight="1" spans="1:26">
      <c r="A59" s="24">
        <v>48</v>
      </c>
      <c r="B59" s="24" t="s">
        <v>285</v>
      </c>
      <c r="C59" s="24">
        <f>StudioApprovePlanButtonStates!A5</f>
        <v>3</v>
      </c>
      <c r="D59" s="24">
        <f>StudioApprovePlanButtonStates!C5</f>
        <v>0</v>
      </c>
      <c r="E59" s="24">
        <f>StudioApprovePlanButtonStates!F5</f>
        <v>0</v>
      </c>
      <c r="F59" s="24">
        <f>StudioApprovePlanButtonStates!L5</f>
        <v>2</v>
      </c>
      <c r="G59" s="24">
        <f>StudioApprovePlanButtonStates!M5</f>
        <v>1</v>
      </c>
      <c r="H59" s="24">
        <f>StudioApprovePlanButtonStates!N5</f>
        <v>0</v>
      </c>
      <c r="I59" s="24">
        <f>StudioApprovePlanButtonStates!O5</f>
        <v>3</v>
      </c>
      <c r="J59" s="24"/>
      <c r="K59" s="24"/>
      <c r="L59" s="24"/>
      <c r="M59" s="24"/>
      <c r="N59" s="24"/>
      <c r="O59" s="24"/>
      <c r="P59" s="24"/>
      <c r="Q59" s="24"/>
      <c r="R59" s="24"/>
      <c r="S59" s="24"/>
      <c r="T59" s="24"/>
      <c r="U59" s="24"/>
      <c r="V59" s="24"/>
      <c r="W59" s="24"/>
      <c r="X59" s="24"/>
      <c r="Y59" s="24"/>
      <c r="Z59" s="24"/>
    </row>
    <row r="60" ht="15.5" customHeight="1" spans="1:26">
      <c r="A60" s="24">
        <v>49</v>
      </c>
      <c r="B60" s="24" t="s">
        <v>289</v>
      </c>
      <c r="C60" s="24">
        <f>StudioQuestionListEmptyStateBef!A5</f>
        <v>3</v>
      </c>
      <c r="D60" s="24">
        <f>StudioQuestionListEmptyStateBef!C5</f>
        <v>0</v>
      </c>
      <c r="E60" s="24">
        <f>StudioQuestionListEmptyStateBef!F5</f>
        <v>0</v>
      </c>
      <c r="F60" s="24">
        <f>StudioQuestionListEmptyStateBef!L5</f>
        <v>2</v>
      </c>
      <c r="G60" s="24">
        <f>StudioQuestionListEmptyStateBef!M5</f>
        <v>1</v>
      </c>
      <c r="H60" s="24">
        <f>StudioQuestionListEmptyStateBef!N5</f>
        <v>0</v>
      </c>
      <c r="I60" s="24">
        <f>StudioQuestionListEmptyStateBef!O5</f>
        <v>3</v>
      </c>
      <c r="J60" s="24"/>
      <c r="K60" s="24"/>
      <c r="L60" s="24"/>
      <c r="M60" s="24"/>
      <c r="N60" s="24"/>
      <c r="O60" s="24"/>
      <c r="P60" s="24"/>
      <c r="Q60" s="24"/>
      <c r="R60" s="24"/>
      <c r="S60" s="24"/>
      <c r="T60" s="24"/>
      <c r="U60" s="24"/>
      <c r="V60" s="24"/>
      <c r="W60" s="24"/>
      <c r="X60" s="24"/>
      <c r="Y60" s="24"/>
      <c r="Z60" s="24"/>
    </row>
    <row r="61" ht="15.5" customHeight="1" spans="1:26">
      <c r="A61" s="24">
        <v>50</v>
      </c>
      <c r="B61" s="24" t="s">
        <v>294</v>
      </c>
      <c r="C61" s="24">
        <f>LoginSpecificAuthErrors!A5</f>
        <v>2</v>
      </c>
      <c r="D61" s="24">
        <f>LoginSpecificAuthErrors!C5</f>
        <v>0</v>
      </c>
      <c r="E61" s="24">
        <f>LoginSpecificAuthErrors!F5</f>
        <v>0</v>
      </c>
      <c r="F61" s="24">
        <f>LoginSpecificAuthErrors!L5</f>
        <v>2</v>
      </c>
      <c r="G61" s="24">
        <f>LoginSpecificAuthErrors!M5</f>
        <v>0</v>
      </c>
      <c r="H61" s="24">
        <f>LoginSpecificAuthErrors!N5</f>
        <v>0</v>
      </c>
      <c r="I61" s="24">
        <f>LoginSpecificAuthErrors!O5</f>
        <v>2</v>
      </c>
      <c r="J61" s="24"/>
      <c r="K61" s="24"/>
      <c r="L61" s="24"/>
      <c r="M61" s="24"/>
      <c r="N61" s="24"/>
      <c r="O61" s="24"/>
      <c r="P61" s="24"/>
      <c r="Q61" s="24"/>
      <c r="R61" s="24"/>
      <c r="S61" s="24"/>
      <c r="T61" s="24"/>
      <c r="U61" s="24"/>
      <c r="V61" s="24"/>
      <c r="W61" s="24"/>
      <c r="X61" s="24"/>
      <c r="Y61" s="24"/>
      <c r="Z61" s="24"/>
    </row>
    <row r="62" ht="15.5" customHeight="1" spans="1:26">
      <c r="A62" s="24">
        <v>51</v>
      </c>
      <c r="B62" s="24" t="s">
        <v>298</v>
      </c>
      <c r="C62" s="24">
        <f>CandidateForbiddenErrorMessages!A5</f>
        <v>2</v>
      </c>
      <c r="D62" s="24">
        <f>CandidateForbiddenErrorMessages!C5</f>
        <v>0</v>
      </c>
      <c r="E62" s="24">
        <f>CandidateForbiddenErrorMessages!F5</f>
        <v>0</v>
      </c>
      <c r="F62" s="24">
        <f>CandidateForbiddenErrorMessages!L5</f>
        <v>2</v>
      </c>
      <c r="G62" s="24">
        <f>CandidateForbiddenErrorMessages!M5</f>
        <v>0</v>
      </c>
      <c r="H62" s="24">
        <f>CandidateForbiddenErrorMessages!N5</f>
        <v>0</v>
      </c>
      <c r="I62" s="24">
        <f>CandidateForbiddenErrorMessages!O5</f>
        <v>2</v>
      </c>
      <c r="J62" s="24"/>
      <c r="K62" s="24"/>
      <c r="L62" s="24"/>
      <c r="M62" s="24"/>
      <c r="N62" s="24"/>
      <c r="O62" s="24"/>
      <c r="P62" s="24"/>
      <c r="Q62" s="24"/>
      <c r="R62" s="24"/>
      <c r="S62" s="24"/>
      <c r="T62" s="24"/>
      <c r="U62" s="24"/>
      <c r="V62" s="24"/>
      <c r="W62" s="24"/>
      <c r="X62" s="24"/>
      <c r="Y62" s="24"/>
      <c r="Z62" s="24"/>
    </row>
    <row r="63" ht="15.5" customHeight="1" spans="1:26">
      <c r="A63" s="24">
        <v>52</v>
      </c>
      <c r="B63" s="24" t="s">
        <v>302</v>
      </c>
      <c r="C63" s="24">
        <f>TokenStorageLocalStorageNotHttp!A5</f>
        <v>2</v>
      </c>
      <c r="D63" s="24">
        <f>TokenStorageLocalStorageNotHttp!C5</f>
        <v>0</v>
      </c>
      <c r="E63" s="24">
        <f>TokenStorageLocalStorageNotHttp!F5</f>
        <v>0</v>
      </c>
      <c r="F63" s="24">
        <f>TokenStorageLocalStorageNotHttp!L5</f>
        <v>0</v>
      </c>
      <c r="G63" s="24">
        <f>TokenStorageLocalStorageNotHttp!M5</f>
        <v>0</v>
      </c>
      <c r="H63" s="24">
        <f>TokenStorageLocalStorageNotHttp!N5</f>
        <v>2</v>
      </c>
      <c r="I63" s="24">
        <f>TokenStorageLocalStorageNotHttp!O5</f>
        <v>2</v>
      </c>
      <c r="J63" s="24"/>
      <c r="K63" s="24"/>
      <c r="L63" s="24"/>
      <c r="M63" s="24"/>
      <c r="N63" s="24"/>
      <c r="O63" s="24"/>
      <c r="P63" s="24"/>
      <c r="Q63" s="24"/>
      <c r="R63" s="24"/>
      <c r="S63" s="24"/>
      <c r="T63" s="24"/>
      <c r="U63" s="24"/>
      <c r="V63" s="24"/>
      <c r="W63" s="24"/>
      <c r="X63" s="24"/>
      <c r="Y63" s="24"/>
      <c r="Z63" s="24"/>
    </row>
    <row r="64" ht="15.5" customHeight="1" spans="1:26">
      <c r="A64" s="24">
        <v>53</v>
      </c>
      <c r="B64" s="24" t="s">
        <v>307</v>
      </c>
      <c r="C64" s="24">
        <f>SsrNoTokenAttachNoOp!A5</f>
        <v>2</v>
      </c>
      <c r="D64" s="24">
        <f>SsrNoTokenAttachNoOp!C5</f>
        <v>0</v>
      </c>
      <c r="E64" s="24">
        <f>SsrNoTokenAttachNoOp!F5</f>
        <v>0</v>
      </c>
      <c r="F64" s="24">
        <f>SsrNoTokenAttachNoOp!L5</f>
        <v>2</v>
      </c>
      <c r="G64" s="24">
        <f>SsrNoTokenAttachNoOp!M5</f>
        <v>0</v>
      </c>
      <c r="H64" s="24">
        <f>SsrNoTokenAttachNoOp!N5</f>
        <v>0</v>
      </c>
      <c r="I64" s="24">
        <f>SsrNoTokenAttachNoOp!O5</f>
        <v>2</v>
      </c>
      <c r="J64" s="24"/>
      <c r="K64" s="24"/>
      <c r="L64" s="24"/>
      <c r="M64" s="24"/>
      <c r="N64" s="24"/>
      <c r="O64" s="24"/>
      <c r="P64" s="24"/>
      <c r="Q64" s="24"/>
      <c r="R64" s="24"/>
      <c r="S64" s="24"/>
      <c r="T64" s="24"/>
      <c r="U64" s="24"/>
      <c r="V64" s="24"/>
      <c r="W64" s="24"/>
      <c r="X64" s="24"/>
      <c r="Y64" s="24"/>
      <c r="Z64" s="24"/>
    </row>
    <row r="65" ht="15.5" customHeight="1" spans="1:26">
      <c r="A65" s="24">
        <v>54</v>
      </c>
      <c r="B65" s="24" t="s">
        <v>311</v>
      </c>
      <c r="C65" s="24">
        <f>ClearAuthClearsCachedUserProfil!A5</f>
        <v>2</v>
      </c>
      <c r="D65" s="24">
        <f>ClearAuthClearsCachedUserProfil!C5</f>
        <v>0</v>
      </c>
      <c r="E65" s="24">
        <f>ClearAuthClearsCachedUserProfil!F5</f>
        <v>0</v>
      </c>
      <c r="F65" s="24">
        <f>ClearAuthClearsCachedUserProfil!L5</f>
        <v>2</v>
      </c>
      <c r="G65" s="24">
        <f>ClearAuthClearsCachedUserProfil!M5</f>
        <v>0</v>
      </c>
      <c r="H65" s="24">
        <f>ClearAuthClearsCachedUserProfil!N5</f>
        <v>0</v>
      </c>
      <c r="I65" s="24">
        <f>ClearAuthClearsCachedUserProfil!O5</f>
        <v>2</v>
      </c>
      <c r="J65" s="24"/>
      <c r="K65" s="24"/>
      <c r="L65" s="24"/>
      <c r="M65" s="24"/>
      <c r="N65" s="24"/>
      <c r="O65" s="24"/>
      <c r="P65" s="24"/>
      <c r="Q65" s="24"/>
      <c r="R65" s="24"/>
      <c r="S65" s="24"/>
      <c r="T65" s="24"/>
      <c r="U65" s="24"/>
      <c r="V65" s="24"/>
      <c r="W65" s="24"/>
      <c r="X65" s="24"/>
      <c r="Y65" s="24"/>
      <c r="Z65" s="24"/>
    </row>
    <row r="66" ht="15.5" customHeight="1" spans="1:26">
      <c r="A66" s="24">
        <v>55</v>
      </c>
      <c r="B66" s="24" t="s">
        <v>316</v>
      </c>
      <c r="C66" s="24">
        <f>RefreshTokenRotationOnSuccess!A5</f>
        <v>2</v>
      </c>
      <c r="D66" s="24">
        <f>RefreshTokenRotationOnSuccess!C5</f>
        <v>0</v>
      </c>
      <c r="E66" s="24">
        <f>RefreshTokenRotationOnSuccess!F5</f>
        <v>0</v>
      </c>
      <c r="F66" s="24">
        <f>RefreshTokenRotationOnSuccess!L5</f>
        <v>2</v>
      </c>
      <c r="G66" s="24">
        <f>RefreshTokenRotationOnSuccess!M5</f>
        <v>0</v>
      </c>
      <c r="H66" s="24">
        <f>RefreshTokenRotationOnSuccess!N5</f>
        <v>0</v>
      </c>
      <c r="I66" s="24">
        <f>RefreshTokenRotationOnSuccess!O5</f>
        <v>2</v>
      </c>
      <c r="J66" s="24"/>
      <c r="K66" s="24"/>
      <c r="L66" s="24"/>
      <c r="M66" s="24"/>
      <c r="N66" s="24"/>
      <c r="O66" s="24"/>
      <c r="P66" s="24"/>
      <c r="Q66" s="24"/>
      <c r="R66" s="24"/>
      <c r="S66" s="24"/>
      <c r="T66" s="24"/>
      <c r="U66" s="24"/>
      <c r="V66" s="24"/>
      <c r="W66" s="24"/>
      <c r="X66" s="24"/>
      <c r="Y66" s="24"/>
      <c r="Z66" s="24"/>
    </row>
    <row r="67" ht="15.5" customHeight="1" spans="1:26">
      <c r="A67" s="24">
        <v>56</v>
      </c>
      <c r="B67" s="24" t="s">
        <v>322</v>
      </c>
      <c r="C67" s="24">
        <f>ManualQuestionPageResponsiveLay!A5</f>
        <v>4</v>
      </c>
      <c r="D67" s="24">
        <f>ManualQuestionPageResponsiveLay!C5</f>
        <v>0</v>
      </c>
      <c r="E67" s="24">
        <f>ManualQuestionPageResponsiveLay!F5</f>
        <v>0</v>
      </c>
      <c r="F67" s="24">
        <f>ManualQuestionPageResponsiveLay!L5</f>
        <v>4</v>
      </c>
      <c r="G67" s="24">
        <f>ManualQuestionPageResponsiveLay!M5</f>
        <v>0</v>
      </c>
      <c r="H67" s="24">
        <f>ManualQuestionPageResponsiveLay!N5</f>
        <v>0</v>
      </c>
      <c r="I67" s="24">
        <f>ManualQuestionPageResponsiveLay!O5</f>
        <v>4</v>
      </c>
      <c r="J67" s="24"/>
      <c r="K67" s="24"/>
      <c r="L67" s="24"/>
      <c r="M67" s="24"/>
      <c r="N67" s="24"/>
      <c r="O67" s="24"/>
      <c r="P67" s="24"/>
      <c r="Q67" s="24"/>
      <c r="R67" s="24"/>
      <c r="S67" s="24"/>
      <c r="T67" s="24"/>
      <c r="U67" s="24"/>
      <c r="V67" s="24"/>
      <c r="W67" s="24"/>
      <c r="X67" s="24"/>
      <c r="Y67" s="24"/>
      <c r="Z67" s="24"/>
    </row>
    <row r="68" ht="15.5" customHeight="1" spans="1:26">
      <c r="A68" s="24">
        <v>57</v>
      </c>
      <c r="B68" s="24" t="s">
        <v>327</v>
      </c>
      <c r="C68" s="24">
        <f>ManualQuestionPageDarkLightThem!A5</f>
        <v>2</v>
      </c>
      <c r="D68" s="24">
        <f>ManualQuestionPageDarkLightThem!C5</f>
        <v>0</v>
      </c>
      <c r="E68" s="24">
        <f>ManualQuestionPageDarkLightThem!F5</f>
        <v>0</v>
      </c>
      <c r="F68" s="24">
        <f>ManualQuestionPageDarkLightThem!L5</f>
        <v>2</v>
      </c>
      <c r="G68" s="24">
        <f>ManualQuestionPageDarkLightThem!M5</f>
        <v>0</v>
      </c>
      <c r="H68" s="24">
        <f>ManualQuestionPageDarkLightThem!N5</f>
        <v>0</v>
      </c>
      <c r="I68" s="24">
        <f>ManualQuestionPageDarkLightThem!O5</f>
        <v>2</v>
      </c>
      <c r="J68" s="24"/>
      <c r="K68" s="24"/>
      <c r="L68" s="24"/>
      <c r="M68" s="24"/>
      <c r="N68" s="24"/>
      <c r="O68" s="24"/>
      <c r="P68" s="24"/>
      <c r="Q68" s="24"/>
      <c r="R68" s="24"/>
      <c r="S68" s="24"/>
      <c r="T68" s="24"/>
      <c r="U68" s="24"/>
      <c r="V68" s="24"/>
      <c r="W68" s="24"/>
      <c r="X68" s="24"/>
      <c r="Y68" s="24"/>
      <c r="Z68" s="24"/>
    </row>
    <row r="69" ht="15.5" customHeight="1" spans="1:26">
      <c r="A69" s="24">
        <v>58</v>
      </c>
      <c r="B69" s="24" t="s">
        <v>332</v>
      </c>
      <c r="C69" s="24">
        <f>StudioPageResponsiveLayout!A5</f>
        <v>4</v>
      </c>
      <c r="D69" s="24">
        <f>StudioPageResponsiveLayout!C5</f>
        <v>0</v>
      </c>
      <c r="E69" s="24">
        <f>StudioPageResponsiveLayout!F5</f>
        <v>0</v>
      </c>
      <c r="F69" s="24">
        <f>StudioPageResponsiveLayout!L5</f>
        <v>3</v>
      </c>
      <c r="G69" s="24">
        <f>StudioPageResponsiveLayout!M5</f>
        <v>0</v>
      </c>
      <c r="H69" s="24">
        <f>StudioPageResponsiveLayout!N5</f>
        <v>1</v>
      </c>
      <c r="I69" s="24">
        <f>StudioPageResponsiveLayout!O5</f>
        <v>4</v>
      </c>
      <c r="J69" s="24"/>
      <c r="K69" s="24"/>
      <c r="L69" s="24"/>
      <c r="M69" s="24"/>
      <c r="N69" s="24"/>
      <c r="O69" s="24"/>
      <c r="P69" s="24"/>
      <c r="Q69" s="24"/>
      <c r="R69" s="24"/>
      <c r="S69" s="24"/>
      <c r="T69" s="24"/>
      <c r="U69" s="24"/>
      <c r="V69" s="24"/>
      <c r="W69" s="24"/>
      <c r="X69" s="24"/>
      <c r="Y69" s="24"/>
      <c r="Z69" s="24"/>
    </row>
    <row r="70" ht="15.5" customHeight="1" spans="1:26">
      <c r="A70" s="24">
        <v>59</v>
      </c>
      <c r="B70" s="24" t="s">
        <v>336</v>
      </c>
      <c r="C70" s="24">
        <f>StudioPageDarkLightTheme!A5</f>
        <v>2</v>
      </c>
      <c r="D70" s="24">
        <f>StudioPageDarkLightTheme!C5</f>
        <v>0</v>
      </c>
      <c r="E70" s="24">
        <f>StudioPageDarkLightTheme!F5</f>
        <v>0</v>
      </c>
      <c r="F70" s="24">
        <f>StudioPageDarkLightTheme!L5</f>
        <v>2</v>
      </c>
      <c r="G70" s="24">
        <f>StudioPageDarkLightTheme!M5</f>
        <v>0</v>
      </c>
      <c r="H70" s="24">
        <f>StudioPageDarkLightTheme!N5</f>
        <v>0</v>
      </c>
      <c r="I70" s="24">
        <f>StudioPageDarkLightTheme!O5</f>
        <v>2</v>
      </c>
      <c r="J70" s="24"/>
      <c r="K70" s="24"/>
      <c r="L70" s="24"/>
      <c r="M70" s="24"/>
      <c r="N70" s="24"/>
      <c r="O70" s="24"/>
      <c r="P70" s="24"/>
      <c r="Q70" s="24"/>
      <c r="R70" s="24"/>
      <c r="S70" s="24"/>
      <c r="T70" s="24"/>
      <c r="U70" s="24"/>
      <c r="V70" s="24"/>
      <c r="W70" s="24"/>
      <c r="X70" s="24"/>
      <c r="Y70" s="24"/>
      <c r="Z70" s="24"/>
    </row>
    <row r="71" ht="15.5" customHeight="1" spans="1:26">
      <c r="A71" s="24">
        <v>60</v>
      </c>
      <c r="B71" s="24" t="s">
        <v>339</v>
      </c>
      <c r="C71" s="24">
        <f>QuotaModalResponsiveDisplay!A5</f>
        <v>4</v>
      </c>
      <c r="D71" s="24">
        <f>QuotaModalResponsiveDisplay!C5</f>
        <v>0</v>
      </c>
      <c r="E71" s="24">
        <f>QuotaModalResponsiveDisplay!F5</f>
        <v>0</v>
      </c>
      <c r="F71" s="24">
        <f>QuotaModalResponsiveDisplay!L5</f>
        <v>3</v>
      </c>
      <c r="G71" s="24">
        <f>QuotaModalResponsiveDisplay!M5</f>
        <v>0</v>
      </c>
      <c r="H71" s="24">
        <f>QuotaModalResponsiveDisplay!N5</f>
        <v>1</v>
      </c>
      <c r="I71" s="24">
        <f>QuotaModalResponsiveDisplay!O5</f>
        <v>4</v>
      </c>
      <c r="J71" s="24"/>
      <c r="K71" s="24"/>
      <c r="L71" s="24"/>
      <c r="M71" s="24"/>
      <c r="N71" s="24"/>
      <c r="O71" s="24"/>
      <c r="P71" s="24"/>
      <c r="Q71" s="24"/>
      <c r="R71" s="24"/>
      <c r="S71" s="24"/>
      <c r="T71" s="24"/>
      <c r="U71" s="24"/>
      <c r="V71" s="24"/>
      <c r="W71" s="24"/>
      <c r="X71" s="24"/>
      <c r="Y71" s="24"/>
      <c r="Z71" s="24"/>
    </row>
    <row r="72" ht="15.5" customHeight="1" spans="1:26">
      <c r="A72" s="24">
        <v>61</v>
      </c>
      <c r="B72" s="24" t="s">
        <v>343</v>
      </c>
      <c r="C72" s="24">
        <f>ToastNotificationPositioning!A5</f>
        <v>4</v>
      </c>
      <c r="D72" s="24">
        <f>ToastNotificationPositioning!C5</f>
        <v>0</v>
      </c>
      <c r="E72" s="24">
        <f>ToastNotificationPositioning!F5</f>
        <v>0</v>
      </c>
      <c r="F72" s="24">
        <f>ToastNotificationPositioning!L5</f>
        <v>3</v>
      </c>
      <c r="G72" s="24">
        <f>ToastNotificationPositioning!M5</f>
        <v>0</v>
      </c>
      <c r="H72" s="24">
        <f>ToastNotificationPositioning!N5</f>
        <v>1</v>
      </c>
      <c r="I72" s="24">
        <f>ToastNotificationPositioning!O5</f>
        <v>4</v>
      </c>
      <c r="J72" s="24"/>
      <c r="K72" s="24"/>
      <c r="L72" s="24"/>
      <c r="M72" s="24"/>
      <c r="N72" s="24"/>
      <c r="O72" s="24"/>
      <c r="P72" s="24"/>
      <c r="Q72" s="24"/>
      <c r="R72" s="24"/>
      <c r="S72" s="24"/>
      <c r="T72" s="24"/>
      <c r="U72" s="24"/>
      <c r="V72" s="24"/>
      <c r="W72" s="24"/>
      <c r="X72" s="24"/>
      <c r="Y72" s="24"/>
      <c r="Z72" s="24"/>
    </row>
    <row r="73" ht="15.5" customHeight="1" spans="1:26">
      <c r="A73" s="24">
        <v>62</v>
      </c>
      <c r="B73" s="24" t="s">
        <v>347</v>
      </c>
      <c r="C73" s="24">
        <f>FileUploadDropzoneVisualStates!A5</f>
        <v>4</v>
      </c>
      <c r="D73" s="24">
        <f>FileUploadDropzoneVisualStates!C5</f>
        <v>0</v>
      </c>
      <c r="E73" s="24">
        <f>FileUploadDropzoneVisualStates!F5</f>
        <v>0</v>
      </c>
      <c r="F73" s="24">
        <f>FileUploadDropzoneVisualStates!L5</f>
        <v>3</v>
      </c>
      <c r="G73" s="24">
        <f>FileUploadDropzoneVisualStates!M5</f>
        <v>1</v>
      </c>
      <c r="H73" s="24">
        <f>FileUploadDropzoneVisualStates!N5</f>
        <v>0</v>
      </c>
      <c r="I73" s="24">
        <f>FileUploadDropzoneVisualStates!O5</f>
        <v>4</v>
      </c>
      <c r="J73" s="24"/>
      <c r="K73" s="24"/>
      <c r="L73" s="24"/>
      <c r="M73" s="24"/>
      <c r="N73" s="24"/>
      <c r="O73" s="24"/>
      <c r="P73" s="24"/>
      <c r="Q73" s="24"/>
      <c r="R73" s="24"/>
      <c r="S73" s="24"/>
      <c r="T73" s="24"/>
      <c r="U73" s="24"/>
      <c r="V73" s="24"/>
      <c r="W73" s="24"/>
      <c r="X73" s="24"/>
      <c r="Y73" s="24"/>
      <c r="Z73" s="24"/>
    </row>
    <row r="74" ht="15.5" customHeight="1" spans="1:26">
      <c r="A74" s="24">
        <v>63</v>
      </c>
      <c r="B74" s="24" t="s">
        <v>351</v>
      </c>
      <c r="C74" s="24">
        <f>ButtonLoadingDisabledStates!A5</f>
        <v>4</v>
      </c>
      <c r="D74" s="24">
        <f>ButtonLoadingDisabledStates!C5</f>
        <v>0</v>
      </c>
      <c r="E74" s="24">
        <f>ButtonLoadingDisabledStates!F5</f>
        <v>0</v>
      </c>
      <c r="F74" s="24">
        <f>ButtonLoadingDisabledStates!L5</f>
        <v>4</v>
      </c>
      <c r="G74" s="24">
        <f>ButtonLoadingDisabledStates!M5</f>
        <v>0</v>
      </c>
      <c r="H74" s="24">
        <f>ButtonLoadingDisabledStates!N5</f>
        <v>0</v>
      </c>
      <c r="I74" s="24">
        <f>ButtonLoadingDisabledStates!O5</f>
        <v>4</v>
      </c>
      <c r="J74" s="24"/>
      <c r="K74" s="24"/>
      <c r="L74" s="24"/>
      <c r="M74" s="24"/>
      <c r="N74" s="24"/>
      <c r="O74" s="24"/>
      <c r="P74" s="24"/>
      <c r="Q74" s="24"/>
      <c r="R74" s="24"/>
      <c r="S74" s="24"/>
      <c r="T74" s="24"/>
      <c r="U74" s="24"/>
      <c r="V74" s="24"/>
      <c r="W74" s="24"/>
      <c r="X74" s="24"/>
      <c r="Y74" s="24"/>
      <c r="Z74" s="24"/>
    </row>
    <row r="75" ht="15.5" customHeight="1" spans="1:26">
      <c r="A75" s="24">
        <v>64</v>
      </c>
      <c r="B75" s="24" t="s">
        <v>355</v>
      </c>
      <c r="C75" s="24">
        <f>FormFieldValidationVisualStates!A5</f>
        <v>4</v>
      </c>
      <c r="D75" s="24">
        <f>FormFieldValidationVisualStates!C5</f>
        <v>0</v>
      </c>
      <c r="E75" s="24">
        <f>FormFieldValidationVisualStates!F5</f>
        <v>0</v>
      </c>
      <c r="F75" s="24">
        <f>FormFieldValidationVisualStates!L5</f>
        <v>3</v>
      </c>
      <c r="G75" s="24">
        <f>FormFieldValidationVisualStates!M5</f>
        <v>1</v>
      </c>
      <c r="H75" s="24">
        <f>FormFieldValidationVisualStates!N5</f>
        <v>0</v>
      </c>
      <c r="I75" s="24">
        <f>FormFieldValidationVisualStates!O5</f>
        <v>4</v>
      </c>
      <c r="J75" s="24"/>
      <c r="K75" s="24"/>
      <c r="L75" s="24"/>
      <c r="M75" s="24"/>
      <c r="N75" s="24"/>
      <c r="O75" s="24"/>
      <c r="P75" s="24"/>
      <c r="Q75" s="24"/>
      <c r="R75" s="24"/>
      <c r="S75" s="24"/>
      <c r="T75" s="24"/>
      <c r="U75" s="24"/>
      <c r="V75" s="24"/>
      <c r="W75" s="24"/>
      <c r="X75" s="24"/>
      <c r="Y75" s="24"/>
      <c r="Z75" s="24"/>
    </row>
    <row r="76" ht="15.5" customHeight="1" spans="1:26">
      <c r="A76" s="24">
        <v>65</v>
      </c>
      <c r="B76" s="24" t="s">
        <v>359</v>
      </c>
      <c r="C76" s="24">
        <f>NavigationSidebarResponsive!A5</f>
        <v>4</v>
      </c>
      <c r="D76" s="24">
        <f>NavigationSidebarResponsive!C5</f>
        <v>0</v>
      </c>
      <c r="E76" s="24">
        <f>NavigationSidebarResponsive!F5</f>
        <v>0</v>
      </c>
      <c r="F76" s="24">
        <f>NavigationSidebarResponsive!L5</f>
        <v>3</v>
      </c>
      <c r="G76" s="24">
        <f>NavigationSidebarResponsive!M5</f>
        <v>0</v>
      </c>
      <c r="H76" s="24">
        <f>NavigationSidebarResponsive!N5</f>
        <v>1</v>
      </c>
      <c r="I76" s="24">
        <f>NavigationSidebarResponsive!O5</f>
        <v>4</v>
      </c>
      <c r="J76" s="24"/>
      <c r="K76" s="24"/>
      <c r="L76" s="24"/>
      <c r="M76" s="24"/>
      <c r="N76" s="24"/>
      <c r="O76" s="24"/>
      <c r="P76" s="24"/>
      <c r="Q76" s="24"/>
      <c r="R76" s="24"/>
      <c r="S76" s="24"/>
      <c r="T76" s="24"/>
      <c r="U76" s="24"/>
      <c r="V76" s="24"/>
      <c r="W76" s="24"/>
      <c r="X76" s="24"/>
      <c r="Y76" s="24"/>
      <c r="Z76" s="24"/>
    </row>
    <row r="77" ht="15.5" customHeight="1" spans="1:26">
      <c r="A77" s="24">
        <v>66</v>
      </c>
      <c r="B77" s="24" t="s">
        <v>363</v>
      </c>
      <c r="C77" s="24">
        <f>ModalDialogPositioningZIndex!A5</f>
        <v>4</v>
      </c>
      <c r="D77" s="24">
        <f>ModalDialogPositioningZIndex!C5</f>
        <v>0</v>
      </c>
      <c r="E77" s="24">
        <f>ModalDialogPositioningZIndex!F5</f>
        <v>0</v>
      </c>
      <c r="F77" s="24">
        <f>ModalDialogPositioningZIndex!L5</f>
        <v>4</v>
      </c>
      <c r="G77" s="24">
        <f>ModalDialogPositioningZIndex!M5</f>
        <v>0</v>
      </c>
      <c r="H77" s="24">
        <f>ModalDialogPositioningZIndex!N5</f>
        <v>0</v>
      </c>
      <c r="I77" s="24">
        <f>ModalDialogPositioningZIndex!O5</f>
        <v>4</v>
      </c>
      <c r="J77" s="24"/>
      <c r="K77" s="24"/>
      <c r="L77" s="24"/>
      <c r="M77" s="24"/>
      <c r="N77" s="24"/>
      <c r="O77" s="24"/>
      <c r="P77" s="24"/>
      <c r="Q77" s="24"/>
      <c r="R77" s="24"/>
      <c r="S77" s="24"/>
      <c r="T77" s="24"/>
      <c r="U77" s="24"/>
      <c r="V77" s="24"/>
      <c r="W77" s="24"/>
      <c r="X77" s="24"/>
      <c r="Y77" s="24"/>
      <c r="Z77" s="24"/>
    </row>
    <row r="78" ht="15.5" customHeight="1" spans="1:26">
      <c r="A78" s="24">
        <v>67</v>
      </c>
      <c r="B78" s="24" t="s">
        <v>367</v>
      </c>
      <c r="C78" s="24">
        <f>TableGridResponsiveOverflow!A5</f>
        <v>3</v>
      </c>
      <c r="D78" s="24">
        <f>TableGridResponsiveOverflow!C5</f>
        <v>0</v>
      </c>
      <c r="E78" s="24">
        <f>TableGridResponsiveOverflow!F5</f>
        <v>0</v>
      </c>
      <c r="F78" s="24">
        <f>TableGridResponsiveOverflow!L5</f>
        <v>2</v>
      </c>
      <c r="G78" s="24">
        <f>TableGridResponsiveOverflow!M5</f>
        <v>0</v>
      </c>
      <c r="H78" s="24">
        <f>TableGridResponsiveOverflow!N5</f>
        <v>1</v>
      </c>
      <c r="I78" s="24">
        <f>TableGridResponsiveOverflow!O5</f>
        <v>3</v>
      </c>
      <c r="J78" s="24"/>
      <c r="K78" s="24"/>
      <c r="L78" s="24"/>
      <c r="M78" s="24"/>
      <c r="N78" s="24"/>
      <c r="O78" s="24"/>
      <c r="P78" s="24"/>
      <c r="Q78" s="24"/>
      <c r="R78" s="24"/>
      <c r="S78" s="24"/>
      <c r="T78" s="24"/>
      <c r="U78" s="24"/>
      <c r="V78" s="24"/>
      <c r="W78" s="24"/>
      <c r="X78" s="24"/>
      <c r="Y78" s="24"/>
      <c r="Z78" s="24"/>
    </row>
    <row r="79" ht="15.5" customHeight="1" spans="1:26">
      <c r="A79" s="24">
        <v>68</v>
      </c>
      <c r="B79" s="24" t="s">
        <v>371</v>
      </c>
      <c r="C79" s="24">
        <f>TooltipHoverDisplay!A5</f>
        <v>4</v>
      </c>
      <c r="D79" s="24">
        <f>TooltipHoverDisplay!C5</f>
        <v>0</v>
      </c>
      <c r="E79" s="24">
        <f>TooltipHoverDisplay!F5</f>
        <v>0</v>
      </c>
      <c r="F79" s="24">
        <f>TooltipHoverDisplay!L5</f>
        <v>3</v>
      </c>
      <c r="G79" s="24">
        <f>TooltipHoverDisplay!M5</f>
        <v>1</v>
      </c>
      <c r="H79" s="24">
        <f>TooltipHoverDisplay!N5</f>
        <v>0</v>
      </c>
      <c r="I79" s="24">
        <f>TooltipHoverDisplay!O5</f>
        <v>4</v>
      </c>
      <c r="J79" s="24"/>
      <c r="K79" s="24"/>
      <c r="L79" s="24"/>
      <c r="M79" s="24"/>
      <c r="N79" s="24"/>
      <c r="O79" s="24"/>
      <c r="P79" s="24"/>
      <c r="Q79" s="24"/>
      <c r="R79" s="24"/>
      <c r="S79" s="24"/>
      <c r="T79" s="24"/>
      <c r="U79" s="24"/>
      <c r="V79" s="24"/>
      <c r="W79" s="24"/>
      <c r="X79" s="24"/>
      <c r="Y79" s="24"/>
      <c r="Z79" s="24"/>
    </row>
    <row r="80" ht="15.5" customHeight="1" spans="1:26">
      <c r="A80" s="24">
        <v>69</v>
      </c>
      <c r="B80" s="24" t="s">
        <v>375</v>
      </c>
      <c r="C80" s="24">
        <f>LoadingSpinnerSkeletonStates!A5</f>
        <v>3</v>
      </c>
      <c r="D80" s="24">
        <f>LoadingSpinnerSkeletonStates!C5</f>
        <v>0</v>
      </c>
      <c r="E80" s="24">
        <f>LoadingSpinnerSkeletonStates!F5</f>
        <v>0</v>
      </c>
      <c r="F80" s="24">
        <f>LoadingSpinnerSkeletonStates!L5</f>
        <v>2</v>
      </c>
      <c r="G80" s="24">
        <f>LoadingSpinnerSkeletonStates!M5</f>
        <v>0</v>
      </c>
      <c r="H80" s="24">
        <f>LoadingSpinnerSkeletonStates!N5</f>
        <v>1</v>
      </c>
      <c r="I80" s="24">
        <f>LoadingSpinnerSkeletonStates!O5</f>
        <v>3</v>
      </c>
      <c r="J80" s="24"/>
      <c r="K80" s="24"/>
      <c r="L80" s="24"/>
      <c r="M80" s="24"/>
      <c r="N80" s="24"/>
      <c r="O80" s="24"/>
      <c r="P80" s="24"/>
      <c r="Q80" s="24"/>
      <c r="R80" s="24"/>
      <c r="S80" s="24"/>
      <c r="T80" s="24"/>
      <c r="U80" s="24"/>
      <c r="V80" s="24"/>
      <c r="W80" s="24"/>
      <c r="X80" s="24"/>
      <c r="Y80" s="24"/>
      <c r="Z80" s="24"/>
    </row>
    <row r="81" ht="15.5" customHeight="1" spans="1:26">
      <c r="A81" s="24">
        <v>70</v>
      </c>
      <c r="B81" s="24" t="s">
        <v>379</v>
      </c>
      <c r="C81" s="24">
        <f>AccessibilityKeyboardNavigation!A5</f>
        <v>4</v>
      </c>
      <c r="D81" s="24">
        <f>AccessibilityKeyboardNavigation!C5</f>
        <v>0</v>
      </c>
      <c r="E81" s="24">
        <f>AccessibilityKeyboardNavigation!F5</f>
        <v>0</v>
      </c>
      <c r="F81" s="24">
        <f>AccessibilityKeyboardNavigation!L5</f>
        <v>2</v>
      </c>
      <c r="G81" s="24">
        <f>AccessibilityKeyboardNavigation!M5</f>
        <v>2</v>
      </c>
      <c r="H81" s="24">
        <f>AccessibilityKeyboardNavigation!N5</f>
        <v>0</v>
      </c>
      <c r="I81" s="24">
        <f>AccessibilityKeyboardNavigation!O5</f>
        <v>4</v>
      </c>
      <c r="J81" s="24"/>
      <c r="K81" s="24"/>
      <c r="L81" s="24"/>
      <c r="M81" s="24"/>
      <c r="N81" s="24"/>
      <c r="O81" s="24"/>
      <c r="P81" s="24"/>
      <c r="Q81" s="24"/>
      <c r="R81" s="24"/>
      <c r="S81" s="24"/>
      <c r="T81" s="24"/>
      <c r="U81" s="24"/>
      <c r="V81" s="24"/>
      <c r="W81" s="24"/>
      <c r="X81" s="24"/>
      <c r="Y81" s="24"/>
      <c r="Z81" s="24"/>
    </row>
    <row r="82" ht="15.5" customHeight="1" spans="1:26">
      <c r="A82" s="24">
        <v>71</v>
      </c>
      <c r="B82" s="24" t="s">
        <v>383</v>
      </c>
      <c r="C82" s="24">
        <f>BrandingLogoHeaderConsistency!A5</f>
        <v>4</v>
      </c>
      <c r="D82" s="24">
        <f>BrandingLogoHeaderConsistency!C5</f>
        <v>0</v>
      </c>
      <c r="E82" s="24">
        <f>BrandingLogoHeaderConsistency!F5</f>
        <v>0</v>
      </c>
      <c r="F82" s="24">
        <f>BrandingLogoHeaderConsistency!L5</f>
        <v>4</v>
      </c>
      <c r="G82" s="24">
        <f>BrandingLogoHeaderConsistency!M5</f>
        <v>0</v>
      </c>
      <c r="H82" s="24">
        <f>BrandingLogoHeaderConsistency!N5</f>
        <v>0</v>
      </c>
      <c r="I82" s="24">
        <f>BrandingLogoHeaderConsistency!O5</f>
        <v>4</v>
      </c>
      <c r="J82" s="24"/>
      <c r="K82" s="24"/>
      <c r="L82" s="24"/>
      <c r="M82" s="24"/>
      <c r="N82" s="24"/>
      <c r="O82" s="24"/>
      <c r="P82" s="24"/>
      <c r="Q82" s="24"/>
      <c r="R82" s="24"/>
      <c r="S82" s="24"/>
      <c r="T82" s="24"/>
      <c r="U82" s="24"/>
      <c r="V82" s="24"/>
      <c r="W82" s="24"/>
      <c r="X82" s="24"/>
      <c r="Y82" s="24"/>
      <c r="Z82" s="24"/>
    </row>
    <row r="83" ht="15.5" customHeight="1" spans="1:26">
      <c r="A83" s="24">
        <v>72</v>
      </c>
      <c r="B83" s="24" t="s">
        <v>389</v>
      </c>
      <c r="C83" s="24">
        <f>RegisterHR!A5</f>
        <v>7</v>
      </c>
      <c r="D83" s="24">
        <f>RegisterHR!C5</f>
        <v>0</v>
      </c>
      <c r="E83" s="24">
        <f>RegisterHR!F5</f>
        <v>0</v>
      </c>
      <c r="F83" s="24">
        <f>RegisterHR!L5</f>
        <v>1</v>
      </c>
      <c r="G83" s="24">
        <f>RegisterHR!M5</f>
        <v>6</v>
      </c>
      <c r="H83" s="24">
        <f>RegisterHR!N5</f>
        <v>0</v>
      </c>
      <c r="I83" s="24">
        <f>RegisterHR!O5</f>
        <v>7</v>
      </c>
      <c r="J83" s="24"/>
      <c r="K83" s="24"/>
      <c r="L83" s="24"/>
      <c r="M83" s="24"/>
      <c r="N83" s="24"/>
      <c r="O83" s="24"/>
      <c r="P83" s="24"/>
      <c r="Q83" s="24"/>
      <c r="R83" s="24"/>
      <c r="S83" s="24"/>
      <c r="T83" s="24"/>
      <c r="U83" s="24"/>
      <c r="V83" s="24"/>
      <c r="W83" s="24"/>
      <c r="X83" s="24"/>
      <c r="Y83" s="24"/>
      <c r="Z83" s="24"/>
    </row>
    <row r="84" ht="15.5" customHeight="1" spans="1:26">
      <c r="A84" s="24">
        <v>73</v>
      </c>
      <c r="B84" s="24" t="s">
        <v>393</v>
      </c>
      <c r="C84" s="24">
        <f>Login!A5</f>
        <v>7</v>
      </c>
      <c r="D84" s="24">
        <f>Login!C5</f>
        <v>0</v>
      </c>
      <c r="E84" s="24">
        <f>Login!F5</f>
        <v>0</v>
      </c>
      <c r="F84" s="24">
        <f>Login!L5</f>
        <v>2</v>
      </c>
      <c r="G84" s="24">
        <f>Login!M5</f>
        <v>5</v>
      </c>
      <c r="H84" s="24">
        <f>Login!N5</f>
        <v>0</v>
      </c>
      <c r="I84" s="24">
        <f>Login!O5</f>
        <v>7</v>
      </c>
      <c r="J84" s="24"/>
      <c r="K84" s="24"/>
      <c r="L84" s="24"/>
      <c r="M84" s="24"/>
      <c r="N84" s="24"/>
      <c r="O84" s="24"/>
      <c r="P84" s="24"/>
      <c r="Q84" s="24"/>
      <c r="R84" s="24"/>
      <c r="S84" s="24"/>
      <c r="T84" s="24"/>
      <c r="U84" s="24"/>
      <c r="V84" s="24"/>
      <c r="W84" s="24"/>
      <c r="X84" s="24"/>
      <c r="Y84" s="24"/>
      <c r="Z84" s="24"/>
    </row>
    <row r="85" ht="15.5" customHeight="1" spans="1:26">
      <c r="A85" s="24">
        <v>74</v>
      </c>
      <c r="B85" s="24" t="s">
        <v>396</v>
      </c>
      <c r="C85" s="24">
        <f>RegisterJobSeeker!A5</f>
        <v>7</v>
      </c>
      <c r="D85" s="24">
        <f>RegisterJobSeeker!C5</f>
        <v>0</v>
      </c>
      <c r="E85" s="24">
        <f>RegisterJobSeeker!F5</f>
        <v>0</v>
      </c>
      <c r="F85" s="24">
        <f>RegisterJobSeeker!L5</f>
        <v>1</v>
      </c>
      <c r="G85" s="24">
        <f>RegisterJobSeeker!M5</f>
        <v>6</v>
      </c>
      <c r="H85" s="24">
        <f>RegisterJobSeeker!N5</f>
        <v>0</v>
      </c>
      <c r="I85" s="24">
        <f>RegisterJobSeeker!O5</f>
        <v>7</v>
      </c>
      <c r="J85" s="24"/>
      <c r="K85" s="24"/>
      <c r="L85" s="24"/>
      <c r="M85" s="24"/>
      <c r="N85" s="24"/>
      <c r="O85" s="24"/>
      <c r="P85" s="24"/>
      <c r="Q85" s="24"/>
      <c r="R85" s="24"/>
      <c r="S85" s="24"/>
      <c r="T85" s="24"/>
      <c r="U85" s="24"/>
      <c r="V85" s="24"/>
      <c r="W85" s="24"/>
      <c r="X85" s="24"/>
      <c r="Y85" s="24"/>
      <c r="Z85" s="24"/>
    </row>
    <row r="86" ht="15.5" customHeight="1" spans="1:26">
      <c r="A86" s="24">
        <v>75</v>
      </c>
      <c r="B86" s="24" t="s">
        <v>399</v>
      </c>
      <c r="C86" s="24">
        <f>VerifyEmail!A5</f>
        <v>6</v>
      </c>
      <c r="D86" s="24">
        <f>VerifyEmail!C5</f>
        <v>0</v>
      </c>
      <c r="E86" s="24">
        <f>VerifyEmail!F5</f>
        <v>0</v>
      </c>
      <c r="F86" s="24">
        <f>VerifyEmail!L5</f>
        <v>5</v>
      </c>
      <c r="G86" s="24">
        <f>VerifyEmail!M5</f>
        <v>1</v>
      </c>
      <c r="H86" s="24">
        <f>VerifyEmail!N5</f>
        <v>0</v>
      </c>
      <c r="I86" s="24">
        <f>VerifyEmail!O5</f>
        <v>6</v>
      </c>
      <c r="J86" s="24"/>
      <c r="K86" s="24"/>
      <c r="L86" s="24"/>
      <c r="M86" s="24"/>
      <c r="N86" s="24"/>
      <c r="O86" s="24"/>
      <c r="P86" s="24"/>
      <c r="Q86" s="24"/>
      <c r="R86" s="24"/>
      <c r="S86" s="24"/>
      <c r="T86" s="24"/>
      <c r="U86" s="24"/>
      <c r="V86" s="24"/>
      <c r="W86" s="24"/>
      <c r="X86" s="24"/>
      <c r="Y86" s="24"/>
      <c r="Z86" s="24"/>
    </row>
    <row r="87" ht="15.5" customHeight="1" spans="1:26">
      <c r="A87" s="24">
        <v>76</v>
      </c>
      <c r="B87" s="24" t="s">
        <v>403</v>
      </c>
      <c r="C87" s="24">
        <f>ForgotResetPassword!A5</f>
        <v>8</v>
      </c>
      <c r="D87" s="24">
        <f>ForgotResetPassword!C5</f>
        <v>0</v>
      </c>
      <c r="E87" s="24">
        <f>ForgotResetPassword!F5</f>
        <v>0</v>
      </c>
      <c r="F87" s="24">
        <f>ForgotResetPassword!L5</f>
        <v>2</v>
      </c>
      <c r="G87" s="24">
        <f>ForgotResetPassword!M5</f>
        <v>6</v>
      </c>
      <c r="H87" s="24">
        <f>ForgotResetPassword!N5</f>
        <v>0</v>
      </c>
      <c r="I87" s="24">
        <f>ForgotResetPassword!O5</f>
        <v>8</v>
      </c>
      <c r="J87" s="24"/>
      <c r="K87" s="24"/>
      <c r="L87" s="24"/>
      <c r="M87" s="24"/>
      <c r="N87" s="24"/>
      <c r="O87" s="24"/>
      <c r="P87" s="24"/>
      <c r="Q87" s="24"/>
      <c r="R87" s="24"/>
      <c r="S87" s="24"/>
      <c r="T87" s="24"/>
      <c r="U87" s="24"/>
      <c r="V87" s="24"/>
      <c r="W87" s="24"/>
      <c r="X87" s="24"/>
      <c r="Y87" s="24"/>
      <c r="Z87" s="24"/>
    </row>
    <row r="88" ht="15.5" customHeight="1" spans="1:26">
      <c r="A88" s="24">
        <v>77</v>
      </c>
      <c r="B88" s="24" t="s">
        <v>409</v>
      </c>
      <c r="C88" s="24">
        <f>AccessControl!A5</f>
        <v>6</v>
      </c>
      <c r="D88" s="24">
        <f>AccessControl!C5</f>
        <v>0</v>
      </c>
      <c r="E88" s="24">
        <f>AccessControl!F5</f>
        <v>0</v>
      </c>
      <c r="F88" s="24">
        <f>AccessControl!L5</f>
        <v>5</v>
      </c>
      <c r="G88" s="24">
        <f>AccessControl!M5</f>
        <v>1</v>
      </c>
      <c r="H88" s="24">
        <f>AccessControl!N5</f>
        <v>0</v>
      </c>
      <c r="I88" s="24">
        <f>AccessControl!O5</f>
        <v>6</v>
      </c>
      <c r="J88" s="24"/>
      <c r="K88" s="24"/>
      <c r="L88" s="24"/>
      <c r="M88" s="24"/>
      <c r="N88" s="24"/>
      <c r="O88" s="24"/>
      <c r="P88" s="24"/>
      <c r="Q88" s="24"/>
      <c r="R88" s="24"/>
      <c r="S88" s="24"/>
      <c r="T88" s="24"/>
      <c r="U88" s="24"/>
      <c r="V88" s="24"/>
      <c r="W88" s="24"/>
      <c r="X88" s="24"/>
      <c r="Y88" s="24"/>
      <c r="Z88" s="24"/>
    </row>
    <row r="89" ht="15.5" customHeight="1" spans="1:26">
      <c r="A89" s="24">
        <v>78</v>
      </c>
      <c r="B89" s="24" t="s">
        <v>415</v>
      </c>
      <c r="C89" s="24">
        <f>UpdateProfile!A5</f>
        <v>8</v>
      </c>
      <c r="D89" s="24">
        <f>UpdateProfile!C5</f>
        <v>0</v>
      </c>
      <c r="E89" s="24">
        <f>UpdateProfile!F5</f>
        <v>0</v>
      </c>
      <c r="F89" s="24">
        <f>UpdateProfile!L5</f>
        <v>4</v>
      </c>
      <c r="G89" s="24">
        <f>UpdateProfile!M5</f>
        <v>4</v>
      </c>
      <c r="H89" s="24">
        <f>UpdateProfile!N5</f>
        <v>0</v>
      </c>
      <c r="I89" s="24">
        <f>UpdateProfile!O5</f>
        <v>8</v>
      </c>
      <c r="J89" s="24"/>
      <c r="K89" s="24"/>
      <c r="L89" s="24"/>
      <c r="M89" s="24"/>
      <c r="N89" s="24"/>
      <c r="O89" s="24"/>
      <c r="P89" s="24"/>
      <c r="Q89" s="24"/>
      <c r="R89" s="24"/>
      <c r="S89" s="24"/>
      <c r="T89" s="24"/>
      <c r="U89" s="24"/>
      <c r="V89" s="24"/>
      <c r="W89" s="24"/>
      <c r="X89" s="24"/>
      <c r="Y89" s="24"/>
      <c r="Z89" s="24"/>
    </row>
    <row r="90" ht="15.5" customHeight="1" spans="1:26">
      <c r="A90" s="24">
        <v>79</v>
      </c>
      <c r="B90" s="24" t="s">
        <v>421</v>
      </c>
      <c r="C90" s="24">
        <f>ManageUsers!A5</f>
        <v>12</v>
      </c>
      <c r="D90" s="24">
        <f>ManageUsers!C5</f>
        <v>0</v>
      </c>
      <c r="E90" s="24">
        <f>ManageUsers!F5</f>
        <v>0</v>
      </c>
      <c r="F90" s="24">
        <f>ManageUsers!L5</f>
        <v>10</v>
      </c>
      <c r="G90" s="24">
        <f>ManageUsers!M5</f>
        <v>1</v>
      </c>
      <c r="H90" s="24">
        <f>ManageUsers!N5</f>
        <v>1</v>
      </c>
      <c r="I90" s="24">
        <f>ManageUsers!O5</f>
        <v>12</v>
      </c>
      <c r="J90" s="24"/>
      <c r="K90" s="24"/>
      <c r="L90" s="24"/>
      <c r="M90" s="24"/>
      <c r="N90" s="24"/>
      <c r="O90" s="24"/>
      <c r="P90" s="24"/>
      <c r="Q90" s="24"/>
      <c r="R90" s="24"/>
      <c r="S90" s="24"/>
      <c r="T90" s="24"/>
      <c r="U90" s="24"/>
      <c r="V90" s="24"/>
      <c r="W90" s="24"/>
      <c r="X90" s="24"/>
      <c r="Y90" s="24"/>
      <c r="Z90" s="24"/>
    </row>
    <row r="91" ht="15.5" customHeight="1" spans="1:26">
      <c r="A91" s="24">
        <v>80</v>
      </c>
      <c r="B91" s="24" t="s">
        <v>427</v>
      </c>
      <c r="C91" s="24">
        <f>GetTimeOfDayGreeting!A5</f>
        <v>9</v>
      </c>
      <c r="D91" s="24">
        <f>GetTimeOfDayGreeting!C5</f>
        <v>0</v>
      </c>
      <c r="E91" s="24">
        <f>GetTimeOfDayGreeting!F5</f>
        <v>0</v>
      </c>
      <c r="F91" s="24">
        <f>GetTimeOfDayGreeting!L5</f>
        <v>6</v>
      </c>
      <c r="G91" s="24">
        <f>GetTimeOfDayGreeting!M5</f>
        <v>0</v>
      </c>
      <c r="H91" s="24">
        <f>GetTimeOfDayGreeting!N5</f>
        <v>3</v>
      </c>
      <c r="I91" s="24">
        <f>GetTimeOfDayGreeting!O5</f>
        <v>9</v>
      </c>
      <c r="J91" s="24"/>
      <c r="K91" s="24"/>
      <c r="L91" s="24"/>
      <c r="M91" s="24"/>
      <c r="N91" s="24"/>
      <c r="O91" s="24"/>
      <c r="P91" s="24"/>
      <c r="Q91" s="24"/>
      <c r="R91" s="24"/>
      <c r="S91" s="24"/>
      <c r="T91" s="24"/>
      <c r="U91" s="24"/>
      <c r="V91" s="24"/>
      <c r="W91" s="24"/>
      <c r="X91" s="24"/>
      <c r="Y91" s="24"/>
      <c r="Z91" s="24"/>
    </row>
    <row r="92" ht="15.5" customHeight="1" spans="1:26">
      <c r="A92" s="24">
        <v>81</v>
      </c>
      <c r="B92" s="24" t="s">
        <v>431</v>
      </c>
      <c r="C92" s="24">
        <f>BuildWelcomeMessage!A5</f>
        <v>2</v>
      </c>
      <c r="D92" s="24">
        <f>BuildWelcomeMessage!C5</f>
        <v>0</v>
      </c>
      <c r="E92" s="24">
        <f>BuildWelcomeMessage!F5</f>
        <v>0</v>
      </c>
      <c r="F92" s="24">
        <f>BuildWelcomeMessage!L5</f>
        <v>1</v>
      </c>
      <c r="G92" s="24">
        <f>BuildWelcomeMessage!M5</f>
        <v>1</v>
      </c>
      <c r="H92" s="24">
        <f>BuildWelcomeMessage!N5</f>
        <v>0</v>
      </c>
      <c r="I92" s="24">
        <f>BuildWelcomeMessage!O5</f>
        <v>2</v>
      </c>
      <c r="J92" s="24"/>
      <c r="K92" s="24"/>
      <c r="L92" s="24"/>
      <c r="M92" s="24"/>
      <c r="N92" s="24"/>
      <c r="O92" s="24"/>
      <c r="P92" s="24"/>
      <c r="Q92" s="24"/>
      <c r="R92" s="24"/>
      <c r="S92" s="24"/>
      <c r="T92" s="24"/>
      <c r="U92" s="24"/>
      <c r="V92" s="24"/>
      <c r="W92" s="24"/>
      <c r="X92" s="24"/>
      <c r="Y92" s="24"/>
      <c r="Z92" s="24"/>
    </row>
    <row r="93" ht="15.5" customHeight="1" spans="1:26">
      <c r="A93" s="24">
        <v>82</v>
      </c>
      <c r="B93" s="24" t="s">
        <v>435</v>
      </c>
      <c r="C93" s="24">
        <f>FormatRelativeTimeInvalidDate!A5</f>
        <v>2</v>
      </c>
      <c r="D93" s="24">
        <f>FormatRelativeTimeInvalidDate!C5</f>
        <v>0</v>
      </c>
      <c r="E93" s="24">
        <f>FormatRelativeTimeInvalidDate!F5</f>
        <v>0</v>
      </c>
      <c r="F93" s="24">
        <f>FormatRelativeTimeInvalidDate!L5</f>
        <v>0</v>
      </c>
      <c r="G93" s="24">
        <f>FormatRelativeTimeInvalidDate!M5</f>
        <v>2</v>
      </c>
      <c r="H93" s="24">
        <f>FormatRelativeTimeInvalidDate!N5</f>
        <v>0</v>
      </c>
      <c r="I93" s="24">
        <f>FormatRelativeTimeInvalidDate!O5</f>
        <v>2</v>
      </c>
      <c r="J93" s="24"/>
      <c r="K93" s="24"/>
      <c r="L93" s="24"/>
      <c r="M93" s="24"/>
      <c r="N93" s="24"/>
      <c r="O93" s="24"/>
      <c r="P93" s="24"/>
      <c r="Q93" s="24"/>
      <c r="R93" s="24"/>
      <c r="S93" s="24"/>
      <c r="T93" s="24"/>
      <c r="U93" s="24"/>
      <c r="V93" s="24"/>
      <c r="W93" s="24"/>
      <c r="X93" s="24"/>
      <c r="Y93" s="24"/>
      <c r="Z93" s="24"/>
    </row>
    <row r="94" ht="15.5" customHeight="1" spans="1:26">
      <c r="A94" s="24">
        <v>83</v>
      </c>
      <c r="B94" s="24" t="s">
        <v>439</v>
      </c>
      <c r="C94" s="24">
        <f>FormatRelativeTimeAgeBuckets!A5</f>
        <v>8</v>
      </c>
      <c r="D94" s="24">
        <f>FormatRelativeTimeAgeBuckets!C5</f>
        <v>0</v>
      </c>
      <c r="E94" s="24">
        <f>FormatRelativeTimeAgeBuckets!F5</f>
        <v>0</v>
      </c>
      <c r="F94" s="24">
        <f>FormatRelativeTimeAgeBuckets!L5</f>
        <v>6</v>
      </c>
      <c r="G94" s="24">
        <f>FormatRelativeTimeAgeBuckets!M5</f>
        <v>0</v>
      </c>
      <c r="H94" s="24">
        <f>FormatRelativeTimeAgeBuckets!N5</f>
        <v>2</v>
      </c>
      <c r="I94" s="24">
        <f>FormatRelativeTimeAgeBuckets!O5</f>
        <v>8</v>
      </c>
      <c r="J94" s="24"/>
      <c r="K94" s="24"/>
      <c r="L94" s="24"/>
      <c r="M94" s="24"/>
      <c r="N94" s="24"/>
      <c r="O94" s="24"/>
      <c r="P94" s="24"/>
      <c r="Q94" s="24"/>
      <c r="R94" s="24"/>
      <c r="S94" s="24"/>
      <c r="T94" s="24"/>
      <c r="U94" s="24"/>
      <c r="V94" s="24"/>
      <c r="W94" s="24"/>
      <c r="X94" s="24"/>
      <c r="Y94" s="24"/>
      <c r="Z94" s="24"/>
    </row>
    <row r="95" ht="15.5" customHeight="1" spans="1:26">
      <c r="A95" s="24">
        <v>84</v>
      </c>
      <c r="B95" s="24" t="s">
        <v>443</v>
      </c>
      <c r="C95" s="24">
        <f>NormalizePathname!A5</f>
        <v>3</v>
      </c>
      <c r="D95" s="24">
        <f>NormalizePathname!C5</f>
        <v>0</v>
      </c>
      <c r="E95" s="24">
        <f>NormalizePathname!F5</f>
        <v>0</v>
      </c>
      <c r="F95" s="24">
        <f>NormalizePathname!L5</f>
        <v>2</v>
      </c>
      <c r="G95" s="24">
        <f>NormalizePathname!M5</f>
        <v>0</v>
      </c>
      <c r="H95" s="24">
        <f>NormalizePathname!N5</f>
        <v>1</v>
      </c>
      <c r="I95" s="24">
        <f>NormalizePathname!O5</f>
        <v>3</v>
      </c>
      <c r="J95" s="24"/>
      <c r="K95" s="24"/>
      <c r="L95" s="24"/>
      <c r="M95" s="24"/>
      <c r="N95" s="24"/>
      <c r="O95" s="24"/>
      <c r="P95" s="24"/>
      <c r="Q95" s="24"/>
      <c r="R95" s="24"/>
      <c r="S95" s="24"/>
      <c r="T95" s="24"/>
      <c r="U95" s="24"/>
      <c r="V95" s="24"/>
      <c r="W95" s="24"/>
      <c r="X95" s="24"/>
      <c r="Y95" s="24"/>
      <c r="Z95" s="24"/>
    </row>
    <row r="96" ht="15.5" customHeight="1" spans="1:26">
      <c r="A96" s="24">
        <v>85</v>
      </c>
      <c r="B96" s="24" t="s">
        <v>447</v>
      </c>
      <c r="C96" s="24">
        <f>IsAdminNavActive!A5</f>
        <v>4</v>
      </c>
      <c r="D96" s="24">
        <f>IsAdminNavActive!C5</f>
        <v>0</v>
      </c>
      <c r="E96" s="24">
        <f>IsAdminNavActive!F5</f>
        <v>0</v>
      </c>
      <c r="F96" s="24">
        <f>IsAdminNavActive!L5</f>
        <v>3</v>
      </c>
      <c r="G96" s="24">
        <f>IsAdminNavActive!M5</f>
        <v>0</v>
      </c>
      <c r="H96" s="24">
        <f>IsAdminNavActive!N5</f>
        <v>1</v>
      </c>
      <c r="I96" s="24">
        <f>IsAdminNavActive!O5</f>
        <v>4</v>
      </c>
      <c r="J96" s="24"/>
      <c r="K96" s="24"/>
      <c r="L96" s="24"/>
      <c r="M96" s="24"/>
      <c r="N96" s="24"/>
      <c r="O96" s="24"/>
      <c r="P96" s="24"/>
      <c r="Q96" s="24"/>
      <c r="R96" s="24"/>
      <c r="S96" s="24"/>
      <c r="T96" s="24"/>
      <c r="U96" s="24"/>
      <c r="V96" s="24"/>
      <c r="W96" s="24"/>
      <c r="X96" s="24"/>
      <c r="Y96" s="24"/>
      <c r="Z96" s="24"/>
    </row>
    <row r="97" ht="15.5" customHeight="1" spans="1:26">
      <c r="A97" s="24">
        <v>86</v>
      </c>
      <c r="B97" s="24" t="s">
        <v>451</v>
      </c>
      <c r="C97" s="24">
        <f>IsHrNavActive!A5</f>
        <v>9</v>
      </c>
      <c r="D97" s="24">
        <f>IsHrNavActive!C5</f>
        <v>0</v>
      </c>
      <c r="E97" s="24">
        <f>IsHrNavActive!F5</f>
        <v>0</v>
      </c>
      <c r="F97" s="24">
        <f>IsHrNavActive!L5</f>
        <v>7</v>
      </c>
      <c r="G97" s="24">
        <f>IsHrNavActive!M5</f>
        <v>0</v>
      </c>
      <c r="H97" s="24">
        <f>IsHrNavActive!N5</f>
        <v>2</v>
      </c>
      <c r="I97" s="24">
        <f>IsHrNavActive!O5</f>
        <v>9</v>
      </c>
      <c r="J97" s="24"/>
      <c r="K97" s="24"/>
      <c r="L97" s="24"/>
      <c r="M97" s="24"/>
      <c r="N97" s="24"/>
      <c r="O97" s="24"/>
      <c r="P97" s="24"/>
      <c r="Q97" s="24"/>
      <c r="R97" s="24"/>
      <c r="S97" s="24"/>
      <c r="T97" s="24"/>
      <c r="U97" s="24"/>
      <c r="V97" s="24"/>
      <c r="W97" s="24"/>
      <c r="X97" s="24"/>
      <c r="Y97" s="24"/>
      <c r="Z97" s="24"/>
    </row>
    <row r="98" ht="15.5" customHeight="1" spans="1:26">
      <c r="A98" s="24">
        <v>87</v>
      </c>
      <c r="B98" s="24" t="s">
        <v>455</v>
      </c>
      <c r="C98" s="24">
        <f>GetInitials!A5</f>
        <v>5</v>
      </c>
      <c r="D98" s="24">
        <f>GetInitials!C5</f>
        <v>0</v>
      </c>
      <c r="E98" s="24">
        <f>GetInitials!F5</f>
        <v>0</v>
      </c>
      <c r="F98" s="24">
        <f>GetInitials!L5</f>
        <v>2</v>
      </c>
      <c r="G98" s="24">
        <f>GetInitials!M5</f>
        <v>2</v>
      </c>
      <c r="H98" s="24">
        <f>GetInitials!N5</f>
        <v>1</v>
      </c>
      <c r="I98" s="24">
        <f>GetInitials!O5</f>
        <v>5</v>
      </c>
      <c r="J98" s="24"/>
      <c r="K98" s="24"/>
      <c r="L98" s="24"/>
      <c r="M98" s="24"/>
      <c r="N98" s="24"/>
      <c r="O98" s="24"/>
      <c r="P98" s="24"/>
      <c r="Q98" s="24"/>
      <c r="R98" s="24"/>
      <c r="S98" s="24"/>
      <c r="T98" s="24"/>
      <c r="U98" s="24"/>
      <c r="V98" s="24"/>
      <c r="W98" s="24"/>
      <c r="X98" s="24"/>
      <c r="Y98" s="24"/>
      <c r="Z98" s="24"/>
    </row>
    <row r="99" ht="15.5" customHeight="1" spans="1:26">
      <c r="A99" s="24">
        <v>88</v>
      </c>
      <c r="B99" s="24" t="s">
        <v>459</v>
      </c>
      <c r="C99" s="24">
        <f>ResolveAvatarUrl!A5</f>
        <v>6</v>
      </c>
      <c r="D99" s="24">
        <f>ResolveAvatarUrl!C5</f>
        <v>0</v>
      </c>
      <c r="E99" s="24">
        <f>ResolveAvatarUrl!F5</f>
        <v>0</v>
      </c>
      <c r="F99" s="24">
        <f>ResolveAvatarUrl!L5</f>
        <v>3</v>
      </c>
      <c r="G99" s="24">
        <f>ResolveAvatarUrl!M5</f>
        <v>2</v>
      </c>
      <c r="H99" s="24">
        <f>ResolveAvatarUrl!N5</f>
        <v>1</v>
      </c>
      <c r="I99" s="24">
        <f>ResolveAvatarUrl!O5</f>
        <v>6</v>
      </c>
      <c r="J99" s="24"/>
      <c r="K99" s="24"/>
      <c r="L99" s="24"/>
      <c r="M99" s="24"/>
      <c r="N99" s="24"/>
      <c r="O99" s="24"/>
      <c r="P99" s="24"/>
      <c r="Q99" s="24"/>
      <c r="R99" s="24"/>
      <c r="S99" s="24"/>
      <c r="T99" s="24"/>
      <c r="U99" s="24"/>
      <c r="V99" s="24"/>
      <c r="W99" s="24"/>
      <c r="X99" s="24"/>
      <c r="Y99" s="24"/>
      <c r="Z99" s="24"/>
    </row>
    <row r="100" ht="15.5" customHeight="1" spans="1:26">
      <c r="A100" s="24">
        <v>89</v>
      </c>
      <c r="B100" s="24" t="s">
        <v>463</v>
      </c>
      <c r="C100" s="24">
        <f>IsValidUrl!A5</f>
        <v>7</v>
      </c>
      <c r="D100" s="24">
        <f>IsValidUrl!C5</f>
        <v>0</v>
      </c>
      <c r="E100" s="24">
        <f>IsValidUrl!F5</f>
        <v>0</v>
      </c>
      <c r="F100" s="24">
        <f>IsValidUrl!L5</f>
        <v>2</v>
      </c>
      <c r="G100" s="24">
        <f>IsValidUrl!M5</f>
        <v>3</v>
      </c>
      <c r="H100" s="24">
        <f>IsValidUrl!N5</f>
        <v>2</v>
      </c>
      <c r="I100" s="24">
        <f>IsValidUrl!O5</f>
        <v>7</v>
      </c>
      <c r="J100" s="24"/>
      <c r="K100" s="24"/>
      <c r="L100" s="24"/>
      <c r="M100" s="24"/>
      <c r="N100" s="24"/>
      <c r="O100" s="24"/>
      <c r="P100" s="24"/>
      <c r="Q100" s="24"/>
      <c r="R100" s="24"/>
      <c r="S100" s="24"/>
      <c r="T100" s="24"/>
      <c r="U100" s="24"/>
      <c r="V100" s="24"/>
      <c r="W100" s="24"/>
      <c r="X100" s="24"/>
      <c r="Y100" s="24"/>
      <c r="Z100" s="24"/>
    </row>
    <row r="101" ht="15.5" customHeight="1" spans="1:26">
      <c r="A101" s="24">
        <v>90</v>
      </c>
      <c r="B101" s="24" t="s">
        <v>467</v>
      </c>
      <c r="C101" s="24">
        <f>MapAvatarUploadError!A5</f>
        <v>4</v>
      </c>
      <c r="D101" s="24">
        <f>MapAvatarUploadError!C5</f>
        <v>0</v>
      </c>
      <c r="E101" s="24">
        <f>MapAvatarUploadError!F5</f>
        <v>0</v>
      </c>
      <c r="F101" s="24">
        <f>MapAvatarUploadError!L5</f>
        <v>2</v>
      </c>
      <c r="G101" s="24">
        <f>MapAvatarUploadError!M5</f>
        <v>1</v>
      </c>
      <c r="H101" s="24">
        <f>MapAvatarUploadError!N5</f>
        <v>1</v>
      </c>
      <c r="I101" s="24">
        <f>MapAvatarUploadError!O5</f>
        <v>4</v>
      </c>
      <c r="J101" s="24"/>
      <c r="K101" s="24"/>
      <c r="L101" s="24"/>
      <c r="M101" s="24"/>
      <c r="N101" s="24"/>
      <c r="O101" s="24"/>
      <c r="P101" s="24"/>
      <c r="Q101" s="24"/>
      <c r="R101" s="24"/>
      <c r="S101" s="24"/>
      <c r="T101" s="24"/>
      <c r="U101" s="24"/>
      <c r="V101" s="24"/>
      <c r="W101" s="24"/>
      <c r="X101" s="24"/>
      <c r="Y101" s="24"/>
      <c r="Z101" s="24"/>
    </row>
    <row r="102" ht="15.5" customHeight="1" spans="1:26">
      <c r="A102" s="24">
        <v>91</v>
      </c>
      <c r="B102" s="24" t="s">
        <v>473</v>
      </c>
      <c r="C102" s="24">
        <f>AuthRoundTripLegacyFlagAndRealT!A5</f>
        <v>2</v>
      </c>
      <c r="D102" s="24">
        <f>AuthRoundTripLegacyFlagAndRealT!C5</f>
        <v>0</v>
      </c>
      <c r="E102" s="24">
        <f>AuthRoundTripLegacyFlagAndRealT!F5</f>
        <v>0</v>
      </c>
      <c r="F102" s="24">
        <f>AuthRoundTripLegacyFlagAndRealT!L5</f>
        <v>2</v>
      </c>
      <c r="G102" s="24">
        <f>AuthRoundTripLegacyFlagAndRealT!M5</f>
        <v>0</v>
      </c>
      <c r="H102" s="24">
        <f>AuthRoundTripLegacyFlagAndRealT!N5</f>
        <v>0</v>
      </c>
      <c r="I102" s="24">
        <f>AuthRoundTripLegacyFlagAndRealT!O5</f>
        <v>2</v>
      </c>
      <c r="J102" s="24"/>
      <c r="K102" s="24"/>
      <c r="L102" s="24"/>
      <c r="M102" s="24"/>
      <c r="N102" s="24"/>
      <c r="O102" s="24"/>
      <c r="P102" s="24"/>
      <c r="Q102" s="24"/>
      <c r="R102" s="24"/>
      <c r="S102" s="24"/>
      <c r="T102" s="24"/>
      <c r="U102" s="24"/>
      <c r="V102" s="24"/>
      <c r="W102" s="24"/>
      <c r="X102" s="24"/>
      <c r="Y102" s="24"/>
      <c r="Z102" s="24"/>
    </row>
    <row r="103" ht="15.5" customHeight="1" spans="1:26">
      <c r="A103" s="24">
        <v>92</v>
      </c>
      <c r="B103" s="24" t="s">
        <v>478</v>
      </c>
      <c r="C103" s="24">
        <f>UserRoleAndClearAuthCascade!A5</f>
        <v>2</v>
      </c>
      <c r="D103" s="24">
        <f>UserRoleAndClearAuthCascade!C5</f>
        <v>0</v>
      </c>
      <c r="E103" s="24">
        <f>UserRoleAndClearAuthCascade!F5</f>
        <v>0</v>
      </c>
      <c r="F103" s="24">
        <f>UserRoleAndClearAuthCascade!L5</f>
        <v>2</v>
      </c>
      <c r="G103" s="24">
        <f>UserRoleAndClearAuthCascade!M5</f>
        <v>0</v>
      </c>
      <c r="H103" s="24">
        <f>UserRoleAndClearAuthCascade!N5</f>
        <v>0</v>
      </c>
      <c r="I103" s="24">
        <f>UserRoleAndClearAuthCascade!O5</f>
        <v>2</v>
      </c>
      <c r="J103" s="24"/>
      <c r="K103" s="24"/>
      <c r="L103" s="24"/>
      <c r="M103" s="24"/>
      <c r="N103" s="24"/>
      <c r="O103" s="24"/>
      <c r="P103" s="24"/>
      <c r="Q103" s="24"/>
      <c r="R103" s="24"/>
      <c r="S103" s="24"/>
      <c r="T103" s="24"/>
      <c r="U103" s="24"/>
      <c r="V103" s="24"/>
      <c r="W103" s="24"/>
      <c r="X103" s="24"/>
      <c r="Y103" s="24"/>
      <c r="Z103" s="24"/>
    </row>
    <row r="104" ht="15.5" customHeight="1" spans="1:26">
      <c r="A104" s="24">
        <v>93</v>
      </c>
      <c r="B104" s="24" t="s">
        <v>482</v>
      </c>
      <c r="C104" s="24">
        <f>GetRoleRedirect!A5</f>
        <v>5</v>
      </c>
      <c r="D104" s="24">
        <f>GetRoleRedirect!C5</f>
        <v>0</v>
      </c>
      <c r="E104" s="24">
        <f>GetRoleRedirect!F5</f>
        <v>0</v>
      </c>
      <c r="F104" s="24">
        <f>GetRoleRedirect!L5</f>
        <v>4</v>
      </c>
      <c r="G104" s="24">
        <f>GetRoleRedirect!M5</f>
        <v>0</v>
      </c>
      <c r="H104" s="24">
        <f>GetRoleRedirect!N5</f>
        <v>1</v>
      </c>
      <c r="I104" s="24">
        <f>GetRoleRedirect!O5</f>
        <v>5</v>
      </c>
      <c r="J104" s="24"/>
      <c r="K104" s="24"/>
      <c r="L104" s="24"/>
      <c r="M104" s="24"/>
      <c r="N104" s="24"/>
      <c r="O104" s="24"/>
      <c r="P104" s="24"/>
      <c r="Q104" s="24"/>
      <c r="R104" s="24"/>
      <c r="S104" s="24"/>
      <c r="T104" s="24"/>
      <c r="U104" s="24"/>
      <c r="V104" s="24"/>
      <c r="W104" s="24"/>
      <c r="X104" s="24"/>
      <c r="Y104" s="24"/>
      <c r="Z104" s="24"/>
    </row>
    <row r="105" ht="15.5" customHeight="1" spans="1:26">
      <c r="A105" s="24">
        <v>94</v>
      </c>
      <c r="B105" s="24" t="s">
        <v>486</v>
      </c>
      <c r="C105" s="24">
        <f>ExtractRole!A5</f>
        <v>8</v>
      </c>
      <c r="D105" s="24">
        <f>ExtractRole!C5</f>
        <v>0</v>
      </c>
      <c r="E105" s="24">
        <f>ExtractRole!F5</f>
        <v>0</v>
      </c>
      <c r="F105" s="24">
        <f>ExtractRole!L5</f>
        <v>3</v>
      </c>
      <c r="G105" s="24">
        <f>ExtractRole!M5</f>
        <v>5</v>
      </c>
      <c r="H105" s="24">
        <f>ExtractRole!N5</f>
        <v>0</v>
      </c>
      <c r="I105" s="24">
        <f>ExtractRole!O5</f>
        <v>8</v>
      </c>
      <c r="J105" s="24"/>
      <c r="K105" s="24"/>
      <c r="L105" s="24"/>
      <c r="M105" s="24"/>
      <c r="N105" s="24"/>
      <c r="O105" s="24"/>
      <c r="P105" s="24"/>
      <c r="Q105" s="24"/>
      <c r="R105" s="24"/>
      <c r="S105" s="24"/>
      <c r="T105" s="24"/>
      <c r="U105" s="24"/>
      <c r="V105" s="24"/>
      <c r="W105" s="24"/>
      <c r="X105" s="24"/>
      <c r="Y105" s="24"/>
      <c r="Z105" s="24"/>
    </row>
    <row r="106" ht="15.5" customHeight="1" spans="1:26">
      <c r="A106" s="24">
        <v>95</v>
      </c>
      <c r="B106" s="24" t="s">
        <v>490</v>
      </c>
      <c r="C106" s="24">
        <f>IsJdCitation!A5</f>
        <v>8</v>
      </c>
      <c r="D106" s="24">
        <f>IsJdCitation!C5</f>
        <v>0</v>
      </c>
      <c r="E106" s="24">
        <f>IsJdCitation!F5</f>
        <v>0</v>
      </c>
      <c r="F106" s="24">
        <f>IsJdCitation!L5</f>
        <v>5</v>
      </c>
      <c r="G106" s="24">
        <f>IsJdCitation!M5</f>
        <v>0</v>
      </c>
      <c r="H106" s="24">
        <f>IsJdCitation!N5</f>
        <v>3</v>
      </c>
      <c r="I106" s="24">
        <f>IsJdCitation!O5</f>
        <v>8</v>
      </c>
      <c r="J106" s="24"/>
      <c r="K106" s="24"/>
      <c r="L106" s="24"/>
      <c r="M106" s="24"/>
      <c r="N106" s="24"/>
      <c r="O106" s="24"/>
      <c r="P106" s="24"/>
      <c r="Q106" s="24"/>
      <c r="R106" s="24"/>
      <c r="S106" s="24"/>
      <c r="T106" s="24"/>
      <c r="U106" s="24"/>
      <c r="V106" s="24"/>
      <c r="W106" s="24"/>
      <c r="X106" s="24"/>
      <c r="Y106" s="24"/>
      <c r="Z106" s="24"/>
    </row>
    <row r="107" ht="15.5" customHeight="1" spans="1:26">
      <c r="A107" s="24">
        <v>96</v>
      </c>
      <c r="B107" s="24" t="s">
        <v>494</v>
      </c>
      <c r="C107" s="24">
        <f>SortAndInjectJdCitation!A5</f>
        <v>4</v>
      </c>
      <c r="D107" s="24">
        <f>SortAndInjectJdCitation!C5</f>
        <v>0</v>
      </c>
      <c r="E107" s="24">
        <f>SortAndInjectJdCitation!F5</f>
        <v>0</v>
      </c>
      <c r="F107" s="24">
        <f>SortAndInjectJdCitation!L5</f>
        <v>3</v>
      </c>
      <c r="G107" s="24">
        <f>SortAndInjectJdCitation!M5</f>
        <v>1</v>
      </c>
      <c r="H107" s="24">
        <f>SortAndInjectJdCitation!N5</f>
        <v>0</v>
      </c>
      <c r="I107" s="24">
        <f>SortAndInjectJdCitation!O5</f>
        <v>4</v>
      </c>
      <c r="J107" s="24"/>
      <c r="K107" s="24"/>
      <c r="L107" s="24"/>
      <c r="M107" s="24"/>
      <c r="N107" s="24"/>
      <c r="O107" s="24"/>
      <c r="P107" s="24"/>
      <c r="Q107" s="24"/>
      <c r="R107" s="24"/>
      <c r="S107" s="24"/>
      <c r="T107" s="24"/>
      <c r="U107" s="24"/>
      <c r="V107" s="24"/>
      <c r="W107" s="24"/>
      <c r="X107" s="24"/>
      <c r="Y107" s="24"/>
      <c r="Z107" s="24"/>
    </row>
    <row r="108" ht="15.5" customHeight="1" spans="1:26">
      <c r="A108" s="24">
        <v>97</v>
      </c>
      <c r="B108" s="24" t="s">
        <v>498</v>
      </c>
      <c r="C108" s="24">
        <f>FormatCitationExcerptAndDisplay!A5</f>
        <v>6</v>
      </c>
      <c r="D108" s="24">
        <f>FormatCitationExcerptAndDisplay!C5</f>
        <v>0</v>
      </c>
      <c r="E108" s="24">
        <f>FormatCitationExcerptAndDisplay!F5</f>
        <v>0</v>
      </c>
      <c r="F108" s="24">
        <f>FormatCitationExcerptAndDisplay!L5</f>
        <v>3</v>
      </c>
      <c r="G108" s="24">
        <f>FormatCitationExcerptAndDisplay!M5</f>
        <v>1</v>
      </c>
      <c r="H108" s="24">
        <f>FormatCitationExcerptAndDisplay!N5</f>
        <v>2</v>
      </c>
      <c r="I108" s="24">
        <f>FormatCitationExcerptAndDisplay!O5</f>
        <v>6</v>
      </c>
      <c r="J108" s="24"/>
      <c r="K108" s="24"/>
      <c r="L108" s="24"/>
      <c r="M108" s="24"/>
      <c r="N108" s="24"/>
      <c r="O108" s="24"/>
      <c r="P108" s="24"/>
      <c r="Q108" s="24"/>
      <c r="R108" s="24"/>
      <c r="S108" s="24"/>
      <c r="T108" s="24"/>
      <c r="U108" s="24"/>
      <c r="V108" s="24"/>
      <c r="W108" s="24"/>
      <c r="X108" s="24"/>
      <c r="Y108" s="24"/>
      <c r="Z108" s="24"/>
    </row>
    <row r="109" ht="15.5" customHeight="1" spans="1:26">
      <c r="A109" s="24">
        <v>98</v>
      </c>
      <c r="B109" s="24" t="s">
        <v>505</v>
      </c>
      <c r="C109" s="24">
        <f>FormatXp!A5</f>
        <v>2</v>
      </c>
      <c r="D109" s="24">
        <f>FormatXp!C5</f>
        <v>0</v>
      </c>
      <c r="E109" s="24">
        <f>FormatXp!F5</f>
        <v>0</v>
      </c>
      <c r="F109" s="24">
        <f>FormatXp!L5</f>
        <v>1</v>
      </c>
      <c r="G109" s="24">
        <f>FormatXp!M5</f>
        <v>0</v>
      </c>
      <c r="H109" s="24">
        <f>FormatXp!N5</f>
        <v>1</v>
      </c>
      <c r="I109" s="24">
        <f>FormatXp!O5</f>
        <v>2</v>
      </c>
      <c r="J109" s="24"/>
      <c r="K109" s="24"/>
      <c r="L109" s="24"/>
      <c r="M109" s="24"/>
      <c r="N109" s="24"/>
      <c r="O109" s="24"/>
      <c r="P109" s="24"/>
      <c r="Q109" s="24"/>
      <c r="R109" s="24"/>
      <c r="S109" s="24"/>
      <c r="T109" s="24"/>
      <c r="U109" s="24"/>
      <c r="V109" s="24"/>
      <c r="W109" s="24"/>
      <c r="X109" s="24"/>
      <c r="Y109" s="24"/>
      <c r="Z109" s="24"/>
    </row>
    <row r="110" ht="15.5" customHeight="1" spans="1:26">
      <c r="A110" s="24">
        <v>99</v>
      </c>
      <c r="B110" s="24" t="s">
        <v>509</v>
      </c>
      <c r="C110" s="24">
        <f>GetLevelLabel!A5</f>
        <v>6</v>
      </c>
      <c r="D110" s="24">
        <f>GetLevelLabel!C5</f>
        <v>0</v>
      </c>
      <c r="E110" s="24">
        <f>GetLevelLabel!F5</f>
        <v>0</v>
      </c>
      <c r="F110" s="24">
        <f>GetLevelLabel!L5</f>
        <v>6</v>
      </c>
      <c r="G110" s="24">
        <f>GetLevelLabel!M5</f>
        <v>0</v>
      </c>
      <c r="H110" s="24">
        <f>GetLevelLabel!N5</f>
        <v>0</v>
      </c>
      <c r="I110" s="24">
        <f>GetLevelLabel!O5</f>
        <v>6</v>
      </c>
      <c r="J110" s="24"/>
      <c r="K110" s="24"/>
      <c r="L110" s="24"/>
      <c r="M110" s="24"/>
      <c r="N110" s="24"/>
      <c r="O110" s="24"/>
      <c r="P110" s="24"/>
      <c r="Q110" s="24"/>
      <c r="R110" s="24"/>
      <c r="S110" s="24"/>
      <c r="T110" s="24"/>
      <c r="U110" s="24"/>
      <c r="V110" s="24"/>
      <c r="W110" s="24"/>
      <c r="X110" s="24"/>
      <c r="Y110" s="24"/>
      <c r="Z110" s="24"/>
    </row>
    <row r="111" ht="15.5" customHeight="1" spans="1:26">
      <c r="A111" s="24">
        <v>100</v>
      </c>
      <c r="B111" s="24" t="s">
        <v>513</v>
      </c>
      <c r="C111" s="24">
        <f>LevelColorAndStreakIntensity!A5</f>
        <v>7</v>
      </c>
      <c r="D111" s="24">
        <f>LevelColorAndStreakIntensity!C5</f>
        <v>0</v>
      </c>
      <c r="E111" s="24">
        <f>LevelColorAndStreakIntensity!F5</f>
        <v>0</v>
      </c>
      <c r="F111" s="24">
        <f>LevelColorAndStreakIntensity!L5</f>
        <v>5</v>
      </c>
      <c r="G111" s="24">
        <f>LevelColorAndStreakIntensity!M5</f>
        <v>0</v>
      </c>
      <c r="H111" s="24">
        <f>LevelColorAndStreakIntensity!N5</f>
        <v>2</v>
      </c>
      <c r="I111" s="24">
        <f>LevelColorAndStreakIntensity!O5</f>
        <v>7</v>
      </c>
      <c r="J111" s="24"/>
      <c r="K111" s="24"/>
      <c r="L111" s="24"/>
      <c r="M111" s="24"/>
      <c r="N111" s="24"/>
      <c r="O111" s="24"/>
      <c r="P111" s="24"/>
      <c r="Q111" s="24"/>
      <c r="R111" s="24"/>
      <c r="S111" s="24"/>
      <c r="T111" s="24"/>
      <c r="U111" s="24"/>
      <c r="V111" s="24"/>
      <c r="W111" s="24"/>
      <c r="X111" s="24"/>
      <c r="Y111" s="24"/>
      <c r="Z111" s="24"/>
    </row>
    <row r="112" ht="15.5" customHeight="1" spans="1:26">
      <c r="A112" s="24">
        <v>101</v>
      </c>
      <c r="B112" s="24" t="s">
        <v>517</v>
      </c>
      <c r="C112" s="24">
        <f>XpRewardTypeLabel!A5</f>
        <v>3</v>
      </c>
      <c r="D112" s="24">
        <f>XpRewardTypeLabel!C5</f>
        <v>0</v>
      </c>
      <c r="E112" s="24">
        <f>XpRewardTypeLabel!F5</f>
        <v>0</v>
      </c>
      <c r="F112" s="24">
        <f>XpRewardTypeLabel!L5</f>
        <v>2</v>
      </c>
      <c r="G112" s="24">
        <f>XpRewardTypeLabel!M5</f>
        <v>1</v>
      </c>
      <c r="H112" s="24">
        <f>XpRewardTypeLabel!N5</f>
        <v>0</v>
      </c>
      <c r="I112" s="24">
        <f>XpRewardTypeLabel!O5</f>
        <v>3</v>
      </c>
      <c r="J112" s="24"/>
      <c r="K112" s="24"/>
      <c r="L112" s="24"/>
      <c r="M112" s="24"/>
      <c r="N112" s="24"/>
      <c r="O112" s="24"/>
      <c r="P112" s="24"/>
      <c r="Q112" s="24"/>
      <c r="R112" s="24"/>
      <c r="S112" s="24"/>
      <c r="T112" s="24"/>
      <c r="U112" s="24"/>
      <c r="V112" s="24"/>
      <c r="W112" s="24"/>
      <c r="X112" s="24"/>
      <c r="Y112" s="24"/>
      <c r="Z112" s="24"/>
    </row>
    <row r="113" ht="15.5" customHeight="1" spans="1:26">
      <c r="A113" s="24">
        <v>102</v>
      </c>
      <c r="B113" s="24" t="s">
        <v>521</v>
      </c>
      <c r="C113" s="24">
        <f>TimeAgo!A5</f>
        <v>10</v>
      </c>
      <c r="D113" s="24">
        <f>TimeAgo!C5</f>
        <v>0</v>
      </c>
      <c r="E113" s="24">
        <f>TimeAgo!F5</f>
        <v>0</v>
      </c>
      <c r="F113" s="24">
        <f>TimeAgo!L5</f>
        <v>6</v>
      </c>
      <c r="G113" s="24">
        <f>TimeAgo!M5</f>
        <v>0</v>
      </c>
      <c r="H113" s="24">
        <f>TimeAgo!N5</f>
        <v>4</v>
      </c>
      <c r="I113" s="24">
        <f>TimeAgo!O5</f>
        <v>10</v>
      </c>
      <c r="J113" s="24"/>
      <c r="K113" s="24"/>
      <c r="L113" s="24"/>
      <c r="M113" s="24"/>
      <c r="N113" s="24"/>
      <c r="O113" s="24"/>
      <c r="P113" s="24"/>
      <c r="Q113" s="24"/>
      <c r="R113" s="24"/>
      <c r="S113" s="24"/>
      <c r="T113" s="24"/>
      <c r="U113" s="24"/>
      <c r="V113" s="24"/>
      <c r="W113" s="24"/>
      <c r="X113" s="24"/>
      <c r="Y113" s="24"/>
      <c r="Z113" s="24"/>
    </row>
    <row r="114" ht="15.5" customHeight="1" spans="1:26">
      <c r="A114" s="24">
        <v>103</v>
      </c>
      <c r="B114" s="24" t="s">
        <v>525</v>
      </c>
      <c r="C114" s="24">
        <f>GetLoginWelcomeRoleFromRedirect!A5</f>
        <v>4</v>
      </c>
      <c r="D114" s="24">
        <f>GetLoginWelcomeRoleFromRedirect!C5</f>
        <v>0</v>
      </c>
      <c r="E114" s="24">
        <f>GetLoginWelcomeRoleFromRedirect!F5</f>
        <v>0</v>
      </c>
      <c r="F114" s="24">
        <f>GetLoginWelcomeRoleFromRedirect!L5</f>
        <v>3</v>
      </c>
      <c r="G114" s="24">
        <f>GetLoginWelcomeRoleFromRedirect!M5</f>
        <v>0</v>
      </c>
      <c r="H114" s="24">
        <f>GetLoginWelcomeRoleFromRedirect!N5</f>
        <v>1</v>
      </c>
      <c r="I114" s="24">
        <f>GetLoginWelcomeRoleFromRedirect!O5</f>
        <v>4</v>
      </c>
      <c r="J114" s="24"/>
      <c r="K114" s="24"/>
      <c r="L114" s="24"/>
      <c r="M114" s="24"/>
      <c r="N114" s="24"/>
      <c r="O114" s="24"/>
      <c r="P114" s="24"/>
      <c r="Q114" s="24"/>
      <c r="R114" s="24"/>
      <c r="S114" s="24"/>
      <c r="T114" s="24"/>
      <c r="U114" s="24"/>
      <c r="V114" s="24"/>
      <c r="W114" s="24"/>
      <c r="X114" s="24"/>
      <c r="Y114" s="24"/>
      <c r="Z114" s="24"/>
    </row>
    <row r="115" ht="15.5" customHeight="1" spans="1:26">
      <c r="A115" s="24">
        <v>104</v>
      </c>
      <c r="B115" s="24" t="s">
        <v>529</v>
      </c>
      <c r="C115" s="24">
        <f>LoginWelcomePendingFlagRoundTri!A5</f>
        <v>1</v>
      </c>
      <c r="D115" s="24">
        <f>LoginWelcomePendingFlagRoundTri!C5</f>
        <v>0</v>
      </c>
      <c r="E115" s="24">
        <f>LoginWelcomePendingFlagRoundTri!F5</f>
        <v>0</v>
      </c>
      <c r="F115" s="24">
        <f>LoginWelcomePendingFlagRoundTri!L5</f>
        <v>1</v>
      </c>
      <c r="G115" s="24">
        <f>LoginWelcomePendingFlagRoundTri!M5</f>
        <v>0</v>
      </c>
      <c r="H115" s="24">
        <f>LoginWelcomePendingFlagRoundTri!N5</f>
        <v>0</v>
      </c>
      <c r="I115" s="24">
        <f>LoginWelcomePendingFlagRoundTri!O5</f>
        <v>1</v>
      </c>
      <c r="J115" s="24"/>
      <c r="K115" s="24"/>
      <c r="L115" s="24"/>
      <c r="M115" s="24"/>
      <c r="N115" s="24"/>
      <c r="O115" s="24"/>
      <c r="P115" s="24"/>
      <c r="Q115" s="24"/>
      <c r="R115" s="24"/>
      <c r="S115" s="24"/>
      <c r="T115" s="24"/>
      <c r="U115" s="24"/>
      <c r="V115" s="24"/>
      <c r="W115" s="24"/>
      <c r="X115" s="24"/>
      <c r="Y115" s="24"/>
      <c r="Z115" s="24"/>
    </row>
    <row r="116" ht="15.5" customHeight="1" spans="1:26">
      <c r="A116" s="24">
        <v>105</v>
      </c>
      <c r="B116" s="24" t="s">
        <v>534</v>
      </c>
      <c r="C116" s="24">
        <f>SaveAndGetLocalSession!A5</f>
        <v>2</v>
      </c>
      <c r="D116" s="24">
        <f>SaveAndGetLocalSession!C5</f>
        <v>0</v>
      </c>
      <c r="E116" s="24">
        <f>SaveAndGetLocalSession!F5</f>
        <v>0</v>
      </c>
      <c r="F116" s="24">
        <f>SaveAndGetLocalSession!L5</f>
        <v>2</v>
      </c>
      <c r="G116" s="24">
        <f>SaveAndGetLocalSession!M5</f>
        <v>0</v>
      </c>
      <c r="H116" s="24">
        <f>SaveAndGetLocalSession!N5</f>
        <v>0</v>
      </c>
      <c r="I116" s="24">
        <f>SaveAndGetLocalSession!O5</f>
        <v>2</v>
      </c>
      <c r="J116" s="24"/>
      <c r="K116" s="24"/>
      <c r="L116" s="24"/>
      <c r="M116" s="24"/>
      <c r="N116" s="24"/>
      <c r="O116" s="24"/>
      <c r="P116" s="24"/>
      <c r="Q116" s="24"/>
      <c r="R116" s="24"/>
      <c r="S116" s="24"/>
      <c r="T116" s="24"/>
      <c r="U116" s="24"/>
      <c r="V116" s="24"/>
      <c r="W116" s="24"/>
      <c r="X116" s="24"/>
      <c r="Y116" s="24"/>
      <c r="Z116" s="24"/>
    </row>
    <row r="117" ht="15.5" customHeight="1" spans="1:26">
      <c r="A117" s="24">
        <v>106</v>
      </c>
      <c r="B117" s="24" t="s">
        <v>538</v>
      </c>
      <c r="C117" s="24">
        <f>PatchAndUpdateLocalSession!A5</f>
        <v>3</v>
      </c>
      <c r="D117" s="24">
        <f>PatchAndUpdateLocalSession!C5</f>
        <v>0</v>
      </c>
      <c r="E117" s="24">
        <f>PatchAndUpdateLocalSession!F5</f>
        <v>0</v>
      </c>
      <c r="F117" s="24">
        <f>PatchAndUpdateLocalSession!L5</f>
        <v>2</v>
      </c>
      <c r="G117" s="24">
        <f>PatchAndUpdateLocalSession!M5</f>
        <v>1</v>
      </c>
      <c r="H117" s="24">
        <f>PatchAndUpdateLocalSession!N5</f>
        <v>0</v>
      </c>
      <c r="I117" s="24">
        <f>PatchAndUpdateLocalSession!O5</f>
        <v>3</v>
      </c>
      <c r="J117" s="24"/>
      <c r="K117" s="24"/>
      <c r="L117" s="24"/>
      <c r="M117" s="24"/>
      <c r="N117" s="24"/>
      <c r="O117" s="24"/>
      <c r="P117" s="24"/>
      <c r="Q117" s="24"/>
      <c r="R117" s="24"/>
      <c r="S117" s="24"/>
      <c r="T117" s="24"/>
      <c r="U117" s="24"/>
      <c r="V117" s="24"/>
      <c r="W117" s="24"/>
      <c r="X117" s="24"/>
      <c r="Y117" s="24"/>
      <c r="Z117" s="24"/>
    </row>
    <row r="118" ht="15.5" customHeight="1" spans="1:26">
      <c r="A118" s="24">
        <v>107</v>
      </c>
      <c r="B118" s="24" t="s">
        <v>542</v>
      </c>
      <c r="C118" s="24">
        <f>ToGenerationSessionAndMalformed!A5</f>
        <v>2</v>
      </c>
      <c r="D118" s="24">
        <f>ToGenerationSessionAndMalformed!C5</f>
        <v>0</v>
      </c>
      <c r="E118" s="24">
        <f>ToGenerationSessionAndMalformed!F5</f>
        <v>0</v>
      </c>
      <c r="F118" s="24">
        <f>ToGenerationSessionAndMalformed!L5</f>
        <v>1</v>
      </c>
      <c r="G118" s="24">
        <f>ToGenerationSessionAndMalformed!M5</f>
        <v>1</v>
      </c>
      <c r="H118" s="24">
        <f>ToGenerationSessionAndMalformed!N5</f>
        <v>0</v>
      </c>
      <c r="I118" s="24">
        <f>ToGenerationSessionAndMalformed!O5</f>
        <v>2</v>
      </c>
      <c r="J118" s="24"/>
      <c r="K118" s="24"/>
      <c r="L118" s="24"/>
      <c r="M118" s="24"/>
      <c r="N118" s="24"/>
      <c r="O118" s="24"/>
      <c r="P118" s="24"/>
      <c r="Q118" s="24"/>
      <c r="R118" s="24"/>
      <c r="S118" s="24"/>
      <c r="T118" s="24"/>
      <c r="U118" s="24"/>
      <c r="V118" s="24"/>
      <c r="W118" s="24"/>
      <c r="X118" s="24"/>
      <c r="Y118" s="24"/>
      <c r="Z118" s="24"/>
    </row>
    <row r="119" ht="15.5" customHeight="1" spans="1:26">
      <c r="A119" s="24">
        <v>108</v>
      </c>
      <c r="B119" s="24" t="s">
        <v>549</v>
      </c>
      <c r="C119" s="24">
        <f>ValidateAvatarFile!A5</f>
        <v>3</v>
      </c>
      <c r="D119" s="24">
        <f>ValidateAvatarFile!C5</f>
        <v>0</v>
      </c>
      <c r="E119" s="24">
        <f>ValidateAvatarFile!F5</f>
        <v>0</v>
      </c>
      <c r="F119" s="24">
        <f>ValidateAvatarFile!L5</f>
        <v>1</v>
      </c>
      <c r="G119" s="24">
        <f>ValidateAvatarFile!M5</f>
        <v>1</v>
      </c>
      <c r="H119" s="24">
        <f>ValidateAvatarFile!N5</f>
        <v>1</v>
      </c>
      <c r="I119" s="24">
        <f>ValidateAvatarFile!O5</f>
        <v>3</v>
      </c>
      <c r="J119" s="24"/>
      <c r="K119" s="24"/>
      <c r="L119" s="24"/>
      <c r="M119" s="24"/>
      <c r="N119" s="24"/>
      <c r="O119" s="24"/>
      <c r="P119" s="24"/>
      <c r="Q119" s="24"/>
      <c r="R119" s="24"/>
      <c r="S119" s="24"/>
      <c r="T119" s="24"/>
      <c r="U119" s="24"/>
      <c r="V119" s="24"/>
      <c r="W119" s="24"/>
      <c r="X119" s="24"/>
      <c r="Y119" s="24"/>
      <c r="Z119" s="24"/>
    </row>
    <row r="120" ht="15.5" customHeight="1" spans="1:26">
      <c r="A120" s="24">
        <v>109</v>
      </c>
      <c r="B120" s="24" t="s">
        <v>553</v>
      </c>
      <c r="C120" s="24">
        <f>ComputeStreakDays!A5</f>
        <v>8</v>
      </c>
      <c r="D120" s="24">
        <f>ComputeStreakDays!C5</f>
        <v>0</v>
      </c>
      <c r="E120" s="24">
        <f>ComputeStreakDays!F5</f>
        <v>0</v>
      </c>
      <c r="F120" s="24">
        <f>ComputeStreakDays!L5</f>
        <v>3</v>
      </c>
      <c r="G120" s="24">
        <f>ComputeStreakDays!M5</f>
        <v>2</v>
      </c>
      <c r="H120" s="24">
        <f>ComputeStreakDays!N5</f>
        <v>3</v>
      </c>
      <c r="I120" s="24">
        <f>ComputeStreakDays!O5</f>
        <v>8</v>
      </c>
      <c r="J120" s="24"/>
      <c r="K120" s="24"/>
      <c r="L120" s="24"/>
      <c r="M120" s="24"/>
      <c r="N120" s="24"/>
      <c r="O120" s="24"/>
      <c r="P120" s="24"/>
      <c r="Q120" s="24"/>
      <c r="R120" s="24"/>
      <c r="S120" s="24"/>
      <c r="T120" s="24"/>
      <c r="U120" s="24"/>
      <c r="V120" s="24"/>
      <c r="W120" s="24"/>
      <c r="X120" s="24"/>
      <c r="Y120" s="24"/>
      <c r="Z120" s="24"/>
    </row>
    <row r="121" ht="15.5" customHeight="1" spans="1:26">
      <c r="A121" s="24">
        <v>110</v>
      </c>
      <c r="B121" s="24" t="s">
        <v>557</v>
      </c>
      <c r="C121" s="24">
        <f>TranslateDimensionKeyAndCategor!A5</f>
        <v>4</v>
      </c>
      <c r="D121" s="24">
        <f>TranslateDimensionKeyAndCategor!C5</f>
        <v>0</v>
      </c>
      <c r="E121" s="24">
        <f>TranslateDimensionKeyAndCategor!F5</f>
        <v>0</v>
      </c>
      <c r="F121" s="24">
        <f>TranslateDimensionKeyAndCategor!L5</f>
        <v>2</v>
      </c>
      <c r="G121" s="24">
        <f>TranslateDimensionKeyAndCategor!M5</f>
        <v>2</v>
      </c>
      <c r="H121" s="24">
        <f>TranslateDimensionKeyAndCategor!N5</f>
        <v>0</v>
      </c>
      <c r="I121" s="24">
        <f>TranslateDimensionKeyAndCategor!O5</f>
        <v>4</v>
      </c>
      <c r="J121" s="24"/>
      <c r="K121" s="24"/>
      <c r="L121" s="24"/>
      <c r="M121" s="24"/>
      <c r="N121" s="24"/>
      <c r="O121" s="24"/>
      <c r="P121" s="24"/>
      <c r="Q121" s="24"/>
      <c r="R121" s="24"/>
      <c r="S121" s="24"/>
      <c r="T121" s="24"/>
      <c r="U121" s="24"/>
      <c r="V121" s="24"/>
      <c r="W121" s="24"/>
      <c r="X121" s="24"/>
      <c r="Y121" s="24"/>
      <c r="Z121" s="24"/>
    </row>
    <row r="122" ht="15.5" customHeight="1" spans="1:26">
      <c r="A122" s="24">
        <v>111</v>
      </c>
      <c r="B122" s="24" t="s">
        <v>562</v>
      </c>
      <c r="C122" s="24">
        <f>CompanyInitialsAndColor!A5</f>
        <v>4</v>
      </c>
      <c r="D122" s="24">
        <f>CompanyInitialsAndColor!C5</f>
        <v>0</v>
      </c>
      <c r="E122" s="24">
        <f>CompanyInitialsAndColor!F5</f>
        <v>0</v>
      </c>
      <c r="F122" s="24">
        <f>CompanyInitialsAndColor!L5</f>
        <v>3</v>
      </c>
      <c r="G122" s="24">
        <f>CompanyInitialsAndColor!M5</f>
        <v>1</v>
      </c>
      <c r="H122" s="24">
        <f>CompanyInitialsAndColor!N5</f>
        <v>0</v>
      </c>
      <c r="I122" s="24">
        <f>CompanyInitialsAndColor!O5</f>
        <v>4</v>
      </c>
      <c r="J122" s="24"/>
      <c r="K122" s="24"/>
      <c r="L122" s="24"/>
      <c r="M122" s="24"/>
      <c r="N122" s="24"/>
      <c r="O122" s="24"/>
      <c r="P122" s="24"/>
      <c r="Q122" s="24"/>
      <c r="R122" s="24"/>
      <c r="S122" s="24"/>
      <c r="T122" s="24"/>
      <c r="U122" s="24"/>
      <c r="V122" s="24"/>
      <c r="W122" s="24"/>
      <c r="X122" s="24"/>
      <c r="Y122" s="24"/>
      <c r="Z122" s="24"/>
    </row>
    <row r="123" ht="15.5" customHeight="1" spans="1:26">
      <c r="A123" s="24">
        <v>112</v>
      </c>
      <c r="B123" s="24" t="s">
        <v>566</v>
      </c>
      <c r="C123" s="24">
        <f>ToBackendRoleFilterAndNormalize!A5</f>
        <v>2</v>
      </c>
      <c r="D123" s="24">
        <f>ToBackendRoleFilterAndNormalize!C5</f>
        <v>0</v>
      </c>
      <c r="E123" s="24">
        <f>ToBackendRoleFilterAndNormalize!F5</f>
        <v>0</v>
      </c>
      <c r="F123" s="24">
        <f>ToBackendRoleFilterAndNormalize!L5</f>
        <v>2</v>
      </c>
      <c r="G123" s="24">
        <f>ToBackendRoleFilterAndNormalize!M5</f>
        <v>0</v>
      </c>
      <c r="H123" s="24">
        <f>ToBackendRoleFilterAndNormalize!N5</f>
        <v>0</v>
      </c>
      <c r="I123" s="24">
        <f>ToBackendRoleFilterAndNormalize!O5</f>
        <v>2</v>
      </c>
      <c r="J123" s="24"/>
      <c r="K123" s="24"/>
      <c r="L123" s="24"/>
      <c r="M123" s="24"/>
      <c r="N123" s="24"/>
      <c r="O123" s="24"/>
      <c r="P123" s="24"/>
      <c r="Q123" s="24"/>
      <c r="R123" s="24"/>
      <c r="S123" s="24"/>
      <c r="T123" s="24"/>
      <c r="U123" s="24"/>
      <c r="V123" s="24"/>
      <c r="W123" s="24"/>
      <c r="X123" s="24"/>
      <c r="Y123" s="24"/>
      <c r="Z123" s="24"/>
    </row>
    <row r="124" ht="15.5" customHeight="1" spans="1:26">
      <c r="A124" s="24">
        <v>113</v>
      </c>
      <c r="B124" s="24" t="s">
        <v>571</v>
      </c>
      <c r="C124" s="24">
        <f>GetAdminUserStatusAndIsAdminRol!A5</f>
        <v>7</v>
      </c>
      <c r="D124" s="24">
        <f>GetAdminUserStatusAndIsAdminRol!C5</f>
        <v>0</v>
      </c>
      <c r="E124" s="24">
        <f>GetAdminUserStatusAndIsAdminRol!F5</f>
        <v>0</v>
      </c>
      <c r="F124" s="24">
        <f>GetAdminUserStatusAndIsAdminRol!L5</f>
        <v>5</v>
      </c>
      <c r="G124" s="24">
        <f>GetAdminUserStatusAndIsAdminRol!M5</f>
        <v>1</v>
      </c>
      <c r="H124" s="24">
        <f>GetAdminUserStatusAndIsAdminRol!N5</f>
        <v>1</v>
      </c>
      <c r="I124" s="24">
        <f>GetAdminUserStatusAndIsAdminRol!O5</f>
        <v>7</v>
      </c>
      <c r="J124" s="24"/>
      <c r="K124" s="24"/>
      <c r="L124" s="24"/>
      <c r="M124" s="24"/>
      <c r="N124" s="24"/>
      <c r="O124" s="24"/>
      <c r="P124" s="24"/>
      <c r="Q124" s="24"/>
      <c r="R124" s="24"/>
      <c r="S124" s="24"/>
      <c r="T124" s="24"/>
      <c r="U124" s="24"/>
      <c r="V124" s="24"/>
      <c r="W124" s="24"/>
      <c r="X124" s="24"/>
      <c r="Y124" s="24"/>
      <c r="Z124" s="24"/>
    </row>
    <row r="125" ht="15.5" customHeight="1" spans="1:26">
      <c r="A125" s="24">
        <v>114</v>
      </c>
      <c r="B125" s="24" t="s">
        <v>576</v>
      </c>
      <c r="C125" s="24">
        <f>BadgeClassAndCategoryLabelHelpe!A5</f>
        <v>4</v>
      </c>
      <c r="D125" s="24">
        <f>BadgeClassAndCategoryLabelHelpe!C5</f>
        <v>0</v>
      </c>
      <c r="E125" s="24">
        <f>BadgeClassAndCategoryLabelHelpe!F5</f>
        <v>0</v>
      </c>
      <c r="F125" s="24">
        <f>BadgeClassAndCategoryLabelHelpe!L5</f>
        <v>3</v>
      </c>
      <c r="G125" s="24">
        <f>BadgeClassAndCategoryLabelHelpe!M5</f>
        <v>1</v>
      </c>
      <c r="H125" s="24">
        <f>BadgeClassAndCategoryLabelHelpe!N5</f>
        <v>0</v>
      </c>
      <c r="I125" s="24">
        <f>BadgeClassAndCategoryLabelHelpe!O5</f>
        <v>4</v>
      </c>
      <c r="J125" s="24"/>
      <c r="K125" s="24"/>
      <c r="L125" s="24"/>
      <c r="M125" s="24"/>
      <c r="N125" s="24"/>
      <c r="O125" s="24"/>
      <c r="P125" s="24"/>
      <c r="Q125" s="24"/>
      <c r="R125" s="24"/>
      <c r="S125" s="24"/>
      <c r="T125" s="24"/>
      <c r="U125" s="24"/>
      <c r="V125" s="24"/>
      <c r="W125" s="24"/>
      <c r="X125" s="24"/>
      <c r="Y125" s="24"/>
      <c r="Z125" s="24"/>
    </row>
    <row r="126" ht="15.5" customHeight="1" spans="1:26">
      <c r="A126" s="24">
        <v>115</v>
      </c>
      <c r="B126" s="24" t="s">
        <v>581</v>
      </c>
      <c r="C126" s="24">
        <f>ScoreBadgeClassAndScoreLevel!A5</f>
        <v>7</v>
      </c>
      <c r="D126" s="24">
        <f>ScoreBadgeClassAndScoreLevel!C5</f>
        <v>0</v>
      </c>
      <c r="E126" s="24">
        <f>ScoreBadgeClassAndScoreLevel!F5</f>
        <v>0</v>
      </c>
      <c r="F126" s="24">
        <f>ScoreBadgeClassAndScoreLevel!L5</f>
        <v>6</v>
      </c>
      <c r="G126" s="24">
        <f>ScoreBadgeClassAndScoreLevel!M5</f>
        <v>0</v>
      </c>
      <c r="H126" s="24">
        <f>ScoreBadgeClassAndScoreLevel!N5</f>
        <v>1</v>
      </c>
      <c r="I126" s="24">
        <f>ScoreBadgeClassAndScoreLevel!O5</f>
        <v>7</v>
      </c>
      <c r="J126" s="24"/>
      <c r="K126" s="24"/>
      <c r="L126" s="24"/>
      <c r="M126" s="24"/>
      <c r="N126" s="24"/>
      <c r="O126" s="24"/>
      <c r="P126" s="24"/>
      <c r="Q126" s="24"/>
      <c r="R126" s="24"/>
      <c r="S126" s="24"/>
      <c r="T126" s="24"/>
      <c r="U126" s="24"/>
      <c r="V126" s="24"/>
      <c r="W126" s="24"/>
      <c r="X126" s="24"/>
      <c r="Y126" s="24"/>
      <c r="Z126" s="24"/>
    </row>
    <row r="127" ht="15.5" customHeight="1" spans="1:26">
      <c r="A127" s="24">
        <v>116</v>
      </c>
      <c r="B127" s="24" t="s">
        <v>587</v>
      </c>
      <c r="C127" s="24">
        <f>TemplateDetectionExplicitAndKey!A5</f>
        <v>8</v>
      </c>
      <c r="D127" s="24">
        <f>TemplateDetectionExplicitAndKey!C5</f>
        <v>0</v>
      </c>
      <c r="E127" s="24">
        <f>TemplateDetectionExplicitAndKey!F5</f>
        <v>0</v>
      </c>
      <c r="F127" s="24">
        <f>TemplateDetectionExplicitAndKey!L5</f>
        <v>5</v>
      </c>
      <c r="G127" s="24">
        <f>TemplateDetectionExplicitAndKey!M5</f>
        <v>1</v>
      </c>
      <c r="H127" s="24">
        <f>TemplateDetectionExplicitAndKey!N5</f>
        <v>2</v>
      </c>
      <c r="I127" s="24">
        <f>TemplateDetectionExplicitAndKey!O5</f>
        <v>8</v>
      </c>
      <c r="J127" s="24"/>
      <c r="K127" s="24"/>
      <c r="L127" s="24"/>
      <c r="M127" s="24"/>
      <c r="N127" s="24"/>
      <c r="O127" s="24"/>
      <c r="P127" s="24"/>
      <c r="Q127" s="24"/>
      <c r="R127" s="24"/>
      <c r="S127" s="24"/>
      <c r="T127" s="24"/>
      <c r="U127" s="24"/>
      <c r="V127" s="24"/>
      <c r="W127" s="24"/>
      <c r="X127" s="24"/>
      <c r="Y127" s="24"/>
      <c r="Z127" s="24"/>
    </row>
    <row r="128" ht="15.5" customHeight="1" spans="1:26">
      <c r="A128" s="24">
        <v>117</v>
      </c>
      <c r="B128" s="24" t="s">
        <v>592</v>
      </c>
      <c r="C128" s="24">
        <f>SnippetExtraction!A5</f>
        <v>6</v>
      </c>
      <c r="D128" s="24">
        <f>SnippetExtraction!C5</f>
        <v>0</v>
      </c>
      <c r="E128" s="24">
        <f>SnippetExtraction!F5</f>
        <v>0</v>
      </c>
      <c r="F128" s="24">
        <f>SnippetExtraction!L5</f>
        <v>4</v>
      </c>
      <c r="G128" s="24">
        <f>SnippetExtraction!M5</f>
        <v>1</v>
      </c>
      <c r="H128" s="24">
        <f>SnippetExtraction!N5</f>
        <v>1</v>
      </c>
      <c r="I128" s="24">
        <f>SnippetExtraction!O5</f>
        <v>6</v>
      </c>
      <c r="J128" s="24"/>
      <c r="K128" s="24"/>
      <c r="L128" s="24"/>
      <c r="M128" s="24"/>
      <c r="N128" s="24"/>
      <c r="O128" s="24"/>
      <c r="P128" s="24"/>
      <c r="Q128" s="24"/>
      <c r="R128" s="24"/>
      <c r="S128" s="24"/>
      <c r="T128" s="24"/>
      <c r="U128" s="24"/>
      <c r="V128" s="24"/>
      <c r="W128" s="24"/>
      <c r="X128" s="24"/>
      <c r="Y128" s="24"/>
      <c r="Z128" s="24"/>
    </row>
    <row r="129" ht="15.5" customHeight="1" spans="1:26">
      <c r="A129" s="24">
        <v>118</v>
      </c>
      <c r="B129" s="24" t="s">
        <v>596</v>
      </c>
      <c r="C129" s="24">
        <f>MetaParsingLangImageDiagramHint!A5</f>
        <v>7</v>
      </c>
      <c r="D129" s="24">
        <f>MetaParsingLangImageDiagramHint!C5</f>
        <v>0</v>
      </c>
      <c r="E129" s="24">
        <f>MetaParsingLangImageDiagramHint!F5</f>
        <v>0</v>
      </c>
      <c r="F129" s="24">
        <f>MetaParsingLangImageDiagramHint!L5</f>
        <v>5</v>
      </c>
      <c r="G129" s="24">
        <f>MetaParsingLangImageDiagramHint!M5</f>
        <v>1</v>
      </c>
      <c r="H129" s="24">
        <f>MetaParsingLangImageDiagramHint!N5</f>
        <v>1</v>
      </c>
      <c r="I129" s="24">
        <f>MetaParsingLangImageDiagramHint!O5</f>
        <v>7</v>
      </c>
      <c r="J129" s="24"/>
      <c r="K129" s="24"/>
      <c r="L129" s="24"/>
      <c r="M129" s="24"/>
      <c r="N129" s="24"/>
      <c r="O129" s="24"/>
      <c r="P129" s="24"/>
      <c r="Q129" s="24"/>
      <c r="R129" s="24"/>
      <c r="S129" s="24"/>
      <c r="T129" s="24"/>
      <c r="U129" s="24"/>
      <c r="V129" s="24"/>
      <c r="W129" s="24"/>
      <c r="X129" s="24"/>
      <c r="Y129" s="24"/>
      <c r="Z129" s="24"/>
    </row>
    <row r="130" ht="15.5" customHeight="1" spans="1:26">
      <c r="A130" s="24">
        <v>119</v>
      </c>
      <c r="B130" s="24" t="s">
        <v>601</v>
      </c>
      <c r="C130" s="24">
        <f>InferGeneratedQuestionTemplate!A5</f>
        <v>5</v>
      </c>
      <c r="D130" s="24">
        <f>InferGeneratedQuestionTemplate!C5</f>
        <v>0</v>
      </c>
      <c r="E130" s="24">
        <f>InferGeneratedQuestionTemplate!F5</f>
        <v>0</v>
      </c>
      <c r="F130" s="24">
        <f>InferGeneratedQuestionTemplate!L5</f>
        <v>2</v>
      </c>
      <c r="G130" s="24">
        <f>InferGeneratedQuestionTemplate!M5</f>
        <v>2</v>
      </c>
      <c r="H130" s="24">
        <f>InferGeneratedQuestionTemplate!N5</f>
        <v>1</v>
      </c>
      <c r="I130" s="24">
        <f>InferGeneratedQuestionTemplate!O5</f>
        <v>5</v>
      </c>
      <c r="J130" s="24"/>
      <c r="K130" s="24"/>
      <c r="L130" s="24"/>
      <c r="M130" s="24"/>
      <c r="N130" s="24"/>
      <c r="O130" s="24"/>
      <c r="P130" s="24"/>
      <c r="Q130" s="24"/>
      <c r="R130" s="24"/>
      <c r="S130" s="24"/>
      <c r="T130" s="24"/>
      <c r="U130" s="24"/>
      <c r="V130" s="24"/>
      <c r="W130" s="24"/>
      <c r="X130" s="24"/>
      <c r="Y130" s="24"/>
      <c r="Z130" s="24"/>
    </row>
    <row r="131" ht="15.5" customHeight="1" spans="1:26">
      <c r="A131" s="24">
        <v>120</v>
      </c>
      <c r="B131" s="24" t="s">
        <v>607</v>
      </c>
      <c r="C131" s="24">
        <f>ChangePasswordClientValidation!A5</f>
        <v>3</v>
      </c>
      <c r="D131" s="24">
        <f>ChangePasswordClientValidation!C5</f>
        <v>0</v>
      </c>
      <c r="E131" s="24">
        <f>ChangePasswordClientValidation!F5</f>
        <v>0</v>
      </c>
      <c r="F131" s="24">
        <f>ChangePasswordClientValidation!L5</f>
        <v>0</v>
      </c>
      <c r="G131" s="24">
        <f>ChangePasswordClientValidation!M5</f>
        <v>2</v>
      </c>
      <c r="H131" s="24">
        <f>ChangePasswordClientValidation!N5</f>
        <v>1</v>
      </c>
      <c r="I131" s="24">
        <f>ChangePasswordClientValidation!O5</f>
        <v>3</v>
      </c>
      <c r="J131" s="24"/>
      <c r="K131" s="24"/>
      <c r="L131" s="24"/>
      <c r="M131" s="24"/>
      <c r="N131" s="24"/>
      <c r="O131" s="24"/>
      <c r="P131" s="24"/>
      <c r="Q131" s="24"/>
      <c r="R131" s="24"/>
      <c r="S131" s="24"/>
      <c r="T131" s="24"/>
      <c r="U131" s="24"/>
      <c r="V131" s="24"/>
      <c r="W131" s="24"/>
      <c r="X131" s="24"/>
      <c r="Y131" s="24"/>
      <c r="Z131" s="24"/>
    </row>
    <row r="132" ht="15.5" customHeight="1" spans="1:26">
      <c r="A132" s="24">
        <v>121</v>
      </c>
      <c r="B132" s="24" t="s">
        <v>611</v>
      </c>
      <c r="C132" s="24">
        <f>ChangePasswordSubmitFlow!A5</f>
        <v>2</v>
      </c>
      <c r="D132" s="24">
        <f>ChangePasswordSubmitFlow!C5</f>
        <v>0</v>
      </c>
      <c r="E132" s="24">
        <f>ChangePasswordSubmitFlow!F5</f>
        <v>0</v>
      </c>
      <c r="F132" s="24">
        <f>ChangePasswordSubmitFlow!L5</f>
        <v>1</v>
      </c>
      <c r="G132" s="24">
        <f>ChangePasswordSubmitFlow!M5</f>
        <v>1</v>
      </c>
      <c r="H132" s="24">
        <f>ChangePasswordSubmitFlow!N5</f>
        <v>0</v>
      </c>
      <c r="I132" s="24">
        <f>ChangePasswordSubmitFlow!O5</f>
        <v>2</v>
      </c>
      <c r="J132" s="24"/>
      <c r="K132" s="24"/>
      <c r="L132" s="24"/>
      <c r="M132" s="24"/>
      <c r="N132" s="24"/>
      <c r="O132" s="24"/>
      <c r="P132" s="24"/>
      <c r="Q132" s="24"/>
      <c r="R132" s="24"/>
      <c r="S132" s="24"/>
      <c r="T132" s="24"/>
      <c r="U132" s="24"/>
      <c r="V132" s="24"/>
      <c r="W132" s="24"/>
      <c r="X132" s="24"/>
      <c r="Y132" s="24"/>
      <c r="Z132" s="24"/>
    </row>
    <row r="133" ht="15.5" customHeight="1" spans="1:26">
      <c r="A133" s="24">
        <v>122</v>
      </c>
      <c r="B133" s="24" t="s">
        <v>615</v>
      </c>
      <c r="C133" s="24">
        <f>XpHistoryStandaloneList!A5</f>
        <v>4</v>
      </c>
      <c r="D133" s="24">
        <f>XpHistoryStandaloneList!C5</f>
        <v>0</v>
      </c>
      <c r="E133" s="24">
        <f>XpHistoryStandaloneList!F5</f>
        <v>0</v>
      </c>
      <c r="F133" s="24">
        <f>XpHistoryStandaloneList!L5</f>
        <v>2</v>
      </c>
      <c r="G133" s="24">
        <f>XpHistoryStandaloneList!M5</f>
        <v>1</v>
      </c>
      <c r="H133" s="24">
        <f>XpHistoryStandaloneList!N5</f>
        <v>1</v>
      </c>
      <c r="I133" s="24">
        <f>XpHistoryStandaloneList!O5</f>
        <v>4</v>
      </c>
      <c r="J133" s="24"/>
      <c r="K133" s="24"/>
      <c r="L133" s="24"/>
      <c r="M133" s="24"/>
      <c r="N133" s="24"/>
      <c r="O133" s="24"/>
      <c r="P133" s="24"/>
      <c r="Q133" s="24"/>
      <c r="R133" s="24"/>
      <c r="S133" s="24"/>
      <c r="T133" s="24"/>
      <c r="U133" s="24"/>
      <c r="V133" s="24"/>
      <c r="W133" s="24"/>
      <c r="X133" s="24"/>
      <c r="Y133" s="24"/>
      <c r="Z133" s="24"/>
    </row>
    <row r="134" ht="15.5" customHeight="1" spans="1:26">
      <c r="A134" s="24">
        <v>123</v>
      </c>
      <c r="B134" s="24" t="s">
        <v>619</v>
      </c>
      <c r="C134" s="24">
        <f>XpHistoryEmbeddedMode!A5</f>
        <v>1</v>
      </c>
      <c r="D134" s="24">
        <f>XpHistoryEmbeddedMode!C5</f>
        <v>0</v>
      </c>
      <c r="E134" s="24">
        <f>XpHistoryEmbeddedMode!F5</f>
        <v>0</v>
      </c>
      <c r="F134" s="24">
        <f>XpHistoryEmbeddedMode!L5</f>
        <v>1</v>
      </c>
      <c r="G134" s="24">
        <f>XpHistoryEmbeddedMode!M5</f>
        <v>0</v>
      </c>
      <c r="H134" s="24">
        <f>XpHistoryEmbeddedMode!N5</f>
        <v>0</v>
      </c>
      <c r="I134" s="24">
        <f>XpHistoryEmbeddedMode!O5</f>
        <v>1</v>
      </c>
      <c r="J134" s="24"/>
      <c r="K134" s="24"/>
      <c r="L134" s="24"/>
      <c r="M134" s="24"/>
      <c r="N134" s="24"/>
      <c r="O134" s="24"/>
      <c r="P134" s="24"/>
      <c r="Q134" s="24"/>
      <c r="R134" s="24"/>
      <c r="S134" s="24"/>
      <c r="T134" s="24"/>
      <c r="U134" s="24"/>
      <c r="V134" s="24"/>
      <c r="W134" s="24"/>
      <c r="X134" s="24"/>
      <c r="Y134" s="24"/>
      <c r="Z134" s="24"/>
    </row>
    <row r="135" ht="15.5" customHeight="1" spans="1:26">
      <c r="A135" s="24">
        <v>124</v>
      </c>
      <c r="B135" s="24" t="s">
        <v>623</v>
      </c>
      <c r="C135" s="24">
        <f>DailyGoalPresetDisplay!A5</f>
        <v>2</v>
      </c>
      <c r="D135" s="24">
        <f>DailyGoalPresetDisplay!C5</f>
        <v>0</v>
      </c>
      <c r="E135" s="24">
        <f>DailyGoalPresetDisplay!F5</f>
        <v>0</v>
      </c>
      <c r="F135" s="24">
        <f>DailyGoalPresetDisplay!L5</f>
        <v>2</v>
      </c>
      <c r="G135" s="24">
        <f>DailyGoalPresetDisplay!M5</f>
        <v>0</v>
      </c>
      <c r="H135" s="24">
        <f>DailyGoalPresetDisplay!N5</f>
        <v>0</v>
      </c>
      <c r="I135" s="24">
        <f>DailyGoalPresetDisplay!O5</f>
        <v>2</v>
      </c>
      <c r="J135" s="24"/>
      <c r="K135" s="24"/>
      <c r="L135" s="24"/>
      <c r="M135" s="24"/>
      <c r="N135" s="24"/>
      <c r="O135" s="24"/>
      <c r="P135" s="24"/>
      <c r="Q135" s="24"/>
      <c r="R135" s="24"/>
      <c r="S135" s="24"/>
      <c r="T135" s="24"/>
      <c r="U135" s="24"/>
      <c r="V135" s="24"/>
      <c r="W135" s="24"/>
      <c r="X135" s="24"/>
      <c r="Y135" s="24"/>
      <c r="Z135" s="24"/>
    </row>
    <row r="136" ht="15.5" customHeight="1" spans="1:26">
      <c r="A136" s="24">
        <v>125</v>
      </c>
      <c r="B136" s="24" t="s">
        <v>627</v>
      </c>
      <c r="C136" s="24">
        <f>DailyGoalSaveFlow!A5</f>
        <v>2</v>
      </c>
      <c r="D136" s="24">
        <f>DailyGoalSaveFlow!C5</f>
        <v>0</v>
      </c>
      <c r="E136" s="24">
        <f>DailyGoalSaveFlow!F5</f>
        <v>0</v>
      </c>
      <c r="F136" s="24">
        <f>DailyGoalSaveFlow!L5</f>
        <v>1</v>
      </c>
      <c r="G136" s="24">
        <f>DailyGoalSaveFlow!M5</f>
        <v>1</v>
      </c>
      <c r="H136" s="24">
        <f>DailyGoalSaveFlow!N5</f>
        <v>0</v>
      </c>
      <c r="I136" s="24">
        <f>DailyGoalSaveFlow!O5</f>
        <v>2</v>
      </c>
      <c r="J136" s="24"/>
      <c r="K136" s="24"/>
      <c r="L136" s="24"/>
      <c r="M136" s="24"/>
      <c r="N136" s="24"/>
      <c r="O136" s="24"/>
      <c r="P136" s="24"/>
      <c r="Q136" s="24"/>
      <c r="R136" s="24"/>
      <c r="S136" s="24"/>
      <c r="T136" s="24"/>
      <c r="U136" s="24"/>
      <c r="V136" s="24"/>
      <c r="W136" s="24"/>
      <c r="X136" s="24"/>
      <c r="Y136" s="24"/>
      <c r="Z136" s="24"/>
    </row>
    <row r="137" ht="15.5" customHeight="1" spans="1:26">
      <c r="A137" s="24">
        <v>126</v>
      </c>
      <c r="B137" s="24" t="s">
        <v>631</v>
      </c>
      <c r="C137" s="24">
        <f>GamificationProgressCardDisplay!A5</f>
        <v>5</v>
      </c>
      <c r="D137" s="24">
        <f>GamificationProgressCardDisplay!C5</f>
        <v>0</v>
      </c>
      <c r="E137" s="24">
        <f>GamificationProgressCardDisplay!F5</f>
        <v>0</v>
      </c>
      <c r="F137" s="24">
        <f>GamificationProgressCardDisplay!L5</f>
        <v>4</v>
      </c>
      <c r="G137" s="24">
        <f>GamificationProgressCardDisplay!M5</f>
        <v>1</v>
      </c>
      <c r="H137" s="24">
        <f>GamificationProgressCardDisplay!N5</f>
        <v>0</v>
      </c>
      <c r="I137" s="24">
        <f>GamificationProgressCardDisplay!O5</f>
        <v>5</v>
      </c>
      <c r="J137" s="24"/>
      <c r="K137" s="24"/>
      <c r="L137" s="24"/>
      <c r="M137" s="24"/>
      <c r="N137" s="24"/>
      <c r="O137" s="24"/>
      <c r="P137" s="24"/>
      <c r="Q137" s="24"/>
      <c r="R137" s="24"/>
      <c r="S137" s="24"/>
      <c r="T137" s="24"/>
      <c r="U137" s="24"/>
      <c r="V137" s="24"/>
      <c r="W137" s="24"/>
      <c r="X137" s="24"/>
      <c r="Y137" s="24"/>
      <c r="Z137" s="24"/>
    </row>
    <row r="138" ht="15.5" customHeight="1" spans="1:26">
      <c r="A138" s="24">
        <v>127</v>
      </c>
      <c r="B138" s="24" t="s">
        <v>635</v>
      </c>
      <c r="C138" s="24">
        <f>AchievementGridFullVariant!A5</f>
        <v>4</v>
      </c>
      <c r="D138" s="24">
        <f>AchievementGridFullVariant!C5</f>
        <v>0</v>
      </c>
      <c r="E138" s="24">
        <f>AchievementGridFullVariant!F5</f>
        <v>0</v>
      </c>
      <c r="F138" s="24">
        <f>AchievementGridFullVariant!L5</f>
        <v>2</v>
      </c>
      <c r="G138" s="24">
        <f>AchievementGridFullVariant!M5</f>
        <v>1</v>
      </c>
      <c r="H138" s="24">
        <f>AchievementGridFullVariant!N5</f>
        <v>1</v>
      </c>
      <c r="I138" s="24">
        <f>AchievementGridFullVariant!O5</f>
        <v>4</v>
      </c>
      <c r="J138" s="24"/>
      <c r="K138" s="24"/>
      <c r="L138" s="24"/>
      <c r="M138" s="24"/>
      <c r="N138" s="24"/>
      <c r="O138" s="24"/>
      <c r="P138" s="24"/>
      <c r="Q138" s="24"/>
      <c r="R138" s="24"/>
      <c r="S138" s="24"/>
      <c r="T138" s="24"/>
      <c r="U138" s="24"/>
      <c r="V138" s="24"/>
      <c r="W138" s="24"/>
      <c r="X138" s="24"/>
      <c r="Y138" s="24"/>
      <c r="Z138" s="24"/>
    </row>
    <row r="139" ht="15.5" customHeight="1" spans="1:26">
      <c r="A139" s="24">
        <v>128</v>
      </c>
      <c r="B139" s="24" t="s">
        <v>639</v>
      </c>
      <c r="C139" s="24">
        <f>AchievementGridCompactVariant!A5</f>
        <v>1</v>
      </c>
      <c r="D139" s="24">
        <f>AchievementGridCompactVariant!C5</f>
        <v>0</v>
      </c>
      <c r="E139" s="24">
        <f>AchievementGridCompactVariant!F5</f>
        <v>0</v>
      </c>
      <c r="F139" s="24">
        <f>AchievementGridCompactVariant!L5</f>
        <v>1</v>
      </c>
      <c r="G139" s="24">
        <f>AchievementGridCompactVariant!M5</f>
        <v>0</v>
      </c>
      <c r="H139" s="24">
        <f>AchievementGridCompactVariant!N5</f>
        <v>0</v>
      </c>
      <c r="I139" s="24">
        <f>AchievementGridCompactVariant!O5</f>
        <v>1</v>
      </c>
      <c r="J139" s="24"/>
      <c r="K139" s="24"/>
      <c r="L139" s="24"/>
      <c r="M139" s="24"/>
      <c r="N139" s="24"/>
      <c r="O139" s="24"/>
      <c r="P139" s="24"/>
      <c r="Q139" s="24"/>
      <c r="R139" s="24"/>
      <c r="S139" s="24"/>
      <c r="T139" s="24"/>
      <c r="U139" s="24"/>
      <c r="V139" s="24"/>
      <c r="W139" s="24"/>
      <c r="X139" s="24"/>
      <c r="Y139" s="24"/>
      <c r="Z139" s="24"/>
    </row>
    <row r="140" ht="15.5" customHeight="1" spans="1:26">
      <c r="A140" s="24">
        <v>129</v>
      </c>
      <c r="B140" s="24" t="s">
        <v>645</v>
      </c>
      <c r="C140" s="24">
        <f>PlatformSettingsGeneralLoadSave!A5</f>
        <v>3</v>
      </c>
      <c r="D140" s="24">
        <f>PlatformSettingsGeneralLoadSave!C5</f>
        <v>0</v>
      </c>
      <c r="E140" s="24">
        <f>PlatformSettingsGeneralLoadSave!F5</f>
        <v>0</v>
      </c>
      <c r="F140" s="24">
        <f>PlatformSettingsGeneralLoadSave!L5</f>
        <v>2</v>
      </c>
      <c r="G140" s="24">
        <f>PlatformSettingsGeneralLoadSave!M5</f>
        <v>1</v>
      </c>
      <c r="H140" s="24">
        <f>PlatformSettingsGeneralLoadSave!N5</f>
        <v>0</v>
      </c>
      <c r="I140" s="24">
        <f>PlatformSettingsGeneralLoadSave!O5</f>
        <v>3</v>
      </c>
      <c r="J140" s="24"/>
      <c r="K140" s="24"/>
      <c r="L140" s="24"/>
      <c r="M140" s="24"/>
      <c r="N140" s="24"/>
      <c r="O140" s="24"/>
      <c r="P140" s="24"/>
      <c r="Q140" s="24"/>
      <c r="R140" s="24"/>
      <c r="S140" s="24"/>
      <c r="T140" s="24"/>
      <c r="U140" s="24"/>
      <c r="V140" s="24"/>
      <c r="W140" s="24"/>
      <c r="X140" s="24"/>
      <c r="Y140" s="24"/>
      <c r="Z140" s="24"/>
    </row>
    <row r="141" ht="15.5" customHeight="1" spans="1:26">
      <c r="A141" s="24">
        <v>130</v>
      </c>
      <c r="B141" s="24" t="s">
        <v>649</v>
      </c>
      <c r="C141" s="24">
        <f>PlatformSettingsPermissionsNoti!A5</f>
        <v>2</v>
      </c>
      <c r="D141" s="24">
        <f>PlatformSettingsPermissionsNoti!C5</f>
        <v>0</v>
      </c>
      <c r="E141" s="24">
        <f>PlatformSettingsPermissionsNoti!F5</f>
        <v>0</v>
      </c>
      <c r="F141" s="24">
        <f>PlatformSettingsPermissionsNoti!L5</f>
        <v>2</v>
      </c>
      <c r="G141" s="24">
        <f>PlatformSettingsPermissionsNoti!M5</f>
        <v>0</v>
      </c>
      <c r="H141" s="24">
        <f>PlatformSettingsPermissionsNoti!N5</f>
        <v>0</v>
      </c>
      <c r="I141" s="24">
        <f>PlatformSettingsPermissionsNoti!O5</f>
        <v>2</v>
      </c>
      <c r="J141" s="24"/>
      <c r="K141" s="24"/>
      <c r="L141" s="24"/>
      <c r="M141" s="24"/>
      <c r="N141" s="24"/>
      <c r="O141" s="24"/>
      <c r="P141" s="24"/>
      <c r="Q141" s="24"/>
      <c r="R141" s="24"/>
      <c r="S141" s="24"/>
      <c r="T141" s="24"/>
      <c r="U141" s="24"/>
      <c r="V141" s="24"/>
      <c r="W141" s="24"/>
      <c r="X141" s="24"/>
      <c r="Y141" s="24"/>
      <c r="Z141" s="24"/>
    </row>
    <row r="142" ht="15.5" customHeight="1" spans="1:26">
      <c r="A142" s="24">
        <v>131</v>
      </c>
      <c r="B142" s="24" t="s">
        <v>654</v>
      </c>
      <c r="C142" s="24">
        <f>PlatformSettingsComingSoonButto!A5</f>
        <v>3</v>
      </c>
      <c r="D142" s="24">
        <f>PlatformSettingsComingSoonButto!C5</f>
        <v>0</v>
      </c>
      <c r="E142" s="24">
        <f>PlatformSettingsComingSoonButto!F5</f>
        <v>0</v>
      </c>
      <c r="F142" s="24">
        <f>PlatformSettingsComingSoonButto!L5</f>
        <v>0</v>
      </c>
      <c r="G142" s="24">
        <f>PlatformSettingsComingSoonButto!M5</f>
        <v>0</v>
      </c>
      <c r="H142" s="24">
        <f>PlatformSettingsComingSoonButto!N5</f>
        <v>3</v>
      </c>
      <c r="I142" s="24">
        <f>PlatformSettingsComingSoonButto!O5</f>
        <v>3</v>
      </c>
      <c r="J142" s="24"/>
      <c r="K142" s="24"/>
      <c r="L142" s="24"/>
      <c r="M142" s="24"/>
      <c r="N142" s="24"/>
      <c r="O142" s="24"/>
      <c r="P142" s="24"/>
      <c r="Q142" s="24"/>
      <c r="R142" s="24"/>
      <c r="S142" s="24"/>
      <c r="T142" s="24"/>
      <c r="U142" s="24"/>
      <c r="V142" s="24"/>
      <c r="W142" s="24"/>
      <c r="X142" s="24"/>
      <c r="Y142" s="24"/>
      <c r="Z142" s="24"/>
    </row>
    <row r="143" ht="15.5" customHeight="1" spans="1:26">
      <c r="A143" s="24">
        <v>132</v>
      </c>
      <c r="B143" s="24" t="s">
        <v>659</v>
      </c>
      <c r="C143" s="24">
        <f>AiConfigLoadAndRetry!A5</f>
        <v>2</v>
      </c>
      <c r="D143" s="24">
        <f>AiConfigLoadAndRetry!C5</f>
        <v>0</v>
      </c>
      <c r="E143" s="24">
        <f>AiConfigLoadAndRetry!F5</f>
        <v>0</v>
      </c>
      <c r="F143" s="24">
        <f>AiConfigLoadAndRetry!L5</f>
        <v>1</v>
      </c>
      <c r="G143" s="24">
        <f>AiConfigLoadAndRetry!M5</f>
        <v>1</v>
      </c>
      <c r="H143" s="24">
        <f>AiConfigLoadAndRetry!N5</f>
        <v>0</v>
      </c>
      <c r="I143" s="24">
        <f>AiConfigLoadAndRetry!O5</f>
        <v>2</v>
      </c>
      <c r="J143" s="24"/>
      <c r="K143" s="24"/>
      <c r="L143" s="24"/>
      <c r="M143" s="24"/>
      <c r="N143" s="24"/>
      <c r="O143" s="24"/>
      <c r="P143" s="24"/>
      <c r="Q143" s="24"/>
      <c r="R143" s="24"/>
      <c r="S143" s="24"/>
      <c r="T143" s="24"/>
      <c r="U143" s="24"/>
      <c r="V143" s="24"/>
      <c r="W143" s="24"/>
      <c r="X143" s="24"/>
      <c r="Y143" s="24"/>
      <c r="Z143" s="24"/>
    </row>
    <row r="144" ht="15.5" customHeight="1" spans="1:26">
      <c r="A144" s="24">
        <v>133</v>
      </c>
      <c r="B144" s="24" t="s">
        <v>663</v>
      </c>
      <c r="C144" s="24">
        <f>AiConfigProviderSwitchAndSave!A5</f>
        <v>3</v>
      </c>
      <c r="D144" s="24">
        <f>AiConfigProviderSwitchAndSave!C5</f>
        <v>0</v>
      </c>
      <c r="E144" s="24">
        <f>AiConfigProviderSwitchAndSave!F5</f>
        <v>0</v>
      </c>
      <c r="F144" s="24">
        <f>AiConfigProviderSwitchAndSave!L5</f>
        <v>2</v>
      </c>
      <c r="G144" s="24">
        <f>AiConfigProviderSwitchAndSave!M5</f>
        <v>1</v>
      </c>
      <c r="H144" s="24">
        <f>AiConfigProviderSwitchAndSave!N5</f>
        <v>0</v>
      </c>
      <c r="I144" s="24">
        <f>AiConfigProviderSwitchAndSave!O5</f>
        <v>3</v>
      </c>
      <c r="J144" s="24"/>
      <c r="K144" s="24"/>
      <c r="L144" s="24"/>
      <c r="M144" s="24"/>
      <c r="N144" s="24"/>
      <c r="O144" s="24"/>
      <c r="P144" s="24"/>
      <c r="Q144" s="24"/>
      <c r="R144" s="24"/>
      <c r="S144" s="24"/>
      <c r="T144" s="24"/>
      <c r="U144" s="24"/>
      <c r="V144" s="24"/>
      <c r="W144" s="24"/>
      <c r="X144" s="24"/>
      <c r="Y144" s="24"/>
      <c r="Z144" s="24"/>
    </row>
    <row r="145" ht="15.5" customHeight="1" spans="1:26">
      <c r="A145" s="24">
        <v>134</v>
      </c>
      <c r="B145" s="24" t="s">
        <v>667</v>
      </c>
      <c r="C145" s="24">
        <f>ContentTableRowAndDeadDeleteBut!A5</f>
        <v>3</v>
      </c>
      <c r="D145" s="24">
        <f>ContentTableRowAndDeadDeleteBut!C5</f>
        <v>0</v>
      </c>
      <c r="E145" s="24">
        <f>ContentTableRowAndDeadDeleteBut!F5</f>
        <v>0</v>
      </c>
      <c r="F145" s="24">
        <f>ContentTableRowAndDeadDeleteBut!L5</f>
        <v>2</v>
      </c>
      <c r="G145" s="24">
        <f>ContentTableRowAndDeadDeleteBut!M5</f>
        <v>0</v>
      </c>
      <c r="H145" s="24">
        <f>ContentTableRowAndDeadDeleteBut!N5</f>
        <v>1</v>
      </c>
      <c r="I145" s="24">
        <f>ContentTableRowAndDeadDeleteBut!O5</f>
        <v>3</v>
      </c>
      <c r="J145" s="24"/>
      <c r="K145" s="24"/>
      <c r="L145" s="24"/>
      <c r="M145" s="24"/>
      <c r="N145" s="24"/>
      <c r="O145" s="24"/>
      <c r="P145" s="24"/>
      <c r="Q145" s="24"/>
      <c r="R145" s="24"/>
      <c r="S145" s="24"/>
      <c r="T145" s="24"/>
      <c r="U145" s="24"/>
      <c r="V145" s="24"/>
      <c r="W145" s="24"/>
      <c r="X145" s="24"/>
      <c r="Y145" s="24"/>
      <c r="Z145" s="24"/>
    </row>
    <row r="146" ht="15.5" customHeight="1" spans="1:26">
      <c r="A146" s="24">
        <v>135</v>
      </c>
      <c r="B146" s="24" t="s">
        <v>672</v>
      </c>
      <c r="C146" s="24">
        <f>CompanyManagementListingSearchR!A5</f>
        <v>4</v>
      </c>
      <c r="D146" s="24">
        <f>CompanyManagementListingSearchR!C5</f>
        <v>0</v>
      </c>
      <c r="E146" s="24">
        <f>CompanyManagementListingSearchR!F5</f>
        <v>0</v>
      </c>
      <c r="F146" s="24">
        <f>CompanyManagementListingSearchR!L5</f>
        <v>3</v>
      </c>
      <c r="G146" s="24">
        <f>CompanyManagementListingSearchR!M5</f>
        <v>1</v>
      </c>
      <c r="H146" s="24">
        <f>CompanyManagementListingSearchR!N5</f>
        <v>0</v>
      </c>
      <c r="I146" s="24">
        <f>CompanyManagementListingSearchR!O5</f>
        <v>4</v>
      </c>
      <c r="J146" s="24"/>
      <c r="K146" s="24"/>
      <c r="L146" s="24"/>
      <c r="M146" s="24"/>
      <c r="N146" s="24"/>
      <c r="O146" s="24"/>
      <c r="P146" s="24"/>
      <c r="Q146" s="24"/>
      <c r="R146" s="24"/>
      <c r="S146" s="24"/>
      <c r="T146" s="24"/>
      <c r="U146" s="24"/>
      <c r="V146" s="24"/>
      <c r="W146" s="24"/>
      <c r="X146" s="24"/>
      <c r="Y146" s="24"/>
      <c r="Z146" s="24"/>
    </row>
    <row r="147" ht="15.5" customHeight="1" spans="1:26">
      <c r="A147" s="24">
        <v>136</v>
      </c>
      <c r="B147" s="24" t="s">
        <v>677</v>
      </c>
      <c r="C147" s="24">
        <f>CompanyManagementCreateEditDele!A5</f>
        <v>3</v>
      </c>
      <c r="D147" s="24">
        <f>CompanyManagementCreateEditDele!C5</f>
        <v>0</v>
      </c>
      <c r="E147" s="24">
        <f>CompanyManagementCreateEditDele!F5</f>
        <v>0</v>
      </c>
      <c r="F147" s="24">
        <f>CompanyManagementCreateEditDele!L5</f>
        <v>3</v>
      </c>
      <c r="G147" s="24">
        <f>CompanyManagementCreateEditDele!M5</f>
        <v>0</v>
      </c>
      <c r="H147" s="24">
        <f>CompanyManagementCreateEditDele!N5</f>
        <v>0</v>
      </c>
      <c r="I147" s="24">
        <f>CompanyManagementCreateEditDele!O5</f>
        <v>3</v>
      </c>
      <c r="J147" s="24"/>
      <c r="K147" s="24"/>
      <c r="L147" s="24"/>
      <c r="M147" s="24"/>
      <c r="N147" s="24"/>
      <c r="O147" s="24"/>
      <c r="P147" s="24"/>
      <c r="Q147" s="24"/>
      <c r="R147" s="24"/>
      <c r="S147" s="24"/>
      <c r="T147" s="24"/>
      <c r="U147" s="24"/>
      <c r="V147" s="24"/>
      <c r="W147" s="24"/>
      <c r="X147" s="24"/>
      <c r="Y147" s="24"/>
      <c r="Z147" s="24"/>
    </row>
    <row r="148" ht="15.5" customHeight="1" spans="1:26">
      <c r="A148" s="24">
        <v>137</v>
      </c>
      <c r="B148" s="24" t="s">
        <v>682</v>
      </c>
      <c r="C148" s="24">
        <f>AdminKnowledgeWrapperWiring!A5</f>
        <v>2</v>
      </c>
      <c r="D148" s="24">
        <f>AdminKnowledgeWrapperWiring!C5</f>
        <v>0</v>
      </c>
      <c r="E148" s="24">
        <f>AdminKnowledgeWrapperWiring!F5</f>
        <v>0</v>
      </c>
      <c r="F148" s="24">
        <f>AdminKnowledgeWrapperWiring!L5</f>
        <v>2</v>
      </c>
      <c r="G148" s="24">
        <f>AdminKnowledgeWrapperWiring!M5</f>
        <v>0</v>
      </c>
      <c r="H148" s="24">
        <f>AdminKnowledgeWrapperWiring!N5</f>
        <v>0</v>
      </c>
      <c r="I148" s="24">
        <f>AdminKnowledgeWrapperWiring!O5</f>
        <v>2</v>
      </c>
      <c r="J148" s="24"/>
      <c r="K148" s="24"/>
      <c r="L148" s="24"/>
      <c r="M148" s="24"/>
      <c r="N148" s="24"/>
      <c r="O148" s="24"/>
      <c r="P148" s="24"/>
      <c r="Q148" s="24"/>
      <c r="R148" s="24"/>
      <c r="S148" s="24"/>
      <c r="T148" s="24"/>
      <c r="U148" s="24"/>
      <c r="V148" s="24"/>
      <c r="W148" s="24"/>
      <c r="X148" s="24"/>
      <c r="Y148" s="24"/>
      <c r="Z148" s="24"/>
    </row>
    <row r="149" ht="15.5" customHeight="1" spans="1:26">
      <c r="A149" s="24">
        <v>138</v>
      </c>
      <c r="B149" s="24" t="s">
        <v>686</v>
      </c>
      <c r="C149" s="24">
        <f>AdminDashboardKpisAndAlerts!A5</f>
        <v>4</v>
      </c>
      <c r="D149" s="24">
        <f>AdminDashboardKpisAndAlerts!C5</f>
        <v>0</v>
      </c>
      <c r="E149" s="24">
        <f>AdminDashboardKpisAndAlerts!F5</f>
        <v>0</v>
      </c>
      <c r="F149" s="24">
        <f>AdminDashboardKpisAndAlerts!L5</f>
        <v>3</v>
      </c>
      <c r="G149" s="24">
        <f>AdminDashboardKpisAndAlerts!M5</f>
        <v>1</v>
      </c>
      <c r="H149" s="24">
        <f>AdminDashboardKpisAndAlerts!N5</f>
        <v>0</v>
      </c>
      <c r="I149" s="24">
        <f>AdminDashboardKpisAndAlerts!O5</f>
        <v>4</v>
      </c>
      <c r="J149" s="24"/>
      <c r="K149" s="24"/>
      <c r="L149" s="24"/>
      <c r="M149" s="24"/>
      <c r="N149" s="24"/>
      <c r="O149" s="24"/>
      <c r="P149" s="24"/>
      <c r="Q149" s="24"/>
      <c r="R149" s="24"/>
      <c r="S149" s="24"/>
      <c r="T149" s="24"/>
      <c r="U149" s="24"/>
      <c r="V149" s="24"/>
      <c r="W149" s="24"/>
      <c r="X149" s="24"/>
      <c r="Y149" s="24"/>
      <c r="Z149" s="24"/>
    </row>
    <row r="150" ht="15.5" customHeight="1" spans="1:26">
      <c r="A150" s="24">
        <v>139</v>
      </c>
      <c r="B150" s="24" t="s">
        <v>690</v>
      </c>
      <c r="C150" s="24">
        <f>AdminDashboardRetryAndRefresh!A5</f>
        <v>2</v>
      </c>
      <c r="D150" s="24">
        <f>AdminDashboardRetryAndRefresh!C5</f>
        <v>0</v>
      </c>
      <c r="E150" s="24">
        <f>AdminDashboardRetryAndRefresh!F5</f>
        <v>0</v>
      </c>
      <c r="F150" s="24">
        <f>AdminDashboardRetryAndRefresh!L5</f>
        <v>1</v>
      </c>
      <c r="G150" s="24">
        <f>AdminDashboardRetryAndRefresh!M5</f>
        <v>1</v>
      </c>
      <c r="H150" s="24">
        <f>AdminDashboardRetryAndRefresh!N5</f>
        <v>0</v>
      </c>
      <c r="I150" s="24">
        <f>AdminDashboardRetryAndRefresh!O5</f>
        <v>2</v>
      </c>
      <c r="J150" s="24"/>
      <c r="K150" s="24"/>
      <c r="L150" s="24"/>
      <c r="M150" s="24"/>
      <c r="N150" s="24"/>
      <c r="O150" s="24"/>
      <c r="P150" s="24"/>
      <c r="Q150" s="24"/>
      <c r="R150" s="24"/>
      <c r="S150" s="24"/>
      <c r="T150" s="24"/>
      <c r="U150" s="24"/>
      <c r="V150" s="24"/>
      <c r="W150" s="24"/>
      <c r="X150" s="24"/>
      <c r="Y150" s="24"/>
      <c r="Z150" s="24"/>
    </row>
    <row r="151" ht="15.5" customHeight="1" spans="1:26">
      <c r="A151" s="24">
        <v>140</v>
      </c>
      <c r="B151" s="24" t="s">
        <v>694</v>
      </c>
      <c r="C151" s="24">
        <f>MarketplaceListingSearchAndErro!A5</f>
        <v>4</v>
      </c>
      <c r="D151" s="24">
        <f>MarketplaceListingSearchAndErro!C5</f>
        <v>0</v>
      </c>
      <c r="E151" s="24">
        <f>MarketplaceListingSearchAndErro!F5</f>
        <v>0</v>
      </c>
      <c r="F151" s="24">
        <f>MarketplaceListingSearchAndErro!L5</f>
        <v>3</v>
      </c>
      <c r="G151" s="24">
        <f>MarketplaceListingSearchAndErro!M5</f>
        <v>1</v>
      </c>
      <c r="H151" s="24">
        <f>MarketplaceListingSearchAndErro!N5</f>
        <v>0</v>
      </c>
      <c r="I151" s="24">
        <f>MarketplaceListingSearchAndErro!O5</f>
        <v>4</v>
      </c>
      <c r="J151" s="24"/>
      <c r="K151" s="24"/>
      <c r="L151" s="24"/>
      <c r="M151" s="24"/>
      <c r="N151" s="24"/>
      <c r="O151" s="24"/>
      <c r="P151" s="24"/>
      <c r="Q151" s="24"/>
      <c r="R151" s="24"/>
      <c r="S151" s="24"/>
      <c r="T151" s="24"/>
      <c r="U151" s="24"/>
      <c r="V151" s="24"/>
      <c r="W151" s="24"/>
      <c r="X151" s="24"/>
      <c r="Y151" s="24"/>
      <c r="Z151" s="24"/>
    </row>
    <row r="152" ht="15.5" customHeight="1" spans="1:26">
      <c r="A152" s="24">
        <v>141</v>
      </c>
      <c r="B152" s="24" t="s">
        <v>699</v>
      </c>
      <c r="C152" s="24">
        <f>MarketplacePinAndDetail!A5</f>
        <v>2</v>
      </c>
      <c r="D152" s="24">
        <f>MarketplacePinAndDetail!C5</f>
        <v>0</v>
      </c>
      <c r="E152" s="24">
        <f>MarketplacePinAndDetail!F5</f>
        <v>0</v>
      </c>
      <c r="F152" s="24">
        <f>MarketplacePinAndDetail!L5</f>
        <v>2</v>
      </c>
      <c r="G152" s="24">
        <f>MarketplacePinAndDetail!M5</f>
        <v>0</v>
      </c>
      <c r="H152" s="24">
        <f>MarketplacePinAndDetail!N5</f>
        <v>0</v>
      </c>
      <c r="I152" s="24">
        <f>MarketplacePinAndDetail!O5</f>
        <v>2</v>
      </c>
      <c r="J152" s="24"/>
      <c r="K152" s="24"/>
      <c r="L152" s="24"/>
      <c r="M152" s="24"/>
      <c r="N152" s="24"/>
      <c r="O152" s="24"/>
      <c r="P152" s="24"/>
      <c r="Q152" s="24"/>
      <c r="R152" s="24"/>
      <c r="S152" s="24"/>
      <c r="T152" s="24"/>
      <c r="U152" s="24"/>
      <c r="V152" s="24"/>
      <c r="W152" s="24"/>
      <c r="X152" s="24"/>
      <c r="Y152" s="24"/>
      <c r="Z152" s="24"/>
    </row>
    <row r="153" ht="15.5" customHeight="1" spans="1:26">
      <c r="A153" s="24">
        <v>142</v>
      </c>
      <c r="B153" s="24" t="s">
        <v>703</v>
      </c>
      <c r="C153" s="24">
        <f>PlansListingAndRefresh!A5</f>
        <v>2</v>
      </c>
      <c r="D153" s="24">
        <f>PlansListingAndRefresh!C5</f>
        <v>0</v>
      </c>
      <c r="E153" s="24">
        <f>PlansListingAndRefresh!F5</f>
        <v>0</v>
      </c>
      <c r="F153" s="24">
        <f>PlansListingAndRefresh!L5</f>
        <v>2</v>
      </c>
      <c r="G153" s="24">
        <f>PlansListingAndRefresh!M5</f>
        <v>0</v>
      </c>
      <c r="H153" s="24">
        <f>PlansListingAndRefresh!N5</f>
        <v>0</v>
      </c>
      <c r="I153" s="24">
        <f>PlansListingAndRefresh!O5</f>
        <v>2</v>
      </c>
      <c r="J153" s="24"/>
      <c r="K153" s="24"/>
      <c r="L153" s="24"/>
      <c r="M153" s="24"/>
      <c r="N153" s="24"/>
      <c r="O153" s="24"/>
      <c r="P153" s="24"/>
      <c r="Q153" s="24"/>
      <c r="R153" s="24"/>
      <c r="S153" s="24"/>
      <c r="T153" s="24"/>
      <c r="U153" s="24"/>
      <c r="V153" s="24"/>
      <c r="W153" s="24"/>
      <c r="X153" s="24"/>
      <c r="Y153" s="24"/>
      <c r="Z153" s="24"/>
    </row>
    <row r="154" ht="15.5" customHeight="1" spans="1:26">
      <c r="A154" s="24">
        <v>143</v>
      </c>
      <c r="B154" s="24" t="s">
        <v>707</v>
      </c>
      <c r="C154" s="24">
        <f>PlansEditSaveAndFailure!A5</f>
        <v>2</v>
      </c>
      <c r="D154" s="24">
        <f>PlansEditSaveAndFailure!C5</f>
        <v>0</v>
      </c>
      <c r="E154" s="24">
        <f>PlansEditSaveAndFailure!F5</f>
        <v>0</v>
      </c>
      <c r="F154" s="24">
        <f>PlansEditSaveAndFailure!L5</f>
        <v>1</v>
      </c>
      <c r="G154" s="24">
        <f>PlansEditSaveAndFailure!M5</f>
        <v>1</v>
      </c>
      <c r="H154" s="24">
        <f>PlansEditSaveAndFailure!N5</f>
        <v>0</v>
      </c>
      <c r="I154" s="24">
        <f>PlansEditSaveAndFailure!O5</f>
        <v>2</v>
      </c>
      <c r="J154" s="24"/>
      <c r="K154" s="24"/>
      <c r="L154" s="24"/>
      <c r="M154" s="24"/>
      <c r="N154" s="24"/>
      <c r="O154" s="24"/>
      <c r="P154" s="24"/>
      <c r="Q154" s="24"/>
      <c r="R154" s="24"/>
      <c r="S154" s="24"/>
      <c r="T154" s="24"/>
      <c r="U154" s="24"/>
      <c r="V154" s="24"/>
      <c r="W154" s="24"/>
      <c r="X154" s="24"/>
      <c r="Y154" s="24"/>
      <c r="Z154" s="24"/>
    </row>
    <row r="155" ht="15.5" customHeight="1" spans="1:26">
      <c r="A155" s="24">
        <v>144</v>
      </c>
      <c r="B155" s="24" t="s">
        <v>711</v>
      </c>
      <c r="C155" s="24">
        <f>PlansFreeVisiblePercentClamp!A5</f>
        <v>1</v>
      </c>
      <c r="D155" s="24">
        <f>PlansFreeVisiblePercentClamp!C5</f>
        <v>0</v>
      </c>
      <c r="E155" s="24">
        <f>PlansFreeVisiblePercentClamp!F5</f>
        <v>0</v>
      </c>
      <c r="F155" s="24">
        <f>PlansFreeVisiblePercentClamp!L5</f>
        <v>0</v>
      </c>
      <c r="G155" s="24">
        <f>PlansFreeVisiblePercentClamp!M5</f>
        <v>0</v>
      </c>
      <c r="H155" s="24">
        <f>PlansFreeVisiblePercentClamp!N5</f>
        <v>1</v>
      </c>
      <c r="I155" s="24">
        <f>PlansFreeVisiblePercentClamp!O5</f>
        <v>1</v>
      </c>
      <c r="J155" s="24"/>
      <c r="K155" s="24"/>
      <c r="L155" s="24"/>
      <c r="M155" s="24"/>
      <c r="N155" s="24"/>
      <c r="O155" s="24"/>
      <c r="P155" s="24"/>
      <c r="Q155" s="24"/>
      <c r="R155" s="24"/>
      <c r="S155" s="24"/>
      <c r="T155" s="24"/>
      <c r="U155" s="24"/>
      <c r="V155" s="24"/>
      <c r="W155" s="24"/>
      <c r="X155" s="24"/>
      <c r="Y155" s="24"/>
      <c r="Z155" s="24"/>
    </row>
    <row r="156" ht="15.5" customHeight="1" spans="1:26">
      <c r="A156" s="24">
        <v>145</v>
      </c>
      <c r="B156" s="24" t="s">
        <v>717</v>
      </c>
      <c r="C156" s="24">
        <f>HrDashboardKpisAndSections!A5</f>
        <v>4</v>
      </c>
      <c r="D156" s="24">
        <f>HrDashboardKpisAndSections!C5</f>
        <v>0</v>
      </c>
      <c r="E156" s="24">
        <f>HrDashboardKpisAndSections!F5</f>
        <v>0</v>
      </c>
      <c r="F156" s="24">
        <f>HrDashboardKpisAndSections!L5</f>
        <v>4</v>
      </c>
      <c r="G156" s="24">
        <f>HrDashboardKpisAndSections!M5</f>
        <v>0</v>
      </c>
      <c r="H156" s="24">
        <f>HrDashboardKpisAndSections!N5</f>
        <v>0</v>
      </c>
      <c r="I156" s="24">
        <f>HrDashboardKpisAndSections!O5</f>
        <v>4</v>
      </c>
      <c r="J156" s="24"/>
      <c r="K156" s="24"/>
      <c r="L156" s="24"/>
      <c r="M156" s="24"/>
      <c r="N156" s="24"/>
      <c r="O156" s="24"/>
      <c r="P156" s="24"/>
      <c r="Q156" s="24"/>
      <c r="R156" s="24"/>
      <c r="S156" s="24"/>
      <c r="T156" s="24"/>
      <c r="U156" s="24"/>
      <c r="V156" s="24"/>
      <c r="W156" s="24"/>
      <c r="X156" s="24"/>
      <c r="Y156" s="24"/>
      <c r="Z156" s="24"/>
    </row>
    <row r="157" ht="15.5" customHeight="1" spans="1:26">
      <c r="A157" s="24">
        <v>146</v>
      </c>
      <c r="B157" s="24" t="s">
        <v>721</v>
      </c>
      <c r="C157" s="24">
        <f>HrDashboardRetryAndNullFallback!A5</f>
        <v>2</v>
      </c>
      <c r="D157" s="24">
        <f>HrDashboardRetryAndNullFallback!C5</f>
        <v>0</v>
      </c>
      <c r="E157" s="24">
        <f>HrDashboardRetryAndNullFallback!F5</f>
        <v>0</v>
      </c>
      <c r="F157" s="24">
        <f>HrDashboardRetryAndNullFallback!L5</f>
        <v>0</v>
      </c>
      <c r="G157" s="24">
        <f>HrDashboardRetryAndNullFallback!M5</f>
        <v>2</v>
      </c>
      <c r="H157" s="24">
        <f>HrDashboardRetryAndNullFallback!N5</f>
        <v>0</v>
      </c>
      <c r="I157" s="24">
        <f>HrDashboardRetryAndNullFallback!O5</f>
        <v>2</v>
      </c>
      <c r="J157" s="24"/>
      <c r="K157" s="24"/>
      <c r="L157" s="24"/>
      <c r="M157" s="24"/>
      <c r="N157" s="24"/>
      <c r="O157" s="24"/>
      <c r="P157" s="24"/>
      <c r="Q157" s="24"/>
      <c r="R157" s="24"/>
      <c r="S157" s="24"/>
      <c r="T157" s="24"/>
      <c r="U157" s="24"/>
      <c r="V157" s="24"/>
      <c r="W157" s="24"/>
      <c r="X157" s="24"/>
      <c r="Y157" s="24"/>
      <c r="Z157" s="24"/>
    </row>
    <row r="158" ht="15.5" customHeight="1" spans="1:26">
      <c r="A158" s="24">
        <v>147</v>
      </c>
      <c r="B158" s="24" t="s">
        <v>725</v>
      </c>
      <c r="C158" s="24">
        <f>HistoryListingSearchAndFilter!A5</f>
        <v>4</v>
      </c>
      <c r="D158" s="24">
        <f>HistoryListingSearchAndFilter!C5</f>
        <v>0</v>
      </c>
      <c r="E158" s="24">
        <f>HistoryListingSearchAndFilter!F5</f>
        <v>0</v>
      </c>
      <c r="F158" s="24">
        <f>HistoryListingSearchAndFilter!L5</f>
        <v>3</v>
      </c>
      <c r="G158" s="24">
        <f>HistoryListingSearchAndFilter!M5</f>
        <v>1</v>
      </c>
      <c r="H158" s="24">
        <f>HistoryListingSearchAndFilter!N5</f>
        <v>0</v>
      </c>
      <c r="I158" s="24">
        <f>HistoryListingSearchAndFilter!O5</f>
        <v>4</v>
      </c>
      <c r="J158" s="24"/>
      <c r="K158" s="24"/>
      <c r="L158" s="24"/>
      <c r="M158" s="24"/>
      <c r="N158" s="24"/>
      <c r="O158" s="24"/>
      <c r="P158" s="24"/>
      <c r="Q158" s="24"/>
      <c r="R158" s="24"/>
      <c r="S158" s="24"/>
      <c r="T158" s="24"/>
      <c r="U158" s="24"/>
      <c r="V158" s="24"/>
      <c r="W158" s="24"/>
      <c r="X158" s="24"/>
      <c r="Y158" s="24"/>
      <c r="Z158" s="24"/>
    </row>
    <row r="159" ht="15.5" customHeight="1" spans="1:26">
      <c r="A159" s="24">
        <v>148</v>
      </c>
      <c r="B159" s="24" t="s">
        <v>729</v>
      </c>
      <c r="C159" s="24">
        <f>HistoryPublishUnpublishBookmark!A5</f>
        <v>3</v>
      </c>
      <c r="D159" s="24">
        <f>HistoryPublishUnpublishBookmark!C5</f>
        <v>0</v>
      </c>
      <c r="E159" s="24">
        <f>HistoryPublishUnpublishBookmark!F5</f>
        <v>0</v>
      </c>
      <c r="F159" s="24">
        <f>HistoryPublishUnpublishBookmark!L5</f>
        <v>3</v>
      </c>
      <c r="G159" s="24">
        <f>HistoryPublishUnpublishBookmark!M5</f>
        <v>0</v>
      </c>
      <c r="H159" s="24">
        <f>HistoryPublishUnpublishBookmark!N5</f>
        <v>0</v>
      </c>
      <c r="I159" s="24">
        <f>HistoryPublishUnpublishBookmark!O5</f>
        <v>3</v>
      </c>
      <c r="J159" s="24"/>
      <c r="K159" s="24"/>
      <c r="L159" s="24"/>
      <c r="M159" s="24"/>
      <c r="N159" s="24"/>
      <c r="O159" s="24"/>
      <c r="P159" s="24"/>
      <c r="Q159" s="24"/>
      <c r="R159" s="24"/>
      <c r="S159" s="24"/>
      <c r="T159" s="24"/>
      <c r="U159" s="24"/>
      <c r="V159" s="24"/>
      <c r="W159" s="24"/>
      <c r="X159" s="24"/>
      <c r="Y159" s="24"/>
      <c r="Z159" s="24"/>
    </row>
    <row r="160" ht="15.5" customHeight="1" spans="1:26">
      <c r="A160" s="24">
        <v>149</v>
      </c>
      <c r="B160" s="24" t="s">
        <v>733</v>
      </c>
      <c r="C160" s="24">
        <f>HistoryDeleteConfirmAndPublishe!A5</f>
        <v>2</v>
      </c>
      <c r="D160" s="24">
        <f>HistoryDeleteConfirmAndPublishe!C5</f>
        <v>0</v>
      </c>
      <c r="E160" s="24">
        <f>HistoryDeleteConfirmAndPublishe!F5</f>
        <v>0</v>
      </c>
      <c r="F160" s="24">
        <f>HistoryDeleteConfirmAndPublishe!L5</f>
        <v>1</v>
      </c>
      <c r="G160" s="24">
        <f>HistoryDeleteConfirmAndPublishe!M5</f>
        <v>0</v>
      </c>
      <c r="H160" s="24">
        <f>HistoryDeleteConfirmAndPublishe!N5</f>
        <v>1</v>
      </c>
      <c r="I160" s="24">
        <f>HistoryDeleteConfirmAndPublishe!O5</f>
        <v>2</v>
      </c>
      <c r="J160" s="24"/>
      <c r="K160" s="24"/>
      <c r="L160" s="24"/>
      <c r="M160" s="24"/>
      <c r="N160" s="24"/>
      <c r="O160" s="24"/>
      <c r="P160" s="24"/>
      <c r="Q160" s="24"/>
      <c r="R160" s="24"/>
      <c r="S160" s="24"/>
      <c r="T160" s="24"/>
      <c r="U160" s="24"/>
      <c r="V160" s="24"/>
      <c r="W160" s="24"/>
      <c r="X160" s="24"/>
      <c r="Y160" s="24"/>
      <c r="Z160" s="24"/>
    </row>
    <row r="161" ht="15.5" customHeight="1" spans="1:26">
      <c r="A161" s="24">
        <v>150</v>
      </c>
      <c r="B161" s="24" t="s">
        <v>738</v>
      </c>
      <c r="C161" s="24">
        <f>HistoryExportGatedByPlan!A5</f>
        <v>2</v>
      </c>
      <c r="D161" s="24">
        <f>HistoryExportGatedByPlan!C5</f>
        <v>0</v>
      </c>
      <c r="E161" s="24">
        <f>HistoryExportGatedByPlan!F5</f>
        <v>0</v>
      </c>
      <c r="F161" s="24">
        <f>HistoryExportGatedByPlan!L5</f>
        <v>2</v>
      </c>
      <c r="G161" s="24">
        <f>HistoryExportGatedByPlan!M5</f>
        <v>0</v>
      </c>
      <c r="H161" s="24">
        <f>HistoryExportGatedByPlan!N5</f>
        <v>0</v>
      </c>
      <c r="I161" s="24">
        <f>HistoryExportGatedByPlan!O5</f>
        <v>2</v>
      </c>
      <c r="J161" s="24"/>
      <c r="K161" s="24"/>
      <c r="L161" s="24"/>
      <c r="M161" s="24"/>
      <c r="N161" s="24"/>
      <c r="O161" s="24"/>
      <c r="P161" s="24"/>
      <c r="Q161" s="24"/>
      <c r="R161" s="24"/>
      <c r="S161" s="24"/>
      <c r="T161" s="24"/>
      <c r="U161" s="24"/>
      <c r="V161" s="24"/>
      <c r="W161" s="24"/>
      <c r="X161" s="24"/>
      <c r="Y161" s="24"/>
      <c r="Z161" s="24"/>
    </row>
    <row r="162" ht="15.5" customHeight="1" spans="1:26">
      <c r="A162" s="24">
        <v>151</v>
      </c>
      <c r="B162" s="24" t="s">
        <v>744</v>
      </c>
      <c r="C162" s="24">
        <f>BillingCurrentPlanDisplay!A5</f>
        <v>2</v>
      </c>
      <c r="D162" s="24">
        <f>BillingCurrentPlanDisplay!C5</f>
        <v>0</v>
      </c>
      <c r="E162" s="24">
        <f>BillingCurrentPlanDisplay!F5</f>
        <v>0</v>
      </c>
      <c r="F162" s="24">
        <f>BillingCurrentPlanDisplay!L5</f>
        <v>2</v>
      </c>
      <c r="G162" s="24">
        <f>BillingCurrentPlanDisplay!M5</f>
        <v>0</v>
      </c>
      <c r="H162" s="24">
        <f>BillingCurrentPlanDisplay!N5</f>
        <v>0</v>
      </c>
      <c r="I162" s="24">
        <f>BillingCurrentPlanDisplay!O5</f>
        <v>2</v>
      </c>
      <c r="J162" s="24"/>
      <c r="K162" s="24"/>
      <c r="L162" s="24"/>
      <c r="M162" s="24"/>
      <c r="N162" s="24"/>
      <c r="O162" s="24"/>
      <c r="P162" s="24"/>
      <c r="Q162" s="24"/>
      <c r="R162" s="24"/>
      <c r="S162" s="24"/>
      <c r="T162" s="24"/>
      <c r="U162" s="24"/>
      <c r="V162" s="24"/>
      <c r="W162" s="24"/>
      <c r="X162" s="24"/>
      <c r="Y162" s="24"/>
      <c r="Z162" s="24"/>
    </row>
    <row r="163" ht="15.5" customHeight="1" spans="1:26">
      <c r="A163" s="24">
        <v>152</v>
      </c>
      <c r="B163" s="24" t="s">
        <v>748</v>
      </c>
      <c r="C163" s="24">
        <f>BillingPaymentHistoryAndReceipt!A5</f>
        <v>4</v>
      </c>
      <c r="D163" s="24">
        <f>BillingPaymentHistoryAndReceipt!C5</f>
        <v>0</v>
      </c>
      <c r="E163" s="24">
        <f>BillingPaymentHistoryAndReceipt!F5</f>
        <v>0</v>
      </c>
      <c r="F163" s="24">
        <f>BillingPaymentHistoryAndReceipt!L5</f>
        <v>3</v>
      </c>
      <c r="G163" s="24">
        <f>BillingPaymentHistoryAndReceipt!M5</f>
        <v>0</v>
      </c>
      <c r="H163" s="24">
        <f>BillingPaymentHistoryAndReceipt!N5</f>
        <v>1</v>
      </c>
      <c r="I163" s="24">
        <f>BillingPaymentHistoryAndReceipt!O5</f>
        <v>4</v>
      </c>
      <c r="J163" s="24"/>
      <c r="K163" s="24"/>
      <c r="L163" s="24"/>
      <c r="M163" s="24"/>
      <c r="N163" s="24"/>
      <c r="O163" s="24"/>
      <c r="P163" s="24"/>
      <c r="Q163" s="24"/>
      <c r="R163" s="24"/>
      <c r="S163" s="24"/>
      <c r="T163" s="24"/>
      <c r="U163" s="24"/>
      <c r="V163" s="24"/>
      <c r="W163" s="24"/>
      <c r="X163" s="24"/>
      <c r="Y163" s="24"/>
      <c r="Z163" s="24"/>
    </row>
    <row r="164" ht="15.5" customHeight="1" spans="1:26">
      <c r="A164" s="24">
        <v>153</v>
      </c>
      <c r="B164" s="24" t="s">
        <v>752</v>
      </c>
      <c r="C164" s="24">
        <f>BillingComingSoonButtons!A5</f>
        <v>2</v>
      </c>
      <c r="D164" s="24">
        <f>BillingComingSoonButtons!C5</f>
        <v>0</v>
      </c>
      <c r="E164" s="24">
        <f>BillingComingSoonButtons!F5</f>
        <v>0</v>
      </c>
      <c r="F164" s="24">
        <f>BillingComingSoonButtons!L5</f>
        <v>0</v>
      </c>
      <c r="G164" s="24">
        <f>BillingComingSoonButtons!M5</f>
        <v>0</v>
      </c>
      <c r="H164" s="24">
        <f>BillingComingSoonButtons!N5</f>
        <v>2</v>
      </c>
      <c r="I164" s="24">
        <f>BillingComingSoonButtons!O5</f>
        <v>2</v>
      </c>
      <c r="J164" s="24"/>
      <c r="K164" s="24"/>
      <c r="L164" s="24"/>
      <c r="M164" s="24"/>
      <c r="N164" s="24"/>
      <c r="O164" s="24"/>
      <c r="P164" s="24"/>
      <c r="Q164" s="24"/>
      <c r="R164" s="24"/>
      <c r="S164" s="24"/>
      <c r="T164" s="24"/>
      <c r="U164" s="24"/>
      <c r="V164" s="24"/>
      <c r="W164" s="24"/>
      <c r="X164" s="24"/>
      <c r="Y164" s="24"/>
      <c r="Z164" s="24"/>
    </row>
    <row r="165" ht="15.5" customHeight="1" spans="1:26">
      <c r="A165" s="24">
        <v>154</v>
      </c>
      <c r="B165" s="24" t="s">
        <v>756</v>
      </c>
      <c r="C165" s="24">
        <f>BillingUpgradeAndCancel!A5</f>
        <v>2</v>
      </c>
      <c r="D165" s="24">
        <f>BillingUpgradeAndCancel!C5</f>
        <v>0</v>
      </c>
      <c r="E165" s="24">
        <f>BillingUpgradeAndCancel!F5</f>
        <v>0</v>
      </c>
      <c r="F165" s="24">
        <f>BillingUpgradeAndCancel!L5</f>
        <v>2</v>
      </c>
      <c r="G165" s="24">
        <f>BillingUpgradeAndCancel!M5</f>
        <v>0</v>
      </c>
      <c r="H165" s="24">
        <f>BillingUpgradeAndCancel!N5</f>
        <v>0</v>
      </c>
      <c r="I165" s="24">
        <f>BillingUpgradeAndCancel!O5</f>
        <v>2</v>
      </c>
      <c r="J165" s="24"/>
      <c r="K165" s="24"/>
      <c r="L165" s="24"/>
      <c r="M165" s="24"/>
      <c r="N165" s="24"/>
      <c r="O165" s="24"/>
      <c r="P165" s="24"/>
      <c r="Q165" s="24"/>
      <c r="R165" s="24"/>
      <c r="S165" s="24"/>
      <c r="T165" s="24"/>
      <c r="U165" s="24"/>
      <c r="V165" s="24"/>
      <c r="W165" s="24"/>
      <c r="X165" s="24"/>
      <c r="Y165" s="24"/>
      <c r="Z165" s="24"/>
    </row>
    <row r="166" ht="15.5" customHeight="1" spans="1:26">
      <c r="A166" s="24">
        <v>155</v>
      </c>
      <c r="B166" s="24" t="s">
        <v>760</v>
      </c>
      <c r="C166" s="24">
        <f>CandidateDashboardKpisAndSessio!A5</f>
        <v>4</v>
      </c>
      <c r="D166" s="24">
        <f>CandidateDashboardKpisAndSessio!C5</f>
        <v>0</v>
      </c>
      <c r="E166" s="24">
        <f>CandidateDashboardKpisAndSessio!F5</f>
        <v>0</v>
      </c>
      <c r="F166" s="24">
        <f>CandidateDashboardKpisAndSessio!L5</f>
        <v>3</v>
      </c>
      <c r="G166" s="24">
        <f>CandidateDashboardKpisAndSessio!M5</f>
        <v>1</v>
      </c>
      <c r="H166" s="24">
        <f>CandidateDashboardKpisAndSessio!N5</f>
        <v>0</v>
      </c>
      <c r="I166" s="24">
        <f>CandidateDashboardKpisAndSessio!O5</f>
        <v>4</v>
      </c>
      <c r="J166" s="24"/>
      <c r="K166" s="24"/>
      <c r="L166" s="24"/>
      <c r="M166" s="24"/>
      <c r="N166" s="24"/>
      <c r="O166" s="24"/>
      <c r="P166" s="24"/>
      <c r="Q166" s="24"/>
      <c r="R166" s="24"/>
      <c r="S166" s="24"/>
      <c r="T166" s="24"/>
      <c r="U166" s="24"/>
      <c r="V166" s="24"/>
      <c r="W166" s="24"/>
      <c r="X166" s="24"/>
      <c r="Y166" s="24"/>
      <c r="Z166" s="24"/>
    </row>
    <row r="167" ht="15.5" customHeight="1" spans="1:26">
      <c r="A167" s="24">
        <v>156</v>
      </c>
      <c r="B167" s="24" t="s">
        <v>765</v>
      </c>
      <c r="C167" s="24">
        <f>CandidateDashboardRecommendedSe!A5</f>
        <v>2</v>
      </c>
      <c r="D167" s="24">
        <f>CandidateDashboardRecommendedSe!C5</f>
        <v>0</v>
      </c>
      <c r="E167" s="24">
        <f>CandidateDashboardRecommendedSe!F5</f>
        <v>0</v>
      </c>
      <c r="F167" s="24">
        <f>CandidateDashboardRecommendedSe!L5</f>
        <v>1</v>
      </c>
      <c r="G167" s="24">
        <f>CandidateDashboardRecommendedSe!M5</f>
        <v>1</v>
      </c>
      <c r="H167" s="24">
        <f>CandidateDashboardRecommendedSe!N5</f>
        <v>0</v>
      </c>
      <c r="I167" s="24">
        <f>CandidateDashboardRecommendedSe!O5</f>
        <v>2</v>
      </c>
      <c r="J167" s="24"/>
      <c r="K167" s="24"/>
      <c r="L167" s="24"/>
      <c r="M167" s="24"/>
      <c r="N167" s="24"/>
      <c r="O167" s="24"/>
      <c r="P167" s="24"/>
      <c r="Q167" s="24"/>
      <c r="R167" s="24"/>
      <c r="S167" s="24"/>
      <c r="T167" s="24"/>
      <c r="U167" s="24"/>
      <c r="V167" s="24"/>
      <c r="W167" s="24"/>
      <c r="X167" s="24"/>
      <c r="Y167" s="24"/>
      <c r="Z167" s="24"/>
    </row>
    <row r="168" ht="15.5" customHeight="1" spans="1:26">
      <c r="A168" s="24">
        <v>157</v>
      </c>
      <c r="B168" s="24" t="s">
        <v>770</v>
      </c>
      <c r="C168" s="24">
        <f>CandidateProfileViewAndEditTogg!A5</f>
        <v>2</v>
      </c>
      <c r="D168" s="24">
        <f>CandidateProfileViewAndEditTogg!C5</f>
        <v>0</v>
      </c>
      <c r="E168" s="24">
        <f>CandidateProfileViewAndEditTogg!F5</f>
        <v>0</v>
      </c>
      <c r="F168" s="24">
        <f>CandidateProfileViewAndEditTogg!L5</f>
        <v>2</v>
      </c>
      <c r="G168" s="24">
        <f>CandidateProfileViewAndEditTogg!M5</f>
        <v>0</v>
      </c>
      <c r="H168" s="24">
        <f>CandidateProfileViewAndEditTogg!N5</f>
        <v>0</v>
      </c>
      <c r="I168" s="24">
        <f>CandidateProfileViewAndEditTogg!O5</f>
        <v>2</v>
      </c>
      <c r="J168" s="24"/>
      <c r="K168" s="24"/>
      <c r="L168" s="24"/>
      <c r="M168" s="24"/>
      <c r="N168" s="24"/>
      <c r="O168" s="24"/>
      <c r="P168" s="24"/>
      <c r="Q168" s="24"/>
      <c r="R168" s="24"/>
      <c r="S168" s="24"/>
      <c r="T168" s="24"/>
      <c r="U168" s="24"/>
      <c r="V168" s="24"/>
      <c r="W168" s="24"/>
      <c r="X168" s="24"/>
      <c r="Y168" s="24"/>
      <c r="Z168" s="24"/>
    </row>
    <row r="169" ht="15.5" customHeight="1" spans="1:26">
      <c r="A169" s="24">
        <v>158</v>
      </c>
      <c r="B169" s="24" t="s">
        <v>775</v>
      </c>
      <c r="C169" s="24">
        <f>CandidateProfileSaveValidationS!A5</f>
        <v>3</v>
      </c>
      <c r="D169" s="24">
        <f>CandidateProfileSaveValidationS!C5</f>
        <v>0</v>
      </c>
      <c r="E169" s="24">
        <f>CandidateProfileSaveValidationS!F5</f>
        <v>0</v>
      </c>
      <c r="F169" s="24">
        <f>CandidateProfileSaveValidationS!L5</f>
        <v>2</v>
      </c>
      <c r="G169" s="24">
        <f>CandidateProfileSaveValidationS!M5</f>
        <v>1</v>
      </c>
      <c r="H169" s="24">
        <f>CandidateProfileSaveValidationS!N5</f>
        <v>0</v>
      </c>
      <c r="I169" s="24">
        <f>CandidateProfileSaveValidationS!O5</f>
        <v>3</v>
      </c>
      <c r="J169" s="24"/>
      <c r="K169" s="24"/>
      <c r="L169" s="24"/>
      <c r="M169" s="24"/>
      <c r="N169" s="24"/>
      <c r="O169" s="24"/>
      <c r="P169" s="24"/>
      <c r="Q169" s="24"/>
      <c r="R169" s="24"/>
      <c r="S169" s="24"/>
      <c r="T169" s="24"/>
      <c r="U169" s="24"/>
      <c r="V169" s="24"/>
      <c r="W169" s="24"/>
      <c r="X169" s="24"/>
      <c r="Y169" s="24"/>
      <c r="Z169" s="24"/>
    </row>
    <row r="170" ht="15.5" customHeight="1" spans="1:26">
      <c r="A170" s="24">
        <v>159</v>
      </c>
      <c r="B170" s="24" t="s">
        <v>780</v>
      </c>
      <c r="C170" s="24">
        <f>CandidateProfileCvManagement!A5</f>
        <v>2</v>
      </c>
      <c r="D170" s="24">
        <f>CandidateProfileCvManagement!C5</f>
        <v>0</v>
      </c>
      <c r="E170" s="24">
        <f>CandidateProfileCvManagement!F5</f>
        <v>0</v>
      </c>
      <c r="F170" s="24">
        <f>CandidateProfileCvManagement!L5</f>
        <v>2</v>
      </c>
      <c r="G170" s="24">
        <f>CandidateProfileCvManagement!M5</f>
        <v>0</v>
      </c>
      <c r="H170" s="24">
        <f>CandidateProfileCvManagement!N5</f>
        <v>0</v>
      </c>
      <c r="I170" s="24">
        <f>CandidateProfileCvManagement!O5</f>
        <v>2</v>
      </c>
      <c r="J170" s="24"/>
      <c r="K170" s="24"/>
      <c r="L170" s="24"/>
      <c r="M170" s="24"/>
      <c r="N170" s="24"/>
      <c r="O170" s="24"/>
      <c r="P170" s="24"/>
      <c r="Q170" s="24"/>
      <c r="R170" s="24"/>
      <c r="S170" s="24"/>
      <c r="T170" s="24"/>
      <c r="U170" s="24"/>
      <c r="V170" s="24"/>
      <c r="W170" s="24"/>
      <c r="X170" s="24"/>
      <c r="Y170" s="24"/>
      <c r="Z170" s="24"/>
    </row>
    <row r="171" ht="15.5" customHeight="1" spans="1:26">
      <c r="A171" s="24">
        <v>160</v>
      </c>
      <c r="B171" s="24" t="s">
        <v>784</v>
      </c>
      <c r="C171" s="24">
        <f>CandidateSettingsTabRouting!A5</f>
        <v>3</v>
      </c>
      <c r="D171" s="24">
        <f>CandidateSettingsTabRouting!C5</f>
        <v>0</v>
      </c>
      <c r="E171" s="24">
        <f>CandidateSettingsTabRouting!F5</f>
        <v>0</v>
      </c>
      <c r="F171" s="24">
        <f>CandidateSettingsTabRouting!L5</f>
        <v>3</v>
      </c>
      <c r="G171" s="24">
        <f>CandidateSettingsTabRouting!M5</f>
        <v>0</v>
      </c>
      <c r="H171" s="24">
        <f>CandidateSettingsTabRouting!N5</f>
        <v>0</v>
      </c>
      <c r="I171" s="24">
        <f>CandidateSettingsTabRouting!O5</f>
        <v>3</v>
      </c>
      <c r="J171" s="24"/>
      <c r="K171" s="24"/>
      <c r="L171" s="24"/>
      <c r="M171" s="24"/>
      <c r="N171" s="24"/>
      <c r="O171" s="24"/>
      <c r="P171" s="24"/>
      <c r="Q171" s="24"/>
      <c r="R171" s="24"/>
      <c r="S171" s="24"/>
      <c r="T171" s="24"/>
      <c r="U171" s="24"/>
      <c r="V171" s="24"/>
      <c r="W171" s="24"/>
      <c r="X171" s="24"/>
      <c r="Y171" s="24"/>
      <c r="Z171" s="24"/>
    </row>
    <row r="172" ht="15.5" customHeight="1" spans="1:26">
      <c r="A172" s="24">
        <v>161</v>
      </c>
      <c r="B172" s="24" t="s">
        <v>788</v>
      </c>
      <c r="C172" s="24">
        <f>CandidateSettingsGeneral!A5</f>
        <v>2</v>
      </c>
      <c r="D172" s="24">
        <f>CandidateSettingsGeneral!C5</f>
        <v>0</v>
      </c>
      <c r="E172" s="24">
        <f>CandidateSettingsGeneral!F5</f>
        <v>0</v>
      </c>
      <c r="F172" s="24">
        <f>CandidateSettingsGeneral!L5</f>
        <v>2</v>
      </c>
      <c r="G172" s="24">
        <f>CandidateSettingsGeneral!M5</f>
        <v>0</v>
      </c>
      <c r="H172" s="24">
        <f>CandidateSettingsGeneral!N5</f>
        <v>0</v>
      </c>
      <c r="I172" s="24">
        <f>CandidateSettingsGeneral!O5</f>
        <v>2</v>
      </c>
      <c r="J172" s="24"/>
      <c r="K172" s="24"/>
      <c r="L172" s="24"/>
      <c r="M172" s="24"/>
      <c r="N172" s="24"/>
      <c r="O172" s="24"/>
      <c r="P172" s="24"/>
      <c r="Q172" s="24"/>
      <c r="R172" s="24"/>
      <c r="S172" s="24"/>
      <c r="T172" s="24"/>
      <c r="U172" s="24"/>
      <c r="V172" s="24"/>
      <c r="W172" s="24"/>
      <c r="X172" s="24"/>
      <c r="Y172" s="24"/>
      <c r="Z172" s="24"/>
    </row>
    <row r="173" ht="15.5" customHeight="1" spans="1:26">
      <c r="A173" s="24">
        <v>162</v>
      </c>
      <c r="B173" s="24" t="s">
        <v>792</v>
      </c>
      <c r="C173" s="24">
        <f>CandidateSettingsPrivacyPlanGat!A5</f>
        <v>2</v>
      </c>
      <c r="D173" s="24">
        <f>CandidateSettingsPrivacyPlanGat!C5</f>
        <v>0</v>
      </c>
      <c r="E173" s="24">
        <f>CandidateSettingsPrivacyPlanGat!F5</f>
        <v>0</v>
      </c>
      <c r="F173" s="24">
        <f>CandidateSettingsPrivacyPlanGat!L5</f>
        <v>1</v>
      </c>
      <c r="G173" s="24">
        <f>CandidateSettingsPrivacyPlanGat!M5</f>
        <v>0</v>
      </c>
      <c r="H173" s="24">
        <f>CandidateSettingsPrivacyPlanGat!N5</f>
        <v>1</v>
      </c>
      <c r="I173" s="24">
        <f>CandidateSettingsPrivacyPlanGat!O5</f>
        <v>2</v>
      </c>
      <c r="J173" s="24"/>
      <c r="K173" s="24"/>
      <c r="L173" s="24"/>
      <c r="M173" s="24"/>
      <c r="N173" s="24"/>
      <c r="O173" s="24"/>
      <c r="P173" s="24"/>
      <c r="Q173" s="24"/>
      <c r="R173" s="24"/>
      <c r="S173" s="24"/>
      <c r="T173" s="24"/>
      <c r="U173" s="24"/>
      <c r="V173" s="24"/>
      <c r="W173" s="24"/>
      <c r="X173" s="24"/>
      <c r="Y173" s="24"/>
      <c r="Z173" s="24"/>
    </row>
    <row r="174" ht="15.5" customHeight="1" spans="1:26">
      <c r="A174" s="24">
        <v>163</v>
      </c>
      <c r="B174" s="24" t="s">
        <v>797</v>
      </c>
      <c r="C174" s="24">
        <f>SubscriptionContextUserScopedPl!A5</f>
        <v>4</v>
      </c>
      <c r="D174" s="24">
        <f>SubscriptionContextUserScopedPl!C5</f>
        <v>0</v>
      </c>
      <c r="E174" s="24">
        <f>SubscriptionContextUserScopedPl!F5</f>
        <v>0</v>
      </c>
      <c r="F174" s="24">
        <f>SubscriptionContextUserScopedPl!L5</f>
        <v>3</v>
      </c>
      <c r="G174" s="24">
        <f>SubscriptionContextUserScopedPl!M5</f>
        <v>1</v>
      </c>
      <c r="H174" s="24">
        <f>SubscriptionContextUserScopedPl!N5</f>
        <v>0</v>
      </c>
      <c r="I174" s="24">
        <f>SubscriptionContextUserScopedPl!O5</f>
        <v>4</v>
      </c>
      <c r="J174" s="24"/>
      <c r="K174" s="24"/>
      <c r="L174" s="24"/>
      <c r="M174" s="24"/>
      <c r="N174" s="24"/>
      <c r="O174" s="24"/>
      <c r="P174" s="24"/>
      <c r="Q174" s="24"/>
      <c r="R174" s="24"/>
      <c r="S174" s="24"/>
      <c r="T174" s="24"/>
      <c r="U174" s="24"/>
      <c r="V174" s="24"/>
      <c r="W174" s="24"/>
      <c r="X174" s="24"/>
      <c r="Y174" s="24"/>
      <c r="Z174" s="24"/>
    </row>
    <row r="175" ht="15.5" customHeight="1" spans="1:26">
      <c r="A175" s="24">
        <v>164</v>
      </c>
      <c r="B175" s="24" t="s">
        <v>802</v>
      </c>
      <c r="C175" s="24">
        <f>UpgradeModalFinishPaidRetry!A5</f>
        <v>2</v>
      </c>
      <c r="D175" s="24">
        <f>UpgradeModalFinishPaidRetry!C5</f>
        <v>0</v>
      </c>
      <c r="E175" s="24">
        <f>UpgradeModalFinishPaidRetry!F5</f>
        <v>0</v>
      </c>
      <c r="F175" s="24">
        <f>UpgradeModalFinishPaidRetry!L5</f>
        <v>0</v>
      </c>
      <c r="G175" s="24">
        <f>UpgradeModalFinishPaidRetry!M5</f>
        <v>2</v>
      </c>
      <c r="H175" s="24">
        <f>UpgradeModalFinishPaidRetry!N5</f>
        <v>0</v>
      </c>
      <c r="I175" s="24">
        <f>UpgradeModalFinishPaidRetry!O5</f>
        <v>2</v>
      </c>
      <c r="J175" s="24"/>
      <c r="K175" s="24"/>
      <c r="L175" s="24"/>
      <c r="M175" s="24"/>
      <c r="N175" s="24"/>
      <c r="O175" s="24"/>
      <c r="P175" s="24"/>
      <c r="Q175" s="24"/>
      <c r="R175" s="24"/>
      <c r="S175" s="24"/>
      <c r="T175" s="24"/>
      <c r="U175" s="24"/>
      <c r="V175" s="24"/>
      <c r="W175" s="24"/>
      <c r="X175" s="24"/>
      <c r="Y175" s="24"/>
      <c r="Z175" s="24"/>
    </row>
    <row r="176" ht="15.5" customHeight="1" spans="1:26">
      <c r="A176" s="24">
        <v>165</v>
      </c>
      <c r="B176" s="24" t="s">
        <v>806</v>
      </c>
      <c r="C176" s="24">
        <f>FeedbackScorePollingUntilArriva!A5</f>
        <v>2</v>
      </c>
      <c r="D176" s="24">
        <f>FeedbackScorePollingUntilArriva!C5</f>
        <v>0</v>
      </c>
      <c r="E176" s="24">
        <f>FeedbackScorePollingUntilArriva!F5</f>
        <v>0</v>
      </c>
      <c r="F176" s="24">
        <f>FeedbackScorePollingUntilArriva!L5</f>
        <v>2</v>
      </c>
      <c r="G176" s="24">
        <f>FeedbackScorePollingUntilArriva!M5</f>
        <v>0</v>
      </c>
      <c r="H176" s="24">
        <f>FeedbackScorePollingUntilArriva!N5</f>
        <v>0</v>
      </c>
      <c r="I176" s="24">
        <f>FeedbackScorePollingUntilArriva!O5</f>
        <v>2</v>
      </c>
      <c r="J176" s="24"/>
      <c r="K176" s="24"/>
      <c r="L176" s="24"/>
      <c r="M176" s="24"/>
      <c r="N176" s="24"/>
      <c r="O176" s="24"/>
      <c r="P176" s="24"/>
      <c r="Q176" s="24"/>
      <c r="R176" s="24"/>
      <c r="S176" s="24"/>
      <c r="T176" s="24"/>
      <c r="U176" s="24"/>
      <c r="V176" s="24"/>
      <c r="W176" s="24"/>
      <c r="X176" s="24"/>
      <c r="Y176" s="24"/>
      <c r="Z176" s="24"/>
    </row>
    <row r="177" ht="15.5" customHeight="1" spans="1:26">
      <c r="A177" s="24">
        <v>166</v>
      </c>
      <c r="B177" s="24" t="s">
        <v>811</v>
      </c>
      <c r="C177" s="24">
        <f>FeedbackScoreTimeoutAndRetry!A5</f>
        <v>2</v>
      </c>
      <c r="D177" s="24">
        <f>FeedbackScoreTimeoutAndRetry!C5</f>
        <v>0</v>
      </c>
      <c r="E177" s="24">
        <f>FeedbackScoreTimeoutAndRetry!F5</f>
        <v>0</v>
      </c>
      <c r="F177" s="24">
        <f>FeedbackScoreTimeoutAndRetry!L5</f>
        <v>0</v>
      </c>
      <c r="G177" s="24">
        <f>FeedbackScoreTimeoutAndRetry!M5</f>
        <v>2</v>
      </c>
      <c r="H177" s="24">
        <f>FeedbackScoreTimeoutAndRetry!N5</f>
        <v>0</v>
      </c>
      <c r="I177" s="24">
        <f>FeedbackScoreTimeoutAndRetry!O5</f>
        <v>2</v>
      </c>
      <c r="J177" s="24"/>
      <c r="K177" s="24"/>
      <c r="L177" s="24"/>
      <c r="M177" s="24"/>
      <c r="N177" s="24"/>
      <c r="O177" s="24"/>
      <c r="P177" s="24"/>
      <c r="Q177" s="24"/>
      <c r="R177" s="24"/>
      <c r="S177" s="24"/>
      <c r="T177" s="24"/>
      <c r="U177" s="24"/>
      <c r="V177" s="24"/>
      <c r="W177" s="24"/>
      <c r="X177" s="24"/>
      <c r="Y177" s="24"/>
      <c r="Z177" s="24"/>
    </row>
    <row r="178" ht="15.5" customHeight="1" spans="1:26">
      <c r="A178" s="24">
        <v>167</v>
      </c>
      <c r="B178" s="24" t="s">
        <v>815</v>
      </c>
      <c r="C178" s="24">
        <f>HrBillingCurrentPlan!A5</f>
        <v>2</v>
      </c>
      <c r="D178" s="24">
        <f>HrBillingCurrentPlan!C5</f>
        <v>0</v>
      </c>
      <c r="E178" s="24">
        <f>HrBillingCurrentPlan!F5</f>
        <v>0</v>
      </c>
      <c r="F178" s="24">
        <f>HrBillingCurrentPlan!L5</f>
        <v>2</v>
      </c>
      <c r="G178" s="24">
        <f>HrBillingCurrentPlan!M5</f>
        <v>0</v>
      </c>
      <c r="H178" s="24">
        <f>HrBillingCurrentPlan!N5</f>
        <v>0</v>
      </c>
      <c r="I178" s="24">
        <f>HrBillingCurrentPlan!O5</f>
        <v>2</v>
      </c>
      <c r="J178" s="24"/>
      <c r="K178" s="24"/>
      <c r="L178" s="24"/>
      <c r="M178" s="24"/>
      <c r="N178" s="24"/>
      <c r="O178" s="24"/>
      <c r="P178" s="24"/>
      <c r="Q178" s="24"/>
      <c r="R178" s="24"/>
      <c r="S178" s="24"/>
      <c r="T178" s="24"/>
      <c r="U178" s="24"/>
      <c r="V178" s="24"/>
      <c r="W178" s="24"/>
      <c r="X178" s="24"/>
      <c r="Y178" s="24"/>
      <c r="Z178" s="24"/>
    </row>
    <row r="179" ht="15.5" customHeight="1" spans="1:26">
      <c r="A179" s="24">
        <v>168</v>
      </c>
      <c r="B179" s="24" t="s">
        <v>819</v>
      </c>
      <c r="C179" s="24">
        <f>HrBillingPaymentHistoryAndRecei!A5</f>
        <v>4</v>
      </c>
      <c r="D179" s="24">
        <f>HrBillingPaymentHistoryAndRecei!C5</f>
        <v>0</v>
      </c>
      <c r="E179" s="24">
        <f>HrBillingPaymentHistoryAndRecei!F5</f>
        <v>0</v>
      </c>
      <c r="F179" s="24">
        <f>HrBillingPaymentHistoryAndRecei!L5</f>
        <v>3</v>
      </c>
      <c r="G179" s="24">
        <f>HrBillingPaymentHistoryAndRecei!M5</f>
        <v>0</v>
      </c>
      <c r="H179" s="24">
        <f>HrBillingPaymentHistoryAndRecei!N5</f>
        <v>1</v>
      </c>
      <c r="I179" s="24">
        <f>HrBillingPaymentHistoryAndRecei!O5</f>
        <v>4</v>
      </c>
      <c r="J179" s="24"/>
      <c r="K179" s="24"/>
      <c r="L179" s="24"/>
      <c r="M179" s="24"/>
      <c r="N179" s="24"/>
      <c r="O179" s="24"/>
      <c r="P179" s="24"/>
      <c r="Q179" s="24"/>
      <c r="R179" s="24"/>
      <c r="S179" s="24"/>
      <c r="T179" s="24"/>
      <c r="U179" s="24"/>
      <c r="V179" s="24"/>
      <c r="W179" s="24"/>
      <c r="X179" s="24"/>
      <c r="Y179" s="24"/>
      <c r="Z179" s="24"/>
    </row>
    <row r="180" ht="15.5" customHeight="1" spans="1:26">
      <c r="A180" s="24">
        <v>169</v>
      </c>
      <c r="B180" s="24" t="s">
        <v>824</v>
      </c>
      <c r="C180" s="24">
        <f>HrBillingCancelToFreeFlow!A5</f>
        <v>3</v>
      </c>
      <c r="D180" s="24">
        <f>HrBillingCancelToFreeFlow!C5</f>
        <v>0</v>
      </c>
      <c r="E180" s="24">
        <f>HrBillingCancelToFreeFlow!F5</f>
        <v>0</v>
      </c>
      <c r="F180" s="24">
        <f>HrBillingCancelToFreeFlow!L5</f>
        <v>2</v>
      </c>
      <c r="G180" s="24">
        <f>HrBillingCancelToFreeFlow!M5</f>
        <v>1</v>
      </c>
      <c r="H180" s="24">
        <f>HrBillingCancelToFreeFlow!N5</f>
        <v>0</v>
      </c>
      <c r="I180" s="24">
        <f>HrBillingCancelToFreeFlow!O5</f>
        <v>3</v>
      </c>
      <c r="J180" s="24"/>
      <c r="K180" s="24"/>
      <c r="L180" s="24"/>
      <c r="M180" s="24"/>
      <c r="N180" s="24"/>
      <c r="O180" s="24"/>
      <c r="P180" s="24"/>
      <c r="Q180" s="24"/>
      <c r="R180" s="24"/>
      <c r="S180" s="24"/>
      <c r="T180" s="24"/>
      <c r="U180" s="24"/>
      <c r="V180" s="24"/>
      <c r="W180" s="24"/>
      <c r="X180" s="24"/>
      <c r="Y180" s="24"/>
      <c r="Z180" s="24"/>
    </row>
    <row r="181" ht="15.5" customHeight="1" spans="1:26">
      <c r="A181" s="24">
        <v>170</v>
      </c>
      <c r="B181" s="24" t="s">
        <v>828</v>
      </c>
      <c r="C181" s="24">
        <f>KnowledgePageListingAndErrors!A5</f>
        <v>3</v>
      </c>
      <c r="D181" s="24">
        <f>KnowledgePageListingAndErrors!C5</f>
        <v>0</v>
      </c>
      <c r="E181" s="24">
        <f>KnowledgePageListingAndErrors!F5</f>
        <v>0</v>
      </c>
      <c r="F181" s="24">
        <f>KnowledgePageListingAndErrors!L5</f>
        <v>3</v>
      </c>
      <c r="G181" s="24">
        <f>KnowledgePageListingAndErrors!M5</f>
        <v>0</v>
      </c>
      <c r="H181" s="24">
        <f>KnowledgePageListingAndErrors!N5</f>
        <v>0</v>
      </c>
      <c r="I181" s="24">
        <f>KnowledgePageListingAndErrors!O5</f>
        <v>3</v>
      </c>
      <c r="J181" s="24"/>
      <c r="K181" s="24"/>
      <c r="L181" s="24"/>
      <c r="M181" s="24"/>
      <c r="N181" s="24"/>
      <c r="O181" s="24"/>
      <c r="P181" s="24"/>
      <c r="Q181" s="24"/>
      <c r="R181" s="24"/>
      <c r="S181" s="24"/>
      <c r="T181" s="24"/>
      <c r="U181" s="24"/>
      <c r="V181" s="24"/>
      <c r="W181" s="24"/>
      <c r="X181" s="24"/>
      <c r="Y181" s="24"/>
      <c r="Z181" s="24"/>
    </row>
    <row r="182" ht="15.5" customHeight="1" spans="1:26">
      <c r="A182" s="24">
        <v>171</v>
      </c>
      <c r="B182" s="24" t="s">
        <v>832</v>
      </c>
      <c r="C182" s="24">
        <f>KnowledgeUploadAndSizeLimit!A5</f>
        <v>2</v>
      </c>
      <c r="D182" s="24">
        <f>KnowledgeUploadAndSizeLimit!C5</f>
        <v>0</v>
      </c>
      <c r="E182" s="24">
        <f>KnowledgeUploadAndSizeLimit!F5</f>
        <v>0</v>
      </c>
      <c r="F182" s="24">
        <f>KnowledgeUploadAndSizeLimit!L5</f>
        <v>1</v>
      </c>
      <c r="G182" s="24">
        <f>KnowledgeUploadAndSizeLimit!M5</f>
        <v>0</v>
      </c>
      <c r="H182" s="24">
        <f>KnowledgeUploadAndSizeLimit!N5</f>
        <v>1</v>
      </c>
      <c r="I182" s="24">
        <f>KnowledgeUploadAndSizeLimit!O5</f>
        <v>2</v>
      </c>
      <c r="J182" s="24"/>
      <c r="K182" s="24"/>
      <c r="L182" s="24"/>
      <c r="M182" s="24"/>
      <c r="N182" s="24"/>
      <c r="O182" s="24"/>
      <c r="P182" s="24"/>
      <c r="Q182" s="24"/>
      <c r="R182" s="24"/>
      <c r="S182" s="24"/>
      <c r="T182" s="24"/>
      <c r="U182" s="24"/>
      <c r="V182" s="24"/>
      <c r="W182" s="24"/>
      <c r="X182" s="24"/>
      <c r="Y182" s="24"/>
      <c r="Z182" s="24"/>
    </row>
    <row r="183" ht="15.5" customHeight="1" spans="1:26">
      <c r="A183" s="24">
        <v>172</v>
      </c>
      <c r="B183" s="24" t="s">
        <v>836</v>
      </c>
      <c r="C183" s="24">
        <f>KnowledgeDeleteConfirm!A5</f>
        <v>1</v>
      </c>
      <c r="D183" s="24">
        <f>KnowledgeDeleteConfirm!C5</f>
        <v>0</v>
      </c>
      <c r="E183" s="24">
        <f>KnowledgeDeleteConfirm!F5</f>
        <v>0</v>
      </c>
      <c r="F183" s="24">
        <f>KnowledgeDeleteConfirm!L5</f>
        <v>1</v>
      </c>
      <c r="G183" s="24">
        <f>KnowledgeDeleteConfirm!M5</f>
        <v>0</v>
      </c>
      <c r="H183" s="24">
        <f>KnowledgeDeleteConfirm!N5</f>
        <v>0</v>
      </c>
      <c r="I183" s="24">
        <f>KnowledgeDeleteConfirm!O5</f>
        <v>1</v>
      </c>
      <c r="J183" s="24"/>
      <c r="K183" s="24"/>
      <c r="L183" s="24"/>
      <c r="M183" s="24"/>
      <c r="N183" s="24"/>
      <c r="O183" s="24"/>
      <c r="P183" s="24"/>
      <c r="Q183" s="24"/>
      <c r="R183" s="24"/>
      <c r="S183" s="24"/>
      <c r="T183" s="24"/>
      <c r="U183" s="24"/>
      <c r="V183" s="24"/>
      <c r="W183" s="24"/>
      <c r="X183" s="24"/>
      <c r="Y183" s="24"/>
      <c r="Z183" s="24"/>
    </row>
    <row r="184" ht="15.5" customHeight="1" spans="1:26">
      <c r="A184" s="24">
        <v>173</v>
      </c>
      <c r="B184" s="24" t="s">
        <v>840</v>
      </c>
      <c r="C184" s="24">
        <f>RecommendationsListingFilterSea!A5</f>
        <v>5</v>
      </c>
      <c r="D184" s="24">
        <f>RecommendationsListingFilterSea!C5</f>
        <v>0</v>
      </c>
      <c r="E184" s="24">
        <f>RecommendationsListingFilterSea!F5</f>
        <v>0</v>
      </c>
      <c r="F184" s="24">
        <f>RecommendationsListingFilterSea!L5</f>
        <v>4</v>
      </c>
      <c r="G184" s="24">
        <f>RecommendationsListingFilterSea!M5</f>
        <v>1</v>
      </c>
      <c r="H184" s="24">
        <f>RecommendationsListingFilterSea!N5</f>
        <v>0</v>
      </c>
      <c r="I184" s="24">
        <f>RecommendationsListingFilterSea!O5</f>
        <v>5</v>
      </c>
      <c r="J184" s="24"/>
      <c r="K184" s="24"/>
      <c r="L184" s="24"/>
      <c r="M184" s="24"/>
      <c r="N184" s="24"/>
      <c r="O184" s="24"/>
      <c r="P184" s="24"/>
      <c r="Q184" s="24"/>
      <c r="R184" s="24"/>
      <c r="S184" s="24"/>
      <c r="T184" s="24"/>
      <c r="U184" s="24"/>
      <c r="V184" s="24"/>
      <c r="W184" s="24"/>
      <c r="X184" s="24"/>
      <c r="Y184" s="24"/>
      <c r="Z184" s="24"/>
    </row>
    <row r="185" ht="15.5" customHeight="1" spans="1:26">
      <c r="A185" s="24">
        <v>174</v>
      </c>
      <c r="B185" s="24" t="s">
        <v>845</v>
      </c>
      <c r="C185" s="24">
        <f>RecommendationsShortlistDismiss!A5</f>
        <v>4</v>
      </c>
      <c r="D185" s="24">
        <f>RecommendationsShortlistDismiss!C5</f>
        <v>0</v>
      </c>
      <c r="E185" s="24">
        <f>RecommendationsShortlistDismiss!F5</f>
        <v>0</v>
      </c>
      <c r="F185" s="24">
        <f>RecommendationsShortlistDismiss!L5</f>
        <v>1</v>
      </c>
      <c r="G185" s="24">
        <f>RecommendationsShortlistDismiss!M5</f>
        <v>2</v>
      </c>
      <c r="H185" s="24">
        <f>RecommendationsShortlistDismiss!N5</f>
        <v>1</v>
      </c>
      <c r="I185" s="24">
        <f>RecommendationsShortlistDismiss!O5</f>
        <v>4</v>
      </c>
      <c r="J185" s="24"/>
      <c r="K185" s="24"/>
      <c r="L185" s="24"/>
      <c r="M185" s="24"/>
      <c r="N185" s="24"/>
      <c r="O185" s="24"/>
      <c r="P185" s="24"/>
      <c r="Q185" s="24"/>
      <c r="R185" s="24"/>
      <c r="S185" s="24"/>
      <c r="T185" s="24"/>
      <c r="U185" s="24"/>
      <c r="V185" s="24"/>
      <c r="W185" s="24"/>
      <c r="X185" s="24"/>
      <c r="Y185" s="24"/>
      <c r="Z185" s="24"/>
    </row>
    <row r="186" ht="15.5" customHeight="1" spans="1:26">
      <c r="A186" s="24">
        <v>175</v>
      </c>
      <c r="B186" s="24" t="s">
        <v>850</v>
      </c>
      <c r="C186" s="24">
        <f>HrSettingsPreferencesNotificati!A5</f>
        <v>3</v>
      </c>
      <c r="D186" s="24">
        <f>HrSettingsPreferencesNotificati!C5</f>
        <v>0</v>
      </c>
      <c r="E186" s="24">
        <f>HrSettingsPreferencesNotificati!F5</f>
        <v>0</v>
      </c>
      <c r="F186" s="24">
        <f>HrSettingsPreferencesNotificati!L5</f>
        <v>1</v>
      </c>
      <c r="G186" s="24">
        <f>HrSettingsPreferencesNotificati!M5</f>
        <v>0</v>
      </c>
      <c r="H186" s="24">
        <f>HrSettingsPreferencesNotificati!N5</f>
        <v>2</v>
      </c>
      <c r="I186" s="24">
        <f>HrSettingsPreferencesNotificati!O5</f>
        <v>3</v>
      </c>
      <c r="J186" s="24"/>
      <c r="K186" s="24"/>
      <c r="L186" s="24"/>
      <c r="M186" s="24"/>
      <c r="N186" s="24"/>
      <c r="O186" s="24"/>
      <c r="P186" s="24"/>
      <c r="Q186" s="24"/>
      <c r="R186" s="24"/>
      <c r="S186" s="24"/>
      <c r="T186" s="24"/>
      <c r="U186" s="24"/>
      <c r="V186" s="24"/>
      <c r="W186" s="24"/>
      <c r="X186" s="24"/>
      <c r="Y186" s="24"/>
      <c r="Z186" s="24"/>
    </row>
    <row r="187" ht="15.5" customHeight="1" spans="1:26">
      <c r="A187" s="24">
        <v>176</v>
      </c>
      <c r="B187" s="24" t="s">
        <v>855</v>
      </c>
      <c r="C187" s="24">
        <f>InvitationsListingAndFilter!A5</f>
        <v>4</v>
      </c>
      <c r="D187" s="24">
        <f>InvitationsListingAndFilter!C5</f>
        <v>0</v>
      </c>
      <c r="E187" s="24">
        <f>InvitationsListingAndFilter!F5</f>
        <v>0</v>
      </c>
      <c r="F187" s="24">
        <f>InvitationsListingAndFilter!L5</f>
        <v>3</v>
      </c>
      <c r="G187" s="24">
        <f>InvitationsListingAndFilter!M5</f>
        <v>1</v>
      </c>
      <c r="H187" s="24">
        <f>InvitationsListingAndFilter!N5</f>
        <v>0</v>
      </c>
      <c r="I187" s="24">
        <f>InvitationsListingAndFilter!O5</f>
        <v>4</v>
      </c>
      <c r="J187" s="24"/>
      <c r="K187" s="24"/>
      <c r="L187" s="24"/>
      <c r="M187" s="24"/>
      <c r="N187" s="24"/>
      <c r="O187" s="24"/>
      <c r="P187" s="24"/>
      <c r="Q187" s="24"/>
      <c r="R187" s="24"/>
      <c r="S187" s="24"/>
      <c r="T187" s="24"/>
      <c r="U187" s="24"/>
      <c r="V187" s="24"/>
      <c r="W187" s="24"/>
      <c r="X187" s="24"/>
      <c r="Y187" s="24"/>
      <c r="Z187" s="24"/>
    </row>
    <row r="188" ht="15.5" customHeight="1" spans="1:26">
      <c r="A188" s="24">
        <v>177</v>
      </c>
      <c r="B188" s="24" t="s">
        <v>859</v>
      </c>
      <c r="C188" s="24">
        <f>InvitationsAcceptFlow!A5</f>
        <v>3</v>
      </c>
      <c r="D188" s="24">
        <f>InvitationsAcceptFlow!C5</f>
        <v>0</v>
      </c>
      <c r="E188" s="24">
        <f>InvitationsAcceptFlow!F5</f>
        <v>0</v>
      </c>
      <c r="F188" s="24">
        <f>InvitationsAcceptFlow!L5</f>
        <v>1</v>
      </c>
      <c r="G188" s="24">
        <f>InvitationsAcceptFlow!M5</f>
        <v>1</v>
      </c>
      <c r="H188" s="24">
        <f>InvitationsAcceptFlow!N5</f>
        <v>1</v>
      </c>
      <c r="I188" s="24">
        <f>InvitationsAcceptFlow!O5</f>
        <v>3</v>
      </c>
      <c r="J188" s="24"/>
      <c r="K188" s="24"/>
      <c r="L188" s="24"/>
      <c r="M188" s="24"/>
      <c r="N188" s="24"/>
      <c r="O188" s="24"/>
      <c r="P188" s="24"/>
      <c r="Q188" s="24"/>
      <c r="R188" s="24"/>
      <c r="S188" s="24"/>
      <c r="T188" s="24"/>
      <c r="U188" s="24"/>
      <c r="V188" s="24"/>
      <c r="W188" s="24"/>
      <c r="X188" s="24"/>
      <c r="Y188" s="24"/>
      <c r="Z188" s="24"/>
    </row>
    <row r="189" ht="15.5" customHeight="1" spans="1:26">
      <c r="A189" s="24">
        <v>178</v>
      </c>
      <c r="B189" s="24" t="s">
        <v>863</v>
      </c>
      <c r="C189" s="24">
        <f>InvitationsDeclineFlow!A5</f>
        <v>1</v>
      </c>
      <c r="D189" s="24">
        <f>InvitationsDeclineFlow!C5</f>
        <v>0</v>
      </c>
      <c r="E189" s="24">
        <f>InvitationsDeclineFlow!F5</f>
        <v>0</v>
      </c>
      <c r="F189" s="24">
        <f>InvitationsDeclineFlow!L5</f>
        <v>1</v>
      </c>
      <c r="G189" s="24">
        <f>InvitationsDeclineFlow!M5</f>
        <v>0</v>
      </c>
      <c r="H189" s="24">
        <f>InvitationsDeclineFlow!N5</f>
        <v>0</v>
      </c>
      <c r="I189" s="24">
        <f>InvitationsDeclineFlow!O5</f>
        <v>1</v>
      </c>
      <c r="J189" s="24"/>
      <c r="K189" s="24"/>
      <c r="L189" s="24"/>
      <c r="M189" s="24"/>
      <c r="N189" s="24"/>
      <c r="O189" s="24"/>
      <c r="P189" s="24"/>
      <c r="Q189" s="24"/>
      <c r="R189" s="24"/>
      <c r="S189" s="24"/>
      <c r="T189" s="24"/>
      <c r="U189" s="24"/>
      <c r="V189" s="24"/>
      <c r="W189" s="24"/>
      <c r="X189" s="24"/>
      <c r="Y189" s="24"/>
      <c r="Z189" s="24"/>
    </row>
    <row r="190" ht="15.5" customHeight="1" spans="1:26">
      <c r="A190" s="24">
        <v>179</v>
      </c>
      <c r="B190" s="24" t="s">
        <v>867</v>
      </c>
      <c r="C190" s="24">
        <f>MarketplaceBrowsingFilterSearch!A5</f>
        <v>5</v>
      </c>
      <c r="D190" s="24">
        <f>MarketplaceBrowsingFilterSearch!C5</f>
        <v>0</v>
      </c>
      <c r="E190" s="24">
        <f>MarketplaceBrowsingFilterSearch!F5</f>
        <v>0</v>
      </c>
      <c r="F190" s="24">
        <f>MarketplaceBrowsingFilterSearch!L5</f>
        <v>4</v>
      </c>
      <c r="G190" s="24">
        <f>MarketplaceBrowsingFilterSearch!M5</f>
        <v>1</v>
      </c>
      <c r="H190" s="24">
        <f>MarketplaceBrowsingFilterSearch!N5</f>
        <v>0</v>
      </c>
      <c r="I190" s="24">
        <f>MarketplaceBrowsingFilterSearch!O5</f>
        <v>5</v>
      </c>
      <c r="J190" s="24"/>
      <c r="K190" s="24"/>
      <c r="L190" s="24"/>
      <c r="M190" s="24"/>
      <c r="N190" s="24"/>
      <c r="O190" s="24"/>
      <c r="P190" s="24"/>
      <c r="Q190" s="24"/>
      <c r="R190" s="24"/>
      <c r="S190" s="24"/>
      <c r="T190" s="24"/>
      <c r="U190" s="24"/>
      <c r="V190" s="24"/>
      <c r="W190" s="24"/>
      <c r="X190" s="24"/>
      <c r="Y190" s="24"/>
      <c r="Z190" s="24"/>
    </row>
    <row r="191" ht="15.5" customHeight="1" spans="1:26">
      <c r="A191" s="24">
        <v>180</v>
      </c>
      <c r="B191" s="24" t="s">
        <v>871</v>
      </c>
      <c r="C191" s="24">
        <f>MarketplaceBookmarkAndNavigatio!A5</f>
        <v>2</v>
      </c>
      <c r="D191" s="24">
        <f>MarketplaceBookmarkAndNavigatio!C5</f>
        <v>0</v>
      </c>
      <c r="E191" s="24">
        <f>MarketplaceBookmarkAndNavigatio!F5</f>
        <v>0</v>
      </c>
      <c r="F191" s="24">
        <f>MarketplaceBookmarkAndNavigatio!L5</f>
        <v>2</v>
      </c>
      <c r="G191" s="24">
        <f>MarketplaceBookmarkAndNavigatio!M5</f>
        <v>0</v>
      </c>
      <c r="H191" s="24">
        <f>MarketplaceBookmarkAndNavigatio!N5</f>
        <v>0</v>
      </c>
      <c r="I191" s="24">
        <f>MarketplaceBookmarkAndNavigatio!O5</f>
        <v>2</v>
      </c>
      <c r="J191" s="24"/>
      <c r="K191" s="24"/>
      <c r="L191" s="24"/>
      <c r="M191" s="24"/>
      <c r="N191" s="24"/>
      <c r="O191" s="24"/>
      <c r="P191" s="24"/>
      <c r="Q191" s="24"/>
      <c r="R191" s="24"/>
      <c r="S191" s="24"/>
      <c r="T191" s="24"/>
      <c r="U191" s="24"/>
      <c r="V191" s="24"/>
      <c r="W191" s="24"/>
      <c r="X191" s="24"/>
      <c r="Y191" s="24"/>
      <c r="Z191" s="24"/>
    </row>
    <row r="192" ht="15.5" customHeight="1" spans="1:26">
      <c r="A192" s="24">
        <v>181</v>
      </c>
      <c r="B192" s="24" t="s">
        <v>876</v>
      </c>
      <c r="C192" s="24">
        <f>PracticeSessionStarting!A5</f>
        <v>4</v>
      </c>
      <c r="D192" s="24">
        <f>PracticeSessionStarting!C5</f>
        <v>0</v>
      </c>
      <c r="E192" s="24">
        <f>PracticeSessionStarting!F5</f>
        <v>0</v>
      </c>
      <c r="F192" s="24">
        <f>PracticeSessionStarting!L5</f>
        <v>2</v>
      </c>
      <c r="G192" s="24">
        <f>PracticeSessionStarting!M5</f>
        <v>2</v>
      </c>
      <c r="H192" s="24">
        <f>PracticeSessionStarting!N5</f>
        <v>0</v>
      </c>
      <c r="I192" s="24">
        <f>PracticeSessionStarting!O5</f>
        <v>4</v>
      </c>
      <c r="J192" s="24"/>
      <c r="K192" s="24"/>
      <c r="L192" s="24"/>
      <c r="M192" s="24"/>
      <c r="N192" s="24"/>
      <c r="O192" s="24"/>
      <c r="P192" s="24"/>
      <c r="Q192" s="24"/>
      <c r="R192" s="24"/>
      <c r="S192" s="24"/>
      <c r="T192" s="24"/>
      <c r="U192" s="24"/>
      <c r="V192" s="24"/>
      <c r="W192" s="24"/>
      <c r="X192" s="24"/>
      <c r="Y192" s="24"/>
      <c r="Z192" s="24"/>
    </row>
    <row r="193" ht="15.5" customHeight="1" spans="1:26">
      <c r="A193" s="24">
        <v>182</v>
      </c>
      <c r="B193" s="24" t="s">
        <v>880</v>
      </c>
      <c r="C193" s="24">
        <f>PracticeSessionResume!A5</f>
        <v>1</v>
      </c>
      <c r="D193" s="24">
        <f>PracticeSessionResume!C5</f>
        <v>0</v>
      </c>
      <c r="E193" s="24">
        <f>PracticeSessionResume!F5</f>
        <v>0</v>
      </c>
      <c r="F193" s="24">
        <f>PracticeSessionResume!L5</f>
        <v>1</v>
      </c>
      <c r="G193" s="24">
        <f>PracticeSessionResume!M5</f>
        <v>0</v>
      </c>
      <c r="H193" s="24">
        <f>PracticeSessionResume!N5</f>
        <v>0</v>
      </c>
      <c r="I193" s="24">
        <f>PracticeSessionResume!O5</f>
        <v>1</v>
      </c>
      <c r="J193" s="24"/>
      <c r="K193" s="24"/>
      <c r="L193" s="24"/>
      <c r="M193" s="24"/>
      <c r="N193" s="24"/>
      <c r="O193" s="24"/>
      <c r="P193" s="24"/>
      <c r="Q193" s="24"/>
      <c r="R193" s="24"/>
      <c r="S193" s="24"/>
      <c r="T193" s="24"/>
      <c r="U193" s="24"/>
      <c r="V193" s="24"/>
      <c r="W193" s="24"/>
      <c r="X193" s="24"/>
      <c r="Y193" s="24"/>
      <c r="Z193" s="24"/>
    </row>
    <row r="194" ht="15.5" customHeight="1" spans="1:26">
      <c r="A194" s="24">
        <v>183</v>
      </c>
      <c r="B194" s="24" t="s">
        <v>884</v>
      </c>
      <c r="C194" s="24">
        <f>PracticeSessionFinishAndSubmit!A5</f>
        <v>3</v>
      </c>
      <c r="D194" s="24">
        <f>PracticeSessionFinishAndSubmit!C5</f>
        <v>0</v>
      </c>
      <c r="E194" s="24">
        <f>PracticeSessionFinishAndSubmit!F5</f>
        <v>0</v>
      </c>
      <c r="F194" s="24">
        <f>PracticeSessionFinishAndSubmit!L5</f>
        <v>3</v>
      </c>
      <c r="G194" s="24">
        <f>PracticeSessionFinishAndSubmit!M5</f>
        <v>0</v>
      </c>
      <c r="H194" s="24">
        <f>PracticeSessionFinishAndSubmit!N5</f>
        <v>0</v>
      </c>
      <c r="I194" s="24">
        <f>PracticeSessionFinishAndSubmit!O5</f>
        <v>3</v>
      </c>
      <c r="J194" s="24"/>
      <c r="K194" s="24"/>
      <c r="L194" s="24"/>
      <c r="M194" s="24"/>
      <c r="N194" s="24"/>
      <c r="O194" s="24"/>
      <c r="P194" s="24"/>
      <c r="Q194" s="24"/>
      <c r="R194" s="24"/>
      <c r="S194" s="24"/>
      <c r="T194" s="24"/>
      <c r="U194" s="24"/>
      <c r="V194" s="24"/>
      <c r="W194" s="24"/>
      <c r="X194" s="24"/>
      <c r="Y194" s="24"/>
      <c r="Z194" s="24"/>
    </row>
    <row r="195" ht="15.5" customHeight="1" spans="1:26">
      <c r="A195" s="24">
        <v>184</v>
      </c>
      <c r="B195" s="24" t="s">
        <v>888</v>
      </c>
      <c r="C195" s="24">
        <f>PracticeSessionAutoCompletedFal!A5</f>
        <v>1</v>
      </c>
      <c r="D195" s="24">
        <f>PracticeSessionAutoCompletedFal!C5</f>
        <v>0</v>
      </c>
      <c r="E195" s="24">
        <f>PracticeSessionAutoCompletedFal!F5</f>
        <v>0</v>
      </c>
      <c r="F195" s="24">
        <f>PracticeSessionAutoCompletedFal!L5</f>
        <v>0</v>
      </c>
      <c r="G195" s="24">
        <f>PracticeSessionAutoCompletedFal!M5</f>
        <v>1</v>
      </c>
      <c r="H195" s="24">
        <f>PracticeSessionAutoCompletedFal!N5</f>
        <v>0</v>
      </c>
      <c r="I195" s="24">
        <f>PracticeSessionAutoCompletedFal!O5</f>
        <v>1</v>
      </c>
      <c r="J195" s="24"/>
      <c r="K195" s="24"/>
      <c r="L195" s="24"/>
      <c r="M195" s="24"/>
      <c r="N195" s="24"/>
      <c r="O195" s="24"/>
      <c r="P195" s="24"/>
      <c r="Q195" s="24"/>
      <c r="R195" s="24"/>
      <c r="S195" s="24"/>
      <c r="T195" s="24"/>
      <c r="U195" s="24"/>
      <c r="V195" s="24"/>
      <c r="W195" s="24"/>
      <c r="X195" s="24"/>
      <c r="Y195" s="24"/>
      <c r="Z195" s="24"/>
    </row>
    <row r="196" ht="15.5" customHeight="1" spans="1:26">
      <c r="A196" s="24">
        <v>185</v>
      </c>
      <c r="B196" s="24" t="s">
        <v>893</v>
      </c>
      <c r="C196" s="24">
        <f>PracticeSessionLockedQuestion!A5</f>
        <v>1</v>
      </c>
      <c r="D196" s="24">
        <f>PracticeSessionLockedQuestion!C5</f>
        <v>0</v>
      </c>
      <c r="E196" s="24">
        <f>PracticeSessionLockedQuestion!F5</f>
        <v>0</v>
      </c>
      <c r="F196" s="24">
        <f>PracticeSessionLockedQuestion!L5</f>
        <v>0</v>
      </c>
      <c r="G196" s="24">
        <f>PracticeSessionLockedQuestion!M5</f>
        <v>0</v>
      </c>
      <c r="H196" s="24">
        <f>PracticeSessionLockedQuestion!N5</f>
        <v>1</v>
      </c>
      <c r="I196" s="24">
        <f>PracticeSessionLockedQuestion!O5</f>
        <v>1</v>
      </c>
      <c r="J196" s="24"/>
      <c r="K196" s="24"/>
      <c r="L196" s="24"/>
      <c r="M196" s="24"/>
      <c r="N196" s="24"/>
      <c r="O196" s="24"/>
      <c r="P196" s="24"/>
      <c r="Q196" s="24"/>
      <c r="R196" s="24"/>
      <c r="S196" s="24"/>
      <c r="T196" s="24"/>
      <c r="U196" s="24"/>
      <c r="V196" s="24"/>
      <c r="W196" s="24"/>
      <c r="X196" s="24"/>
      <c r="Y196" s="24"/>
      <c r="Z196" s="24"/>
    </row>
    <row r="197" ht="15.5" customHeight="1" spans="1:26">
      <c r="A197" s="24">
        <v>186</v>
      </c>
      <c r="B197" s="24" t="s">
        <v>899</v>
      </c>
      <c r="C197" s="24">
        <f>PremiumRevokedDialogVisibilityA!A5</f>
        <v>3</v>
      </c>
      <c r="D197" s="24">
        <f>PremiumRevokedDialogVisibilityA!C5</f>
        <v>0</v>
      </c>
      <c r="E197" s="24">
        <f>PremiumRevokedDialogVisibilityA!F5</f>
        <v>0</v>
      </c>
      <c r="F197" s="24">
        <f>PremiumRevokedDialogVisibilityA!L5</f>
        <v>3</v>
      </c>
      <c r="G197" s="24">
        <f>PremiumRevokedDialogVisibilityA!M5</f>
        <v>0</v>
      </c>
      <c r="H197" s="24">
        <f>PremiumRevokedDialogVisibilityA!N5</f>
        <v>0</v>
      </c>
      <c r="I197" s="24">
        <f>PremiumRevokedDialogVisibilityA!O5</f>
        <v>3</v>
      </c>
      <c r="J197" s="24"/>
      <c r="K197" s="24"/>
      <c r="L197" s="24"/>
      <c r="M197" s="24"/>
      <c r="N197" s="24"/>
      <c r="O197" s="24"/>
      <c r="P197" s="24"/>
      <c r="Q197" s="24"/>
      <c r="R197" s="24"/>
      <c r="S197" s="24"/>
      <c r="T197" s="24"/>
      <c r="U197" s="24"/>
      <c r="V197" s="24"/>
      <c r="W197" s="24"/>
      <c r="X197" s="24"/>
      <c r="Y197" s="24"/>
      <c r="Z197" s="24"/>
    </row>
    <row r="198" ht="15.5" customHeight="1" spans="1:26">
      <c r="A198" s="24">
        <v>187</v>
      </c>
      <c r="B198" s="24" t="s">
        <v>904</v>
      </c>
      <c r="C198" s="24">
        <f>PremiumRevokedDialogUpgradeCta!A5</f>
        <v>2</v>
      </c>
      <c r="D198" s="24">
        <f>PremiumRevokedDialogUpgradeCta!C5</f>
        <v>0</v>
      </c>
      <c r="E198" s="24">
        <f>PremiumRevokedDialogUpgradeCta!F5</f>
        <v>0</v>
      </c>
      <c r="F198" s="24">
        <f>PremiumRevokedDialogUpgradeCta!L5</f>
        <v>2</v>
      </c>
      <c r="G198" s="24">
        <f>PremiumRevokedDialogUpgradeCta!M5</f>
        <v>0</v>
      </c>
      <c r="H198" s="24">
        <f>PremiumRevokedDialogUpgradeCta!N5</f>
        <v>0</v>
      </c>
      <c r="I198" s="24">
        <f>PremiumRevokedDialogUpgradeCta!O5</f>
        <v>2</v>
      </c>
      <c r="J198" s="24"/>
      <c r="K198" s="24"/>
      <c r="L198" s="24"/>
      <c r="M198" s="24"/>
      <c r="N198" s="24"/>
      <c r="O198" s="24"/>
      <c r="P198" s="24"/>
      <c r="Q198" s="24"/>
      <c r="R198" s="24"/>
      <c r="S198" s="24"/>
      <c r="T198" s="24"/>
      <c r="U198" s="24"/>
      <c r="V198" s="24"/>
      <c r="W198" s="24"/>
      <c r="X198" s="24"/>
      <c r="Y198" s="24"/>
      <c r="Z198" s="24"/>
    </row>
    <row r="199" ht="15.5" customHeight="1" spans="1:26">
      <c r="A199" s="24">
        <v>188</v>
      </c>
      <c r="B199" s="24" t="s">
        <v>908</v>
      </c>
      <c r="C199" s="24">
        <f>PremiumRevokedDialogCloseVarian!A5</f>
        <v>4</v>
      </c>
      <c r="D199" s="24">
        <f>PremiumRevokedDialogCloseVarian!C5</f>
        <v>0</v>
      </c>
      <c r="E199" s="24">
        <f>PremiumRevokedDialogCloseVarian!F5</f>
        <v>0</v>
      </c>
      <c r="F199" s="24">
        <f>PremiumRevokedDialogCloseVarian!L5</f>
        <v>4</v>
      </c>
      <c r="G199" s="24">
        <f>PremiumRevokedDialogCloseVarian!M5</f>
        <v>0</v>
      </c>
      <c r="H199" s="24">
        <f>PremiumRevokedDialogCloseVarian!N5</f>
        <v>0</v>
      </c>
      <c r="I199" s="24">
        <f>PremiumRevokedDialogCloseVarian!O5</f>
        <v>4</v>
      </c>
      <c r="J199" s="24"/>
      <c r="K199" s="24"/>
      <c r="L199" s="24"/>
      <c r="M199" s="24"/>
      <c r="N199" s="24"/>
      <c r="O199" s="24"/>
      <c r="P199" s="24"/>
      <c r="Q199" s="24"/>
      <c r="R199" s="24"/>
      <c r="S199" s="24"/>
      <c r="T199" s="24"/>
      <c r="U199" s="24"/>
      <c r="V199" s="24"/>
      <c r="W199" s="24"/>
      <c r="X199" s="24"/>
      <c r="Y199" s="24"/>
      <c r="Z199" s="24"/>
    </row>
    <row r="200" ht="15.5" customHeight="1" spans="1:26">
      <c r="A200" s="24">
        <v>189</v>
      </c>
      <c r="B200" s="24" t="s">
        <v>913</v>
      </c>
      <c r="C200" s="24">
        <f>SubscriptionHubConnectionNeverT!A5</f>
        <v>2</v>
      </c>
      <c r="D200" s="24">
        <f>SubscriptionHubConnectionNeverT!C5</f>
        <v>0</v>
      </c>
      <c r="E200" s="24">
        <f>SubscriptionHubConnectionNeverT!F5</f>
        <v>0</v>
      </c>
      <c r="F200" s="24">
        <f>SubscriptionHubConnectionNeverT!L5</f>
        <v>0</v>
      </c>
      <c r="G200" s="24">
        <f>SubscriptionHubConnectionNeverT!M5</f>
        <v>2</v>
      </c>
      <c r="H200" s="24">
        <f>SubscriptionHubConnectionNeverT!N5</f>
        <v>0</v>
      </c>
      <c r="I200" s="24">
        <f>SubscriptionHubConnectionNeverT!O5</f>
        <v>2</v>
      </c>
      <c r="J200" s="24"/>
      <c r="K200" s="24"/>
      <c r="L200" s="24"/>
      <c r="M200" s="24"/>
      <c r="N200" s="24"/>
      <c r="O200" s="24"/>
      <c r="P200" s="24"/>
      <c r="Q200" s="24"/>
      <c r="R200" s="24"/>
      <c r="S200" s="24"/>
      <c r="T200" s="24"/>
      <c r="U200" s="24"/>
      <c r="V200" s="24"/>
      <c r="W200" s="24"/>
      <c r="X200" s="24"/>
      <c r="Y200" s="24"/>
      <c r="Z200" s="24"/>
    </row>
    <row r="201" ht="15.5" customHeight="1" spans="1:26">
      <c r="A201" s="24">
        <v>190</v>
      </c>
      <c r="B201" s="24" t="s">
        <v>918</v>
      </c>
      <c r="C201" s="24">
        <f>SubscriptionRealtimeFallbackPol!A5</f>
        <v>4</v>
      </c>
      <c r="D201" s="24">
        <f>SubscriptionRealtimeFallbackPol!C5</f>
        <v>0</v>
      </c>
      <c r="E201" s="24">
        <f>SubscriptionRealtimeFallbackPol!F5</f>
        <v>0</v>
      </c>
      <c r="F201" s="24">
        <f>SubscriptionRealtimeFallbackPol!L5</f>
        <v>2</v>
      </c>
      <c r="G201" s="24">
        <f>SubscriptionRealtimeFallbackPol!M5</f>
        <v>1</v>
      </c>
      <c r="H201" s="24">
        <f>SubscriptionRealtimeFallbackPol!N5</f>
        <v>1</v>
      </c>
      <c r="I201" s="24">
        <f>SubscriptionRealtimeFallbackPol!O5</f>
        <v>4</v>
      </c>
      <c r="J201" s="24"/>
      <c r="K201" s="24"/>
      <c r="L201" s="24"/>
      <c r="M201" s="24"/>
      <c r="N201" s="24"/>
      <c r="O201" s="24"/>
      <c r="P201" s="24"/>
      <c r="Q201" s="24"/>
      <c r="R201" s="24"/>
      <c r="S201" s="24"/>
      <c r="T201" s="24"/>
      <c r="U201" s="24"/>
      <c r="V201" s="24"/>
      <c r="W201" s="24"/>
      <c r="X201" s="24"/>
      <c r="Y201" s="24"/>
      <c r="Z201" s="24"/>
    </row>
    <row r="202" ht="15.5" customHeight="1" spans="1:26">
      <c r="A202" s="24">
        <v>191</v>
      </c>
      <c r="B202" s="24" t="s">
        <v>925</v>
      </c>
      <c r="C202" s="24">
        <f>HealthCheckEndpoints!A5</f>
        <v>3</v>
      </c>
      <c r="D202" s="24">
        <f>HealthCheckEndpoints!C5</f>
        <v>0</v>
      </c>
      <c r="E202" s="24">
        <f>HealthCheckEndpoints!F5</f>
        <v>0</v>
      </c>
      <c r="F202" s="24">
        <f>HealthCheckEndpoints!L5</f>
        <v>2</v>
      </c>
      <c r="G202" s="24">
        <f>HealthCheckEndpoints!M5</f>
        <v>1</v>
      </c>
      <c r="H202" s="24">
        <f>HealthCheckEndpoints!N5</f>
        <v>0</v>
      </c>
      <c r="I202" s="24">
        <f>HealthCheckEndpoints!O5</f>
        <v>3</v>
      </c>
      <c r="J202" s="24"/>
      <c r="K202" s="24"/>
      <c r="L202" s="24"/>
      <c r="M202" s="24"/>
      <c r="N202" s="24"/>
      <c r="O202" s="24"/>
      <c r="P202" s="24"/>
      <c r="Q202" s="24"/>
      <c r="R202" s="24"/>
      <c r="S202" s="24"/>
      <c r="T202" s="24"/>
      <c r="U202" s="24"/>
      <c r="V202" s="24"/>
      <c r="W202" s="24"/>
      <c r="X202" s="24"/>
      <c r="Y202" s="24"/>
      <c r="Z202" s="24"/>
    </row>
    <row r="203" ht="15.5" customHeight="1" spans="1:26">
      <c r="A203" s="24">
        <v>192</v>
      </c>
      <c r="B203" s="24" t="s">
        <v>929</v>
      </c>
      <c r="C203" s="24">
        <f>InternalApiKeyAuthGate!A5</f>
        <v>4</v>
      </c>
      <c r="D203" s="24">
        <f>InternalApiKeyAuthGate!C5</f>
        <v>0</v>
      </c>
      <c r="E203" s="24">
        <f>InternalApiKeyAuthGate!F5</f>
        <v>0</v>
      </c>
      <c r="F203" s="24">
        <f>InternalApiKeyAuthGate!L5</f>
        <v>1</v>
      </c>
      <c r="G203" s="24">
        <f>InternalApiKeyAuthGate!M5</f>
        <v>2</v>
      </c>
      <c r="H203" s="24">
        <f>InternalApiKeyAuthGate!N5</f>
        <v>1</v>
      </c>
      <c r="I203" s="24">
        <f>InternalApiKeyAuthGate!O5</f>
        <v>4</v>
      </c>
      <c r="J203" s="24"/>
      <c r="K203" s="24"/>
      <c r="L203" s="24"/>
      <c r="M203" s="24"/>
      <c r="N203" s="24"/>
      <c r="O203" s="24"/>
      <c r="P203" s="24"/>
      <c r="Q203" s="24"/>
      <c r="R203" s="24"/>
      <c r="S203" s="24"/>
      <c r="T203" s="24"/>
      <c r="U203" s="24"/>
      <c r="V203" s="24"/>
      <c r="W203" s="24"/>
      <c r="X203" s="24"/>
      <c r="Y203" s="24"/>
      <c r="Z203" s="24"/>
    </row>
    <row r="204" ht="15.5" customHeight="1" spans="1:26">
      <c r="A204" s="24">
        <v>193</v>
      </c>
      <c r="B204" s="24" t="s">
        <v>933</v>
      </c>
      <c r="C204" s="24">
        <f>ChatEndpointValidation!A5</f>
        <v>4</v>
      </c>
      <c r="D204" s="24">
        <f>ChatEndpointValidation!C5</f>
        <v>0</v>
      </c>
      <c r="E204" s="24">
        <f>ChatEndpointValidation!F5</f>
        <v>0</v>
      </c>
      <c r="F204" s="24">
        <f>ChatEndpointValidation!L5</f>
        <v>2</v>
      </c>
      <c r="G204" s="24">
        <f>ChatEndpointValidation!M5</f>
        <v>2</v>
      </c>
      <c r="H204" s="24">
        <f>ChatEndpointValidation!N5</f>
        <v>0</v>
      </c>
      <c r="I204" s="24">
        <f>ChatEndpointValidation!O5</f>
        <v>4</v>
      </c>
      <c r="J204" s="24"/>
      <c r="K204" s="24"/>
      <c r="L204" s="24"/>
      <c r="M204" s="24"/>
      <c r="N204" s="24"/>
      <c r="O204" s="24"/>
      <c r="P204" s="24"/>
      <c r="Q204" s="24"/>
      <c r="R204" s="24"/>
      <c r="S204" s="24"/>
      <c r="T204" s="24"/>
      <c r="U204" s="24"/>
      <c r="V204" s="24"/>
      <c r="W204" s="24"/>
      <c r="X204" s="24"/>
      <c r="Y204" s="24"/>
      <c r="Z204" s="24"/>
    </row>
    <row r="205" ht="15.5" customHeight="1" spans="1:26">
      <c r="A205" s="24">
        <v>194</v>
      </c>
      <c r="B205" s="24" t="s">
        <v>937</v>
      </c>
      <c r="C205" s="24">
        <f>IngestSystemFilesValidation!A5</f>
        <v>6</v>
      </c>
      <c r="D205" s="24">
        <f>IngestSystemFilesValidation!C5</f>
        <v>0</v>
      </c>
      <c r="E205" s="24">
        <f>IngestSystemFilesValidation!F5</f>
        <v>0</v>
      </c>
      <c r="F205" s="24">
        <f>IngestSystemFilesValidation!L5</f>
        <v>1</v>
      </c>
      <c r="G205" s="24">
        <f>IngestSystemFilesValidation!M5</f>
        <v>4</v>
      </c>
      <c r="H205" s="24">
        <f>IngestSystemFilesValidation!N5</f>
        <v>1</v>
      </c>
      <c r="I205" s="24">
        <f>IngestSystemFilesValidation!O5</f>
        <v>6</v>
      </c>
      <c r="J205" s="24"/>
      <c r="K205" s="24"/>
      <c r="L205" s="24"/>
      <c r="M205" s="24"/>
      <c r="N205" s="24"/>
      <c r="O205" s="24"/>
      <c r="P205" s="24"/>
      <c r="Q205" s="24"/>
      <c r="R205" s="24"/>
      <c r="S205" s="24"/>
      <c r="T205" s="24"/>
      <c r="U205" s="24"/>
      <c r="V205" s="24"/>
      <c r="W205" s="24"/>
      <c r="X205" s="24"/>
      <c r="Y205" s="24"/>
      <c r="Z205" s="24"/>
    </row>
    <row r="206" ht="15.5" customHeight="1" spans="1:26">
      <c r="A206" s="24">
        <v>195</v>
      </c>
      <c r="B206" s="24" t="s">
        <v>941</v>
      </c>
      <c r="C206" s="24">
        <f>IngestHrFilesValidation!A5</f>
        <v>3</v>
      </c>
      <c r="D206" s="24">
        <f>IngestHrFilesValidation!C5</f>
        <v>0</v>
      </c>
      <c r="E206" s="24">
        <f>IngestHrFilesValidation!F5</f>
        <v>0</v>
      </c>
      <c r="F206" s="24">
        <f>IngestHrFilesValidation!L5</f>
        <v>1</v>
      </c>
      <c r="G206" s="24">
        <f>IngestHrFilesValidation!M5</f>
        <v>1</v>
      </c>
      <c r="H206" s="24">
        <f>IngestHrFilesValidation!N5</f>
        <v>1</v>
      </c>
      <c r="I206" s="24">
        <f>IngestHrFilesValidation!O5</f>
        <v>3</v>
      </c>
      <c r="J206" s="24"/>
      <c r="K206" s="24"/>
      <c r="L206" s="24"/>
      <c r="M206" s="24"/>
      <c r="N206" s="24"/>
      <c r="O206" s="24"/>
      <c r="P206" s="24"/>
      <c r="Q206" s="24"/>
      <c r="R206" s="24"/>
      <c r="S206" s="24"/>
      <c r="T206" s="24"/>
      <c r="U206" s="24"/>
      <c r="V206" s="24"/>
      <c r="W206" s="24"/>
      <c r="X206" s="24"/>
      <c r="Y206" s="24"/>
      <c r="Z206" s="24"/>
    </row>
    <row r="207" ht="15.5" customHeight="1" spans="1:26">
      <c r="A207" s="24">
        <v>196</v>
      </c>
      <c r="B207" s="24" t="s">
        <v>945</v>
      </c>
      <c r="C207" s="24">
        <f>JdValidationRules!A5</f>
        <v>8</v>
      </c>
      <c r="D207" s="24">
        <f>JdValidationRules!C5</f>
        <v>0</v>
      </c>
      <c r="E207" s="24">
        <f>JdValidationRules!F5</f>
        <v>0</v>
      </c>
      <c r="F207" s="24">
        <f>JdValidationRules!L5</f>
        <v>1</v>
      </c>
      <c r="G207" s="24">
        <f>JdValidationRules!M5</f>
        <v>7</v>
      </c>
      <c r="H207" s="24">
        <f>JdValidationRules!N5</f>
        <v>0</v>
      </c>
      <c r="I207" s="24">
        <f>JdValidationRules!O5</f>
        <v>8</v>
      </c>
      <c r="J207" s="24"/>
      <c r="K207" s="24"/>
      <c r="L207" s="24"/>
      <c r="M207" s="24"/>
      <c r="N207" s="24"/>
      <c r="O207" s="24"/>
      <c r="P207" s="24"/>
      <c r="Q207" s="24"/>
      <c r="R207" s="24"/>
      <c r="S207" s="24"/>
      <c r="T207" s="24"/>
      <c r="U207" s="24"/>
      <c r="V207" s="24"/>
      <c r="W207" s="24"/>
      <c r="X207" s="24"/>
      <c r="Y207" s="24"/>
      <c r="Z207" s="24"/>
    </row>
    <row r="208" ht="15.5" customHeight="1" spans="1:26">
      <c r="A208" s="24">
        <v>197</v>
      </c>
      <c r="B208" s="24" t="s">
        <v>949</v>
      </c>
      <c r="C208" s="24">
        <f>InterviewPlanStartValidation!A5</f>
        <v>4</v>
      </c>
      <c r="D208" s="24">
        <f>InterviewPlanStartValidation!C5</f>
        <v>0</v>
      </c>
      <c r="E208" s="24">
        <f>InterviewPlanStartValidation!F5</f>
        <v>0</v>
      </c>
      <c r="F208" s="24">
        <f>InterviewPlanStartValidation!L5</f>
        <v>1</v>
      </c>
      <c r="G208" s="24">
        <f>InterviewPlanStartValidation!M5</f>
        <v>3</v>
      </c>
      <c r="H208" s="24">
        <f>InterviewPlanStartValidation!N5</f>
        <v>0</v>
      </c>
      <c r="I208" s="24">
        <f>InterviewPlanStartValidation!O5</f>
        <v>4</v>
      </c>
      <c r="J208" s="24"/>
      <c r="K208" s="24"/>
      <c r="L208" s="24"/>
      <c r="M208" s="24"/>
      <c r="N208" s="24"/>
      <c r="O208" s="24"/>
      <c r="P208" s="24"/>
      <c r="Q208" s="24"/>
      <c r="R208" s="24"/>
      <c r="S208" s="24"/>
      <c r="T208" s="24"/>
      <c r="U208" s="24"/>
      <c r="V208" s="24"/>
      <c r="W208" s="24"/>
      <c r="X208" s="24"/>
      <c r="Y208" s="24"/>
      <c r="Z208" s="24"/>
    </row>
    <row r="209" ht="15.5" customHeight="1" spans="1:26">
      <c r="A209" s="24">
        <v>198</v>
      </c>
      <c r="B209" s="24" t="s">
        <v>953</v>
      </c>
      <c r="C209" s="24">
        <f>InterviewPlanMessagesClarifyLoo!A5</f>
        <v>4</v>
      </c>
      <c r="D209" s="24">
        <f>InterviewPlanMessagesClarifyLoo!C5</f>
        <v>0</v>
      </c>
      <c r="E209" s="24">
        <f>InterviewPlanMessagesClarifyLoo!F5</f>
        <v>0</v>
      </c>
      <c r="F209" s="24">
        <f>InterviewPlanMessagesClarifyLoo!L5</f>
        <v>1</v>
      </c>
      <c r="G209" s="24">
        <f>InterviewPlanMessagesClarifyLoo!M5</f>
        <v>1</v>
      </c>
      <c r="H209" s="24">
        <f>InterviewPlanMessagesClarifyLoo!N5</f>
        <v>2</v>
      </c>
      <c r="I209" s="24">
        <f>InterviewPlanMessagesClarifyLoo!O5</f>
        <v>4</v>
      </c>
      <c r="J209" s="24"/>
      <c r="K209" s="24"/>
      <c r="L209" s="24"/>
      <c r="M209" s="24"/>
      <c r="N209" s="24"/>
      <c r="O209" s="24"/>
      <c r="P209" s="24"/>
      <c r="Q209" s="24"/>
      <c r="R209" s="24"/>
      <c r="S209" s="24"/>
      <c r="T209" s="24"/>
      <c r="U209" s="24"/>
      <c r="V209" s="24"/>
      <c r="W209" s="24"/>
      <c r="X209" s="24"/>
      <c r="Y209" s="24"/>
      <c r="Z209" s="24"/>
    </row>
    <row r="210" ht="15.5" customHeight="1" spans="1:26">
      <c r="A210" s="24">
        <v>199</v>
      </c>
      <c r="B210" s="24" t="s">
        <v>958</v>
      </c>
      <c r="C210" s="24">
        <f>InterviewPlanConfirmValidation!A5</f>
        <v>5</v>
      </c>
      <c r="D210" s="24">
        <f>InterviewPlanConfirmValidation!C5</f>
        <v>0</v>
      </c>
      <c r="E210" s="24">
        <f>InterviewPlanConfirmValidation!F5</f>
        <v>0</v>
      </c>
      <c r="F210" s="24">
        <f>InterviewPlanConfirmValidation!L5</f>
        <v>1</v>
      </c>
      <c r="G210" s="24">
        <f>InterviewPlanConfirmValidation!M5</f>
        <v>4</v>
      </c>
      <c r="H210" s="24">
        <f>InterviewPlanConfirmValidation!N5</f>
        <v>0</v>
      </c>
      <c r="I210" s="24">
        <f>InterviewPlanConfirmValidation!O5</f>
        <v>5</v>
      </c>
      <c r="J210" s="24"/>
      <c r="K210" s="24"/>
      <c r="L210" s="24"/>
      <c r="M210" s="24"/>
      <c r="N210" s="24"/>
      <c r="O210" s="24"/>
      <c r="P210" s="24"/>
      <c r="Q210" s="24"/>
      <c r="R210" s="24"/>
      <c r="S210" s="24"/>
      <c r="T210" s="24"/>
      <c r="U210" s="24"/>
      <c r="V210" s="24"/>
      <c r="W210" s="24"/>
      <c r="X210" s="24"/>
      <c r="Y210" s="24"/>
      <c r="Z210" s="24"/>
    </row>
    <row r="211" ht="15.5" customHeight="1" spans="1:26">
      <c r="A211" s="24">
        <v>200</v>
      </c>
      <c r="B211" s="24" t="s">
        <v>962</v>
      </c>
      <c r="C211" s="24">
        <f>InterviewQuestionsGenerateValid!A5</f>
        <v>4</v>
      </c>
      <c r="D211" s="24">
        <f>InterviewQuestionsGenerateValid!C5</f>
        <v>0</v>
      </c>
      <c r="E211" s="24">
        <f>InterviewQuestionsGenerateValid!F5</f>
        <v>0</v>
      </c>
      <c r="F211" s="24">
        <f>InterviewQuestionsGenerateValid!L5</f>
        <v>2</v>
      </c>
      <c r="G211" s="24">
        <f>InterviewQuestionsGenerateValid!M5</f>
        <v>1</v>
      </c>
      <c r="H211" s="24">
        <f>InterviewQuestionsGenerateValid!N5</f>
        <v>1</v>
      </c>
      <c r="I211" s="24">
        <f>InterviewQuestionsGenerateValid!O5</f>
        <v>4</v>
      </c>
      <c r="J211" s="24"/>
      <c r="K211" s="24"/>
      <c r="L211" s="24"/>
      <c r="M211" s="24"/>
      <c r="N211" s="24"/>
      <c r="O211" s="24"/>
      <c r="P211" s="24"/>
      <c r="Q211" s="24"/>
      <c r="R211" s="24"/>
      <c r="S211" s="24"/>
      <c r="T211" s="24"/>
      <c r="U211" s="24"/>
      <c r="V211" s="24"/>
      <c r="W211" s="24"/>
      <c r="X211" s="24"/>
      <c r="Y211" s="24"/>
      <c r="Z211" s="24"/>
    </row>
    <row r="212" ht="15.5" customHeight="1" spans="1:26">
      <c r="A212" s="24">
        <v>201</v>
      </c>
      <c r="B212" s="24" t="s">
        <v>967</v>
      </c>
      <c r="C212" s="24">
        <f>ErrorResponseEnvelopeConsistenc!A5</f>
        <v>3</v>
      </c>
      <c r="D212" s="24">
        <f>ErrorResponseEnvelopeConsistenc!C5</f>
        <v>0</v>
      </c>
      <c r="E212" s="24">
        <f>ErrorResponseEnvelopeConsistenc!F5</f>
        <v>0</v>
      </c>
      <c r="F212" s="24">
        <f>ErrorResponseEnvelopeConsistenc!L5</f>
        <v>1</v>
      </c>
      <c r="G212" s="24">
        <f>ErrorResponseEnvelopeConsistenc!M5</f>
        <v>2</v>
      </c>
      <c r="H212" s="24">
        <f>ErrorResponseEnvelopeConsistenc!N5</f>
        <v>0</v>
      </c>
      <c r="I212" s="24">
        <f>ErrorResponseEnvelopeConsistenc!O5</f>
        <v>3</v>
      </c>
      <c r="J212" s="24"/>
      <c r="K212" s="24"/>
      <c r="L212" s="24"/>
      <c r="M212" s="24"/>
      <c r="N212" s="24"/>
      <c r="O212" s="24"/>
      <c r="P212" s="24"/>
      <c r="Q212" s="24"/>
      <c r="R212" s="24"/>
      <c r="S212" s="24"/>
      <c r="T212" s="24"/>
      <c r="U212" s="24"/>
      <c r="V212" s="24"/>
      <c r="W212" s="24"/>
      <c r="X212" s="24"/>
      <c r="Y212" s="24"/>
      <c r="Z212" s="24"/>
    </row>
    <row r="213" ht="15.5" customHeight="1" spans="1:26">
      <c r="A213" s="24">
        <v>202</v>
      </c>
      <c r="B213" s="24" t="s">
        <v>972</v>
      </c>
      <c r="C213" s="24">
        <f>LlmErrorMapping!A5</f>
        <v>3</v>
      </c>
      <c r="D213" s="24">
        <f>LlmErrorMapping!C5</f>
        <v>0</v>
      </c>
      <c r="E213" s="24">
        <f>LlmErrorMapping!F5</f>
        <v>0</v>
      </c>
      <c r="F213" s="24">
        <f>LlmErrorMapping!L5</f>
        <v>1</v>
      </c>
      <c r="G213" s="24">
        <f>LlmErrorMapping!M5</f>
        <v>2</v>
      </c>
      <c r="H213" s="24">
        <f>LlmErrorMapping!N5</f>
        <v>0</v>
      </c>
      <c r="I213" s="24">
        <f>LlmErrorMapping!O5</f>
        <v>3</v>
      </c>
      <c r="J213" s="24"/>
      <c r="K213" s="24"/>
      <c r="L213" s="24"/>
      <c r="M213" s="24"/>
      <c r="N213" s="24"/>
      <c r="O213" s="24"/>
      <c r="P213" s="24"/>
      <c r="Q213" s="24"/>
      <c r="R213" s="24"/>
      <c r="S213" s="24"/>
      <c r="T213" s="24"/>
      <c r="U213" s="24"/>
      <c r="V213" s="24"/>
      <c r="W213" s="24"/>
      <c r="X213" s="24"/>
      <c r="Y213" s="24"/>
      <c r="Z213" s="24"/>
    </row>
    <row r="214" ht="15.5" customHeight="1" spans="1:26">
      <c r="A214" s="24">
        <v>203</v>
      </c>
      <c r="B214" s="24" t="s">
        <v>976</v>
      </c>
      <c r="C214" s="24">
        <f>LegacyEndpointsDeprecation!A5</f>
        <v>4</v>
      </c>
      <c r="D214" s="24">
        <f>LegacyEndpointsDeprecation!C5</f>
        <v>0</v>
      </c>
      <c r="E214" s="24">
        <f>LegacyEndpointsDeprecation!F5</f>
        <v>0</v>
      </c>
      <c r="F214" s="24">
        <f>LegacyEndpointsDeprecation!L5</f>
        <v>3</v>
      </c>
      <c r="G214" s="24">
        <f>LegacyEndpointsDeprecation!M5</f>
        <v>0</v>
      </c>
      <c r="H214" s="24">
        <f>LegacyEndpointsDeprecation!N5</f>
        <v>1</v>
      </c>
      <c r="I214" s="24">
        <f>LegacyEndpointsDeprecation!O5</f>
        <v>4</v>
      </c>
      <c r="J214" s="24"/>
      <c r="K214" s="24"/>
      <c r="L214" s="24"/>
      <c r="M214" s="24"/>
      <c r="N214" s="24"/>
      <c r="O214" s="24"/>
      <c r="P214" s="24"/>
      <c r="Q214" s="24"/>
      <c r="R214" s="24"/>
      <c r="S214" s="24"/>
      <c r="T214" s="24"/>
      <c r="U214" s="24"/>
      <c r="V214" s="24"/>
      <c r="W214" s="24"/>
      <c r="X214" s="24"/>
      <c r="Y214" s="24"/>
      <c r="Z214" s="24"/>
    </row>
    <row r="215" ht="15.5" customHeight="1" spans="1:26">
      <c r="A215" s="24">
        <v>204</v>
      </c>
      <c r="B215" s="24" t="s">
        <v>980</v>
      </c>
      <c r="C215" s="24">
        <f>SynchronousBlockingNoTimeout!A5</f>
        <v>2</v>
      </c>
      <c r="D215" s="24">
        <f>SynchronousBlockingNoTimeout!C5</f>
        <v>0</v>
      </c>
      <c r="E215" s="24">
        <f>SynchronousBlockingNoTimeout!F5</f>
        <v>0</v>
      </c>
      <c r="F215" s="24">
        <f>SynchronousBlockingNoTimeout!L5</f>
        <v>1</v>
      </c>
      <c r="G215" s="24">
        <f>SynchronousBlockingNoTimeout!M5</f>
        <v>0</v>
      </c>
      <c r="H215" s="24">
        <f>SynchronousBlockingNoTimeout!N5</f>
        <v>1</v>
      </c>
      <c r="I215" s="24">
        <f>SynchronousBlockingNoTimeout!O5</f>
        <v>2</v>
      </c>
      <c r="J215" s="24"/>
      <c r="K215" s="24"/>
      <c r="L215" s="24"/>
      <c r="M215" s="24"/>
      <c r="N215" s="24"/>
      <c r="O215" s="24"/>
      <c r="P215" s="24"/>
      <c r="Q215" s="24"/>
      <c r="R215" s="24"/>
      <c r="S215" s="24"/>
      <c r="T215" s="24"/>
      <c r="U215" s="24"/>
      <c r="V215" s="24"/>
      <c r="W215" s="24"/>
      <c r="X215" s="24"/>
      <c r="Y215" s="24"/>
      <c r="Z215" s="24"/>
    </row>
    <row r="216" ht="15.5" customHeight="1" spans="1:26">
      <c r="A216" s="24">
        <v>205</v>
      </c>
      <c r="B216" s="24" t="s">
        <v>984</v>
      </c>
      <c r="C216" s="24">
        <f>NoCorsMiddlewareConfigured!A5</f>
        <v>2</v>
      </c>
      <c r="D216" s="24">
        <f>NoCorsMiddlewareConfigured!C5</f>
        <v>0</v>
      </c>
      <c r="E216" s="24">
        <f>NoCorsMiddlewareConfigured!F5</f>
        <v>0</v>
      </c>
      <c r="F216" s="24">
        <f>NoCorsMiddlewareConfigured!L5</f>
        <v>1</v>
      </c>
      <c r="G216" s="24">
        <f>NoCorsMiddlewareConfigured!M5</f>
        <v>0</v>
      </c>
      <c r="H216" s="24">
        <f>NoCorsMiddlewareConfigured!N5</f>
        <v>1</v>
      </c>
      <c r="I216" s="24">
        <f>NoCorsMiddlewareConfigured!O5</f>
        <v>2</v>
      </c>
      <c r="J216" s="24"/>
      <c r="K216" s="24"/>
      <c r="L216" s="24"/>
      <c r="M216" s="24"/>
      <c r="N216" s="24"/>
      <c r="O216" s="24"/>
      <c r="P216" s="24"/>
      <c r="Q216" s="24"/>
      <c r="R216" s="24"/>
      <c r="S216" s="24"/>
      <c r="T216" s="24"/>
      <c r="U216" s="24"/>
      <c r="V216" s="24"/>
      <c r="W216" s="24"/>
      <c r="X216" s="24"/>
      <c r="Y216" s="24"/>
      <c r="Z216" s="24"/>
    </row>
    <row r="217" ht="15.5" customHeight="1" spans="1:26">
      <c r="A217" s="24">
        <v>206</v>
      </c>
      <c r="B217" s="24" t="s">
        <v>988</v>
      </c>
      <c r="C217" s="24">
        <f>NoRateLimitingConfigured!A5</f>
        <v>2</v>
      </c>
      <c r="D217" s="24">
        <f>NoRateLimitingConfigured!C5</f>
        <v>0</v>
      </c>
      <c r="E217" s="24">
        <f>NoRateLimitingConfigured!F5</f>
        <v>0</v>
      </c>
      <c r="F217" s="24">
        <f>NoRateLimitingConfigured!L5</f>
        <v>0</v>
      </c>
      <c r="G217" s="24">
        <f>NoRateLimitingConfigured!M5</f>
        <v>0</v>
      </c>
      <c r="H217" s="24">
        <f>NoRateLimitingConfigured!N5</f>
        <v>2</v>
      </c>
      <c r="I217" s="24">
        <f>NoRateLimitingConfigured!O5</f>
        <v>2</v>
      </c>
      <c r="J217" s="24"/>
      <c r="K217" s="24"/>
      <c r="L217" s="24"/>
      <c r="M217" s="24"/>
      <c r="N217" s="24"/>
      <c r="O217" s="24"/>
      <c r="P217" s="24"/>
      <c r="Q217" s="24"/>
      <c r="R217" s="24"/>
      <c r="S217" s="24"/>
      <c r="T217" s="24"/>
      <c r="U217" s="24"/>
      <c r="V217" s="24"/>
      <c r="W217" s="24"/>
      <c r="X217" s="24"/>
      <c r="Y217" s="24"/>
      <c r="Z217" s="24"/>
    </row>
    <row r="218" ht="15.5" customHeight="1" spans="1:26">
      <c r="A218" s="24">
        <v>207</v>
      </c>
      <c r="B218" s="24" t="s">
        <v>992</v>
      </c>
      <c r="C218" s="24">
        <f>StartupNoFailFastValidation!A5</f>
        <v>3</v>
      </c>
      <c r="D218" s="24">
        <f>StartupNoFailFastValidation!C5</f>
        <v>0</v>
      </c>
      <c r="E218" s="24">
        <f>StartupNoFailFastValidation!F5</f>
        <v>0</v>
      </c>
      <c r="F218" s="24">
        <f>StartupNoFailFastValidation!L5</f>
        <v>0</v>
      </c>
      <c r="G218" s="24">
        <f>StartupNoFailFastValidation!M5</f>
        <v>0</v>
      </c>
      <c r="H218" s="24">
        <f>StartupNoFailFastValidation!N5</f>
        <v>3</v>
      </c>
      <c r="I218" s="24">
        <f>StartupNoFailFastValidation!O5</f>
        <v>3</v>
      </c>
      <c r="J218" s="24"/>
      <c r="K218" s="24"/>
      <c r="L218" s="24"/>
      <c r="M218" s="24"/>
      <c r="N218" s="24"/>
      <c r="O218" s="24"/>
      <c r="P218" s="24"/>
      <c r="Q218" s="24"/>
      <c r="R218" s="24"/>
      <c r="S218" s="24"/>
      <c r="T218" s="24"/>
      <c r="U218" s="24"/>
      <c r="V218" s="24"/>
      <c r="W218" s="24"/>
      <c r="X218" s="24"/>
      <c r="Y218" s="24"/>
      <c r="Z218" s="24"/>
    </row>
    <row r="219" ht="15.5" customHeight="1" spans="1:26">
      <c r="A219" s="24">
        <v>208</v>
      </c>
      <c r="B219" s="24" t="s">
        <v>996</v>
      </c>
      <c r="C219" s="24">
        <f>FileExtensionAllowList!A5</f>
        <v>9</v>
      </c>
      <c r="D219" s="24">
        <f>FileExtensionAllowList!C5</f>
        <v>0</v>
      </c>
      <c r="E219" s="24">
        <f>FileExtensionAllowList!F5</f>
        <v>0</v>
      </c>
      <c r="F219" s="24">
        <f>FileExtensionAllowList!L5</f>
        <v>7</v>
      </c>
      <c r="G219" s="24">
        <f>FileExtensionAllowList!M5</f>
        <v>2</v>
      </c>
      <c r="H219" s="24">
        <f>FileExtensionAllowList!N5</f>
        <v>0</v>
      </c>
      <c r="I219" s="24">
        <f>FileExtensionAllowList!O5</f>
        <v>9</v>
      </c>
      <c r="J219" s="24"/>
      <c r="K219" s="24"/>
      <c r="L219" s="24"/>
      <c r="M219" s="24"/>
      <c r="N219" s="24"/>
      <c r="O219" s="24"/>
      <c r="P219" s="24"/>
      <c r="Q219" s="24"/>
      <c r="R219" s="24"/>
      <c r="S219" s="24"/>
      <c r="T219" s="24"/>
      <c r="U219" s="24"/>
      <c r="V219" s="24"/>
      <c r="W219" s="24"/>
      <c r="X219" s="24"/>
      <c r="Y219" s="24"/>
      <c r="Z219" s="24"/>
    </row>
    <row r="220" ht="15.5" customHeight="1" spans="1:26">
      <c r="A220" s="24"/>
      <c r="B220" s="24" t="s">
        <v>1011</v>
      </c>
      <c r="C220" s="24">
        <f t="shared" ref="C220:I220" si="0">SUM(C12:C219)</f>
        <v>737</v>
      </c>
      <c r="D220" s="24">
        <f t="shared" si="0"/>
        <v>0</v>
      </c>
      <c r="E220" s="24">
        <f t="shared" si="0"/>
        <v>0</v>
      </c>
      <c r="F220" s="24">
        <f t="shared" si="0"/>
        <v>455</v>
      </c>
      <c r="G220" s="24">
        <f t="shared" si="0"/>
        <v>186</v>
      </c>
      <c r="H220" s="24">
        <f t="shared" si="0"/>
        <v>96</v>
      </c>
      <c r="I220" s="24">
        <f t="shared" si="0"/>
        <v>737</v>
      </c>
      <c r="J220" s="24"/>
      <c r="K220" s="24"/>
      <c r="L220" s="24"/>
      <c r="M220" s="24"/>
      <c r="N220" s="24"/>
      <c r="O220" s="24"/>
      <c r="P220" s="24"/>
      <c r="Q220" s="24"/>
      <c r="R220" s="24"/>
      <c r="S220" s="24"/>
      <c r="T220" s="24"/>
      <c r="U220" s="24"/>
      <c r="V220" s="24"/>
      <c r="W220" s="24"/>
      <c r="X220" s="24"/>
      <c r="Y220" s="24"/>
      <c r="Z220" s="24"/>
    </row>
    <row r="221" ht="15.5" customHeight="1" spans="1:26">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ht="15.5" customHeight="1" spans="1:26">
      <c r="A222" s="24"/>
      <c r="B222" s="24" t="s">
        <v>1012</v>
      </c>
      <c r="C222" s="24"/>
      <c r="D222" s="24">
        <f>(C220+D220)*100/(I220)</f>
        <v>100</v>
      </c>
      <c r="E222" s="24" t="s">
        <v>1013</v>
      </c>
      <c r="F222" s="24"/>
      <c r="G222" s="24"/>
      <c r="H222" s="24"/>
      <c r="I222" s="24"/>
      <c r="J222" s="24"/>
      <c r="K222" s="24"/>
      <c r="L222" s="24"/>
      <c r="M222" s="24"/>
      <c r="N222" s="24"/>
      <c r="O222" s="24"/>
      <c r="P222" s="24"/>
      <c r="Q222" s="24"/>
      <c r="R222" s="24"/>
      <c r="S222" s="24"/>
      <c r="T222" s="24"/>
      <c r="U222" s="24"/>
      <c r="V222" s="24"/>
      <c r="W222" s="24"/>
      <c r="X222" s="24"/>
      <c r="Y222" s="24"/>
      <c r="Z222" s="24"/>
    </row>
    <row r="223" ht="15.5" customHeight="1" spans="1:26">
      <c r="A223" s="24"/>
      <c r="B223" s="24" t="s">
        <v>1014</v>
      </c>
      <c r="C223" s="24"/>
      <c r="D223" s="24">
        <f>C220*100/(I220)</f>
        <v>100</v>
      </c>
      <c r="E223" s="24" t="s">
        <v>1013</v>
      </c>
      <c r="F223" s="24"/>
      <c r="G223" s="24"/>
      <c r="H223" s="24"/>
      <c r="I223" s="24"/>
      <c r="J223" s="24"/>
      <c r="K223" s="24"/>
      <c r="L223" s="24"/>
      <c r="M223" s="24"/>
      <c r="N223" s="24"/>
      <c r="O223" s="24"/>
      <c r="P223" s="24"/>
      <c r="Q223" s="24"/>
      <c r="R223" s="24"/>
      <c r="S223" s="24"/>
      <c r="T223" s="24"/>
      <c r="U223" s="24"/>
      <c r="V223" s="24"/>
      <c r="W223" s="24"/>
      <c r="X223" s="24"/>
      <c r="Y223" s="24"/>
      <c r="Z223" s="24"/>
    </row>
    <row r="224" ht="15.5" customHeight="1" spans="1:26">
      <c r="A224" s="24"/>
      <c r="B224" s="24" t="s">
        <v>1015</v>
      </c>
      <c r="C224" s="24"/>
      <c r="D224" s="24">
        <f>F220*100/I220</f>
        <v>61.7367706919946</v>
      </c>
      <c r="E224" s="24" t="s">
        <v>1013</v>
      </c>
      <c r="F224" s="24"/>
      <c r="G224" s="24"/>
      <c r="H224" s="24"/>
      <c r="I224" s="24"/>
      <c r="J224" s="24"/>
      <c r="K224" s="24"/>
      <c r="L224" s="24"/>
      <c r="M224" s="24"/>
      <c r="N224" s="24"/>
      <c r="O224" s="24"/>
      <c r="P224" s="24"/>
      <c r="Q224" s="24"/>
      <c r="R224" s="24"/>
      <c r="S224" s="24"/>
      <c r="T224" s="24"/>
      <c r="U224" s="24"/>
      <c r="V224" s="24"/>
      <c r="W224" s="24"/>
      <c r="X224" s="24"/>
      <c r="Y224" s="24"/>
      <c r="Z224" s="24"/>
    </row>
    <row r="225" ht="15.5" customHeight="1" spans="1:26">
      <c r="A225" s="24"/>
      <c r="B225" s="24" t="s">
        <v>1016</v>
      </c>
      <c r="C225" s="24"/>
      <c r="D225" s="24">
        <f>G220*100/I220</f>
        <v>25.2374491180461</v>
      </c>
      <c r="E225" s="24" t="s">
        <v>1013</v>
      </c>
      <c r="F225" s="24"/>
      <c r="G225" s="24"/>
      <c r="H225" s="24"/>
      <c r="I225" s="24"/>
      <c r="J225" s="24"/>
      <c r="K225" s="24"/>
      <c r="L225" s="24"/>
      <c r="M225" s="24"/>
      <c r="N225" s="24"/>
      <c r="O225" s="24"/>
      <c r="P225" s="24"/>
      <c r="Q225" s="24"/>
      <c r="R225" s="24"/>
      <c r="S225" s="24"/>
      <c r="T225" s="24"/>
      <c r="U225" s="24"/>
      <c r="V225" s="24"/>
      <c r="W225" s="24"/>
      <c r="X225" s="24"/>
      <c r="Y225" s="24"/>
      <c r="Z225" s="24"/>
    </row>
    <row r="226" ht="15.5" customHeight="1" spans="1:26">
      <c r="A226" s="24"/>
      <c r="B226" s="24" t="s">
        <v>1017</v>
      </c>
      <c r="C226" s="24"/>
      <c r="D226" s="24">
        <f>H220*100/I220</f>
        <v>13.0257801899593</v>
      </c>
      <c r="E226" s="24" t="s">
        <v>1013</v>
      </c>
      <c r="F226" s="24"/>
      <c r="G226" s="24"/>
      <c r="H226" s="24"/>
      <c r="I226" s="24"/>
      <c r="J226" s="24"/>
      <c r="K226" s="24"/>
      <c r="L226" s="24"/>
      <c r="M226" s="24"/>
      <c r="N226" s="24"/>
      <c r="O226" s="24"/>
      <c r="P226" s="24"/>
      <c r="Q226" s="24"/>
      <c r="R226" s="24"/>
      <c r="S226" s="24"/>
      <c r="T226" s="24"/>
      <c r="U226" s="24"/>
      <c r="V226" s="24"/>
      <c r="W226" s="24"/>
      <c r="X226" s="24"/>
      <c r="Y226" s="24"/>
      <c r="Z226" s="24"/>
    </row>
    <row r="227" ht="15.5" customHeight="1" spans="1:26">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ht="15.5" customHeight="1" spans="1:26">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ht="15.5" customHeight="1" spans="1:26">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ht="15.5" customHeight="1" spans="1:26">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ht="15.5" customHeight="1" spans="1:26">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ht="15.5" customHeight="1" spans="1:26">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ht="15.5" customHeight="1" spans="1:26">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ht="15.5" customHeight="1" spans="1:26">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ht="15.5" customHeight="1" spans="1:26">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ht="15.5" customHeight="1" spans="1:2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ht="15.5" customHeight="1" spans="1:26">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ht="15.5" customHeight="1" spans="1:26">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ht="15.5" customHeight="1" spans="1:26">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ht="15.5" customHeight="1" spans="1:26">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ht="15.5" customHeight="1" spans="1:26">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ht="15.5" customHeight="1" spans="1:26">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ht="15.5" customHeight="1" spans="1:26">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ht="15.5" customHeight="1" spans="1:26">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ht="15.5" customHeight="1" spans="1:26">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ht="15.5" customHeight="1" spans="1:2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ht="15.5" customHeight="1" spans="1:26">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ht="15.5" customHeight="1" spans="1:26">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ht="15.5" customHeight="1" spans="1:26">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ht="15.5" customHeight="1" spans="1:26">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ht="15.5" customHeight="1" spans="1:26">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ht="15.5" customHeight="1" spans="1:26">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ht="15.5" customHeight="1" spans="1:26">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ht="15.5" customHeight="1" spans="1:26">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ht="15.5" customHeight="1" spans="1:26">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ht="15.5" customHeight="1" spans="1:2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ht="15.5" customHeight="1" spans="1:26">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ht="15.5" customHeight="1" spans="1:26">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ht="15.5" customHeight="1" spans="1:26">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ht="15.5" customHeight="1" spans="1:26">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ht="15.5" customHeight="1" spans="1:26">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ht="15.5" customHeight="1" spans="1:26">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ht="15.5" customHeight="1" spans="1:26">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ht="15.5" customHeight="1" spans="1:26">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ht="15.5" customHeight="1" spans="1:26">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ht="15.5" customHeight="1" spans="1:2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ht="15.5" customHeight="1" spans="1:26">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ht="15.5" customHeight="1" spans="1:26">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ht="15.5" customHeight="1" spans="1:26">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ht="15.5" customHeight="1" spans="1:26">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ht="15.5" customHeight="1" spans="1:26">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ht="15.5" customHeight="1" spans="1:26">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ht="15.5" customHeight="1" spans="1:26">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ht="15.5" customHeight="1" spans="1:26">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ht="15.5" customHeight="1" spans="1:26">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ht="15.5" customHeight="1" spans="1:2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ht="15.5" customHeight="1" spans="1:26">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ht="15.5" customHeight="1" spans="1:26">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ht="15.5" customHeight="1" spans="1:26">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ht="15.5" customHeight="1" spans="1:26">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ht="15.5" customHeight="1" spans="1:26">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ht="15.5" customHeight="1" spans="1:26">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ht="15.5" customHeight="1" spans="1:26">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ht="15.5" customHeight="1" spans="1:26">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ht="15.5" customHeight="1" spans="1:26">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ht="15.5" customHeight="1" spans="1:2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ht="15.5" customHeight="1" spans="1:26">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ht="15.5" customHeight="1" spans="1:26">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ht="15.5" customHeight="1" spans="1:26">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ht="15.5" customHeight="1" spans="1:26">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ht="15.5" customHeight="1" spans="1:26">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ht="15.5" customHeight="1" spans="1:26">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ht="15.5" customHeight="1" spans="1:26">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ht="15.5" customHeight="1" spans="1:26">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ht="15.5" customHeight="1" spans="1:26">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ht="15.5" customHeight="1" spans="1:2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ht="15.5" customHeight="1" spans="1:26">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ht="15.5" customHeight="1" spans="1:26">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ht="15.5" customHeight="1" spans="1:26">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ht="15.5" customHeight="1" spans="1:26">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ht="15.5" customHeight="1" spans="1:26">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ht="15.5" customHeight="1" spans="1:26">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ht="15.5" customHeight="1" spans="1:26">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ht="15.5" customHeight="1" spans="1:26">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ht="15.5" customHeight="1" spans="1:26">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ht="15.5" customHeight="1" spans="1:2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ht="15.5" customHeight="1" spans="1:26">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ht="15.5" customHeight="1" spans="1:26">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ht="15.5" customHeight="1" spans="1:26">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ht="15.5" customHeight="1" spans="1:26">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ht="15.5" customHeight="1" spans="1:26">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ht="15.5" customHeight="1" spans="1:26">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ht="15.5" customHeight="1" spans="1:26">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ht="15.5" customHeight="1" spans="1:26">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ht="15.5" customHeight="1" spans="1:26">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ht="15.5" customHeight="1" spans="1:2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ht="15.5" customHeight="1" spans="1:26">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ht="15.5" customHeight="1" spans="1:26">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ht="15.5" customHeight="1" spans="1:26">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ht="15.5" customHeight="1" spans="1:26">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ht="15.5" customHeight="1" spans="1:26">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ht="15.5" customHeight="1" spans="1:26">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ht="15.5" customHeight="1" spans="1:26">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ht="15.5" customHeight="1" spans="1:26">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ht="15.5" customHeight="1" spans="1:26">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ht="15.5" customHeight="1" spans="1: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ht="15.5" customHeight="1" spans="1:26">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ht="15.5" customHeight="1" spans="1:26">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ht="15.5" customHeight="1" spans="1:26">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ht="15.5" customHeight="1" spans="1:26">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ht="15.5" customHeight="1" spans="1:26">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ht="15.5" customHeight="1" spans="1:26">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ht="15.5" customHeight="1" spans="1:26">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ht="15.5" customHeight="1" spans="1:26">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ht="15.5" customHeight="1" spans="1:26">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ht="15.5" customHeight="1" spans="1:2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ht="15.5" customHeight="1" spans="1:26">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ht="15.5" customHeight="1" spans="1:26">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ht="15.5" customHeight="1" spans="1:26">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ht="15.5" customHeight="1" spans="1:26">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ht="15.5" customHeight="1" spans="1:26">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ht="15.5" customHeight="1" spans="1:26">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ht="15.5" customHeight="1" spans="1:26">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ht="15.5" customHeight="1" spans="1:26">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ht="15.5" customHeight="1" spans="1:26">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ht="15.5" customHeight="1" spans="1:2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ht="15.5" customHeight="1" spans="1:26">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ht="15.5" customHeight="1" spans="1:26">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ht="15.5" customHeight="1" spans="1:26">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ht="15.5" customHeight="1" spans="1:26">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ht="15.5" customHeight="1" spans="1:26">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ht="15.5" customHeight="1" spans="1:26">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ht="15.5" customHeight="1" spans="1:26">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ht="15.5" customHeight="1" spans="1:26">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ht="15.5" customHeight="1" spans="1:26">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ht="15.5" customHeight="1" spans="1:2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ht="15.5" customHeight="1" spans="1:26">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ht="15.5" customHeight="1" spans="1:26">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ht="15.5" customHeight="1" spans="1:26">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ht="15.5" customHeight="1" spans="1:26">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ht="15.5" customHeight="1" spans="1:26">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ht="15.5" customHeight="1" spans="1:26">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ht="15.5" customHeight="1" spans="1:26">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ht="15.5" customHeight="1" spans="1:26">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ht="15.5" customHeight="1" spans="1:26">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ht="15.5" customHeight="1" spans="1:2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ht="15.5" customHeight="1" spans="1:26">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ht="15.5" customHeight="1" spans="1:26">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ht="15.5" customHeight="1" spans="1:26">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ht="15.5" customHeight="1" spans="1:26">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ht="15.5" customHeight="1" spans="1:26">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ht="15.5" customHeight="1" spans="1:26">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ht="15.5" customHeight="1" spans="1:26">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ht="15.5" customHeight="1" spans="1:26">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ht="15.5" customHeight="1" spans="1:26">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ht="15.5" customHeight="1" spans="1:2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ht="15.5" customHeight="1" spans="1:26">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ht="15.5" customHeight="1" spans="1:26">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ht="15.5" customHeight="1" spans="1:26">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ht="15.5" customHeight="1" spans="1:26">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ht="15.5" customHeight="1" spans="1:26">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ht="15.5" customHeight="1" spans="1:26">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ht="15.5" customHeight="1" spans="1:26">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ht="15.5" customHeight="1" spans="1:26">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ht="15.5" customHeight="1" spans="1:26">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ht="15.5" customHeight="1" spans="1:2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ht="15.5" customHeight="1" spans="1:26">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ht="15.5" customHeight="1" spans="1:26">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ht="15.5" customHeight="1" spans="1:26">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ht="15.5" customHeight="1" spans="1:26">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ht="15.5" customHeight="1" spans="1:26">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ht="15.5" customHeight="1" spans="1:26">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ht="15.5" customHeight="1" spans="1:26">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ht="15.5" customHeight="1" spans="1:26">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ht="15.5" customHeight="1" spans="1:26">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ht="15.5" customHeight="1" spans="1:2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ht="15.5" customHeight="1" spans="1:26">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ht="15.5" customHeight="1" spans="1:26">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ht="15.5" customHeight="1" spans="1:26">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ht="15.5" customHeight="1" spans="1:26">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ht="15.5" customHeight="1" spans="1:26">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ht="15.5" customHeight="1" spans="1:26">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ht="15.5" customHeight="1" spans="1:26">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ht="15.5" customHeight="1" spans="1:26">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ht="15.5" customHeight="1" spans="1:26">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ht="15.5" customHeight="1" spans="1:2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ht="15.5" customHeight="1" spans="1:26">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ht="15.5" customHeight="1" spans="1:26">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ht="15.5" customHeight="1" spans="1:26">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ht="15.5" customHeight="1" spans="1:26">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ht="15.5" customHeight="1" spans="1:26">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ht="15.5" customHeight="1" spans="1:26">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ht="15.5" customHeight="1" spans="1:26">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ht="15.5" customHeight="1" spans="1:26">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ht="15.5" customHeight="1" spans="1:26">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ht="15.5" customHeight="1" spans="1:2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ht="15.5" customHeight="1" spans="1:26">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ht="15.5" customHeight="1" spans="1:26">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ht="15.5" customHeight="1" spans="1:26">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ht="15.5" customHeight="1" spans="1:26">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ht="15.5" customHeight="1" spans="1:26">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ht="15.5" customHeight="1" spans="1:26">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ht="15.5" customHeight="1" spans="1:26">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ht="15.5" customHeight="1" spans="1:26">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ht="15.5" customHeight="1" spans="1:26">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ht="15.5" customHeight="1" spans="1: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ht="15.5" customHeight="1" spans="1:26">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ht="15.5" customHeight="1" spans="1:26">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ht="15.5" customHeight="1" spans="1:26">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ht="15.5" customHeight="1" spans="1:26">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ht="15.5" customHeight="1" spans="1:26">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ht="15.5" customHeight="1" spans="1:26">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ht="15.5" customHeight="1" spans="1:26">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ht="15.5" customHeight="1" spans="1:26">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ht="15.5" customHeight="1" spans="1:26">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ht="15.5" customHeight="1" spans="1:2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ht="15.5" customHeight="1" spans="1:26">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ht="15.5" customHeight="1" spans="1:26">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ht="15.5" customHeight="1" spans="1:26">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ht="15.5" customHeight="1" spans="1:26">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ht="15.5" customHeight="1" spans="1:26">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ht="15.5" customHeight="1" spans="1:26">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ht="15.5" customHeight="1" spans="1:26">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ht="15.5" customHeight="1" spans="1:26">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ht="15.5" customHeight="1" spans="1:26">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ht="15.5" customHeight="1" spans="1:2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ht="15.5" customHeight="1" spans="1:26">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ht="15.5" customHeight="1" spans="1:26">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ht="15.5" customHeight="1" spans="1:26">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ht="15.5" customHeight="1" spans="1:26">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ht="15.5" customHeight="1" spans="1:26">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ht="15.5" customHeight="1" spans="1:26">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ht="15.5" customHeight="1" spans="1:26">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ht="15.5" customHeight="1" spans="1:26">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ht="15.5" customHeight="1" spans="1:26">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ht="15.5" customHeight="1" spans="1:2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ht="15.5" customHeight="1" spans="1:26">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ht="15.5" customHeight="1" spans="1:26">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ht="15.5" customHeight="1" spans="1:26">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ht="15.5" customHeight="1" spans="1:26">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ht="15.5" customHeight="1" spans="1:26">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ht="15.5" customHeight="1" spans="1:26">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ht="15.5" customHeight="1" spans="1:26">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ht="15.5" customHeight="1" spans="1:26">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ht="15.5" customHeight="1" spans="1:26">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ht="15.5" customHeight="1" spans="1:2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ht="15.5" customHeight="1" spans="1:26">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ht="15.5" customHeight="1" spans="1:26">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ht="15.5" customHeight="1" spans="1:26">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ht="15.5" customHeight="1" spans="1:26">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ht="15.5" customHeight="1" spans="1:26">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ht="15.5" customHeight="1" spans="1:26">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ht="15.5" customHeight="1" spans="1:26">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ht="15.5" customHeight="1" spans="1:26">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ht="15.5" customHeight="1" spans="1:26">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ht="15.5" customHeight="1" spans="1:2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ht="15.5" customHeight="1" spans="1:26">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ht="15.5" customHeight="1" spans="1:26">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ht="15.5" customHeight="1" spans="1:26">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ht="15.5" customHeight="1" spans="1:26">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ht="15.5" customHeight="1" spans="1:26">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ht="15.5" customHeight="1" spans="1:26">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ht="15.5" customHeight="1" spans="1:26">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ht="15.5" customHeight="1" spans="1:26">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ht="15.5" customHeight="1" spans="1:26">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ht="15.5" customHeight="1" spans="1:2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ht="15.5" customHeight="1" spans="1:26">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ht="15.5" customHeight="1" spans="1:26">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ht="15.5" customHeight="1" spans="1:26">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ht="15.5" customHeight="1" spans="1:26">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ht="15.5" customHeight="1" spans="1:26">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ht="15.5" customHeight="1" spans="1:26">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ht="15.5" customHeight="1" spans="1:26">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ht="15.5" customHeight="1" spans="1:26">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ht="15.5" customHeight="1" spans="1:26">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ht="15.5" customHeight="1" spans="1:2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ht="15.5" customHeight="1" spans="1:26">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ht="15.5" customHeight="1" spans="1:26">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ht="15.5" customHeight="1" spans="1:26">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ht="15.5" customHeight="1" spans="1:26">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ht="15.5" customHeight="1" spans="1:26">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ht="15.5" customHeight="1" spans="1:26">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ht="15.5" customHeight="1" spans="1:26">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ht="15.5" customHeight="1" spans="1:26">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ht="15.5" customHeight="1" spans="1:26">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ht="15.5" customHeight="1" spans="1:2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ht="15.5" customHeight="1" spans="1:26">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ht="15.5" customHeight="1" spans="1:26">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ht="15.5" customHeight="1" spans="1:26">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ht="15.5" customHeight="1" spans="1:26">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ht="15.5" customHeight="1" spans="1:26">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ht="15.5" customHeight="1" spans="1:26">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ht="15.5" customHeight="1" spans="1:26">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ht="15.5" customHeight="1" spans="1:26">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ht="15.5" customHeight="1" spans="1:26">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ht="15.5" customHeight="1" spans="1:2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ht="15.5" customHeight="1" spans="1:26">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ht="15.5" customHeight="1" spans="1:26">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ht="15.5" customHeight="1" spans="1:26">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ht="15.5" customHeight="1" spans="1:26">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ht="15.5" customHeight="1" spans="1:26">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ht="15.5" customHeight="1" spans="1:26">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ht="15.5" customHeight="1" spans="1:26">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ht="15.5" customHeight="1" spans="1:26">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ht="15.5" customHeight="1" spans="1:26">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ht="15.5" customHeight="1" spans="1: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ht="15.5" customHeight="1" spans="1:26">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ht="15.5" customHeight="1" spans="1:26">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ht="15.5" customHeight="1" spans="1:26">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ht="15.5" customHeight="1" spans="1:26">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ht="15.5" customHeight="1" spans="1:26">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ht="15.5" customHeight="1" spans="1:26">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ht="15.5" customHeight="1" spans="1:26">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ht="15.5" customHeight="1" spans="1:26">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ht="15.5" customHeight="1" spans="1:26">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ht="15.5" customHeight="1" spans="1:2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ht="15.5" customHeight="1" spans="1:26">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ht="15.5" customHeight="1" spans="1:26">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ht="15.5" customHeight="1" spans="1:26">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ht="15.5" customHeight="1" spans="1:26">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ht="15.5" customHeight="1" spans="1:26">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ht="15.5" customHeight="1" spans="1:26">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ht="15.5" customHeight="1" spans="1:26">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ht="15.5" customHeight="1" spans="1:26">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ht="15.5" customHeight="1" spans="1:26">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ht="15.5" customHeight="1" spans="1:2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ht="15.5" customHeight="1" spans="1:26">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ht="15.5" customHeight="1" spans="1:26">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ht="15.5" customHeight="1" spans="1:26">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ht="15.5" customHeight="1" spans="1:26">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ht="15.5" customHeight="1" spans="1:26">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ht="15.5" customHeight="1" spans="1:26">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ht="15.5" customHeight="1" spans="1:26">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ht="15.5" customHeight="1" spans="1:26">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ht="15.5" customHeight="1" spans="1:26">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ht="15.5" customHeight="1" spans="1:2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ht="15.5" customHeight="1" spans="1:26">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ht="15.5" customHeight="1" spans="1:26">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ht="15.5" customHeight="1" spans="1:26">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ht="15.5" customHeight="1" spans="1:26">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ht="15.5" customHeight="1" spans="1:26">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ht="15.5" customHeight="1" spans="1:26">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ht="15.5" customHeight="1" spans="1:26">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ht="15.5" customHeight="1" spans="1:26">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ht="15.5" customHeight="1" spans="1:26">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ht="15.5" customHeight="1" spans="1:2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ht="15.5" customHeight="1" spans="1:26">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ht="15.5" customHeight="1" spans="1:26">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ht="15.5" customHeight="1" spans="1:26">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ht="15.5" customHeight="1" spans="1:26">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ht="15.5" customHeight="1" spans="1:26">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ht="15.5" customHeight="1" spans="1:26">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ht="15.5" customHeight="1" spans="1:26">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ht="15.5" customHeight="1" spans="1:26">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ht="15.5" customHeight="1" spans="1:26">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ht="15.5" customHeight="1" spans="1:2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ht="15.5" customHeight="1" spans="1:26">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ht="15.5" customHeight="1" spans="1:26">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ht="15.5" customHeight="1" spans="1:26">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ht="15.5" customHeight="1" spans="1:26">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ht="15.5" customHeight="1" spans="1:26">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ht="15.5" customHeight="1" spans="1:26">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ht="15.5" customHeight="1" spans="1:26">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ht="15.5" customHeight="1" spans="1:26">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ht="15.5" customHeight="1" spans="1:26">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ht="15.5" customHeight="1" spans="1:2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ht="15.5" customHeight="1" spans="1:26">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ht="15.5" customHeight="1" spans="1:26">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ht="15.5" customHeight="1" spans="1:26">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ht="15.5" customHeight="1" spans="1:26">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ht="15.5" customHeight="1" spans="1:26">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ht="15.5" customHeight="1" spans="1:26">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ht="15.5" customHeight="1" spans="1:26">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ht="15.5" customHeight="1" spans="1:26">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ht="15.5" customHeight="1" spans="1:26">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ht="15.5" customHeight="1" spans="1:2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ht="15.5" customHeight="1" spans="1:26">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ht="15.5" customHeight="1" spans="1:26">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ht="15.5" customHeight="1" spans="1:26">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ht="15.5" customHeight="1" spans="1:26">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ht="15.5" customHeight="1" spans="1:26">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ht="15.5" customHeight="1" spans="1:26">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ht="15.5" customHeight="1" spans="1:26">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ht="15.5" customHeight="1" spans="1:26">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ht="15.5" customHeight="1" spans="1:26">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ht="15.5" customHeight="1" spans="1:2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ht="15.5" customHeight="1" spans="1:26">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ht="15.5" customHeight="1" spans="1:26">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ht="15.5" customHeight="1" spans="1:26">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ht="15.5" customHeight="1" spans="1:26">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ht="15.5" customHeight="1" spans="1:26">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ht="15.5" customHeight="1" spans="1:26">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ht="15.5" customHeight="1" spans="1:26">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ht="15.5" customHeight="1" spans="1:26">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ht="15.5" customHeight="1" spans="1:26">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ht="15.5" customHeight="1" spans="1:2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ht="15.5" customHeight="1" spans="1:26">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ht="15.5" customHeight="1" spans="1:26">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ht="15.5" customHeight="1" spans="1:26">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ht="15.5" customHeight="1" spans="1:26">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ht="15.5" customHeight="1" spans="1:26">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ht="15.5" customHeight="1" spans="1:26">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ht="15.5" customHeight="1" spans="1:26">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ht="15.5" customHeight="1" spans="1:26">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ht="15.5" customHeight="1" spans="1:26">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ht="15.5" customHeight="1" spans="1: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ht="15.5" customHeight="1" spans="1:26">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ht="15.5" customHeight="1" spans="1:26">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ht="15.5" customHeight="1" spans="1:26">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ht="15.5" customHeight="1" spans="1:26">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ht="15.5" customHeight="1" spans="1:26">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ht="15.5" customHeight="1" spans="1:26">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ht="15.5" customHeight="1" spans="1:26">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ht="15.5" customHeight="1" spans="1:26">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ht="15.5" customHeight="1" spans="1:26">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ht="15.5" customHeight="1" spans="1:2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ht="15.5" customHeight="1" spans="1:26">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ht="15.5" customHeight="1" spans="1:26">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ht="15.5" customHeight="1" spans="1:26">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ht="15.5" customHeight="1" spans="1:26">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ht="15.5" customHeight="1" spans="1:26">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ht="15.5" customHeight="1" spans="1:26">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ht="15.5" customHeight="1" spans="1:26">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ht="15.5" customHeight="1" spans="1:26">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ht="15.5" customHeight="1" spans="1:26">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ht="15.5" customHeight="1" spans="1:2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ht="15.5" customHeight="1" spans="1:26">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ht="15.5" customHeight="1" spans="1:26">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ht="15.5" customHeight="1" spans="1:26">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ht="15.5" customHeight="1" spans="1:26">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ht="15.5" customHeight="1" spans="1:26">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ht="15.5" customHeight="1" spans="1:26">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ht="15.5" customHeight="1" spans="1:26">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ht="15.5" customHeight="1" spans="1:26">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ht="15.5" customHeight="1" spans="1:26">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ht="15.5" customHeight="1" spans="1:2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ht="15.5" customHeight="1" spans="1:26">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ht="15.5" customHeight="1" spans="1:26">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ht="15.5" customHeight="1" spans="1:26">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ht="15.5" customHeight="1" spans="1:26">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ht="15.5" customHeight="1" spans="1:26">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ht="15.5" customHeight="1" spans="1:26">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ht="15.5" customHeight="1" spans="1:26">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ht="15.5" customHeight="1" spans="1:26">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ht="15.5" customHeight="1" spans="1:26">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ht="15.5" customHeight="1" spans="1:2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ht="15.5" customHeight="1" spans="1:26">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ht="15.5" customHeight="1" spans="1:26">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ht="15.5" customHeight="1" spans="1:26">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ht="15.5" customHeight="1" spans="1:26">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ht="15.5" customHeight="1" spans="1:26">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ht="15.5" customHeight="1" spans="1:26">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ht="15.5" customHeight="1" spans="1:26">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ht="15.5" customHeight="1" spans="1:26">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ht="15.5" customHeight="1" spans="1:26">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ht="15.5" customHeight="1" spans="1:2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ht="15.5" customHeight="1" spans="1:26">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ht="15.5" customHeight="1" spans="1:26">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ht="15.5" customHeight="1" spans="1:26">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ht="15.5" customHeight="1" spans="1:26">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ht="15.5" customHeight="1" spans="1:26">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ht="15.5" customHeight="1" spans="1:26">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ht="15.5" customHeight="1" spans="1:26">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ht="15.5" customHeight="1" spans="1:26">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ht="15.5" customHeight="1" spans="1:26">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ht="15.5" customHeight="1" spans="1:2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ht="15.5" customHeight="1" spans="1:26">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ht="15.5" customHeight="1" spans="1:26">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ht="15.5" customHeight="1" spans="1:26">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ht="15.5" customHeight="1" spans="1:26">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ht="15.5" customHeight="1" spans="1:26">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ht="15.5" customHeight="1" spans="1:26">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ht="15.5" customHeight="1" spans="1:26">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ht="15.5" customHeight="1" spans="1:26">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ht="15.5" customHeight="1" spans="1:26">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ht="15.5" customHeight="1" spans="1:2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ht="15.5" customHeight="1" spans="1:26">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ht="15.5" customHeight="1" spans="1:26">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ht="15.5" customHeight="1" spans="1:26">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ht="15.5" customHeight="1" spans="1:26">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ht="15.5" customHeight="1" spans="1:26">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ht="15.5" customHeight="1" spans="1:26">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ht="15.5" customHeight="1" spans="1:26">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ht="15.5" customHeight="1" spans="1:26">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ht="15.5" customHeight="1" spans="1:26">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ht="15.5" customHeight="1" spans="1:2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ht="15.5" customHeight="1" spans="1:26">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ht="15.5" customHeight="1" spans="1:26">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ht="15.5" customHeight="1" spans="1:26">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ht="15.5" customHeight="1" spans="1:26">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ht="15.5" customHeight="1" spans="1:26">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ht="15.5" customHeight="1" spans="1:26">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ht="15.5" customHeight="1" spans="1:26">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ht="15.5" customHeight="1" spans="1:26">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ht="15.5" customHeight="1" spans="1:26">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ht="15.5" customHeight="1" spans="1:2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ht="15.5" customHeight="1" spans="1:26">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ht="15.5" customHeight="1" spans="1:26">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ht="15.5" customHeight="1" spans="1:26">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ht="15.5" customHeight="1" spans="1:26">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ht="15.5" customHeight="1" spans="1:26">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ht="15.5" customHeight="1" spans="1:26">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ht="15.5" customHeight="1" spans="1:26">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ht="15.5" customHeight="1" spans="1:26">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ht="15.5" customHeight="1" spans="1:26">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ht="15.5" customHeight="1" spans="1: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ht="15.5" customHeight="1" spans="1:26">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ht="15.5" customHeight="1" spans="1:26">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ht="15.5" customHeight="1" spans="1:26">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ht="15.5" customHeight="1" spans="1:26">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ht="15.5" customHeight="1" spans="1:26">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ht="15.5" customHeight="1" spans="1:26">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ht="15.5" customHeight="1" spans="1:26">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ht="15.5" customHeight="1" spans="1:26">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ht="15.5" customHeight="1" spans="1:26">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ht="15.5" customHeight="1" spans="1:2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ht="15.5" customHeight="1" spans="1:26">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ht="15.5" customHeight="1" spans="1:26">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ht="15.5" customHeight="1" spans="1:26">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ht="15.5" customHeight="1" spans="1:26">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ht="15.5" customHeight="1" spans="1:26">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ht="15.5" customHeight="1" spans="1:26">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ht="15.5" customHeight="1" spans="1:26">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ht="15.5" customHeight="1" spans="1:26">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ht="15.5" customHeight="1" spans="1:26">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ht="15.5" customHeight="1" spans="1:2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ht="15.5" customHeight="1" spans="1:26">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ht="15.5" customHeight="1" spans="1:26">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ht="15.5" customHeight="1" spans="1:26">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ht="15.5" customHeight="1" spans="1:26">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ht="15.5" customHeight="1" spans="1:26">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ht="15.5" customHeight="1" spans="1:26">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ht="15.5" customHeight="1" spans="1:26">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ht="15.5" customHeight="1" spans="1:26">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ht="15.5" customHeight="1" spans="1:26">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ht="15.5" customHeight="1" spans="1:2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ht="15.5" customHeight="1" spans="1:26">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ht="15.5" customHeight="1" spans="1:26">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ht="15.5" customHeight="1" spans="1:26">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ht="15.5" customHeight="1" spans="1:26">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ht="15.5" customHeight="1" spans="1:26">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ht="15.5" customHeight="1" spans="1:26">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ht="15.5" customHeight="1" spans="1:26">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ht="15.5" customHeight="1" spans="1:26">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ht="15.5" customHeight="1" spans="1:26">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ht="15.5" customHeight="1" spans="1:2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ht="15.5" customHeight="1" spans="1:26">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ht="15.5" customHeight="1" spans="1:26">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ht="15.5" customHeight="1" spans="1:26">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ht="15.5" customHeight="1" spans="1:26">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ht="15.5" customHeight="1" spans="1:26">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ht="15.5" customHeight="1" spans="1:26">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ht="15.5" customHeight="1" spans="1:26">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ht="15.5" customHeight="1" spans="1:26">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ht="15.5" customHeight="1" spans="1:26">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ht="15.5" customHeight="1" spans="1:2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ht="15.5" customHeight="1" spans="1:26">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ht="15.5" customHeight="1" spans="1:26">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ht="15.5" customHeight="1" spans="1:26">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ht="15.5" customHeight="1" spans="1:26">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ht="15.5" customHeight="1" spans="1:26">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ht="15.5" customHeight="1" spans="1:26">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ht="15.5" customHeight="1" spans="1:26">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ht="15.5" customHeight="1" spans="1:26">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ht="15.5" customHeight="1" spans="1:26">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ht="15.5" customHeight="1" spans="1:2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ht="15.5" customHeight="1" spans="1:26">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ht="15.5" customHeight="1" spans="1:26">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ht="15.5" customHeight="1" spans="1:26">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ht="15.5" customHeight="1" spans="1:26">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ht="15.5" customHeight="1" spans="1:26">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ht="15.5" customHeight="1" spans="1:26">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ht="15.5" customHeight="1" spans="1:26">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ht="15.5" customHeight="1" spans="1:26">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ht="15.5" customHeight="1" spans="1:26">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ht="15.5" customHeight="1" spans="1:2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ht="15.5" customHeight="1" spans="1:26">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ht="15.5" customHeight="1" spans="1:26">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ht="15.5" customHeight="1" spans="1:26">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ht="15.5" customHeight="1" spans="1:26">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ht="15.5" customHeight="1" spans="1:26">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ht="15.5" customHeight="1" spans="1:26">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ht="15.5" customHeight="1" spans="1:26">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ht="15.5" customHeight="1" spans="1:26">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ht="15.5" customHeight="1" spans="1:26">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ht="15.5" customHeight="1" spans="1:2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ht="15.5" customHeight="1" spans="1:26">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ht="15.5" customHeight="1" spans="1:26">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ht="15.5" customHeight="1" spans="1:26">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ht="15.5" customHeight="1" spans="1:26">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ht="15.5" customHeight="1" spans="1:26">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ht="15.5" customHeight="1" spans="1:26">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ht="15.5" customHeight="1" spans="1:26">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ht="15.5" customHeight="1" spans="1:26">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ht="15.5" customHeight="1" spans="1:26">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ht="15.5" customHeight="1" spans="1:2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ht="15.5" customHeight="1" spans="1:26">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ht="15.5" customHeight="1" spans="1:26">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ht="15.5" customHeight="1" spans="1:26">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ht="15.5" customHeight="1" spans="1:26">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ht="15.5" customHeight="1" spans="1:26">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ht="15.5" customHeight="1" spans="1:26">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ht="15.5" customHeight="1" spans="1:26">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ht="15.5" customHeight="1" spans="1:26">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ht="15.5" customHeight="1" spans="1:26">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ht="15.5" customHeight="1" spans="1: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ht="15.5" customHeight="1" spans="1:26">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ht="15.5" customHeight="1" spans="1:26">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ht="15.5" customHeight="1" spans="1:26">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ht="15.5" customHeight="1" spans="1:26">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ht="15.5" customHeight="1" spans="1:26">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ht="15.5" customHeight="1" spans="1:26">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ht="15.5" customHeight="1" spans="1:26">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ht="15.5" customHeight="1" spans="1:26">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ht="15.5" customHeight="1" spans="1:26">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ht="15.5" customHeight="1" spans="1:2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ht="15.5" customHeight="1" spans="1:26">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ht="15.5" customHeight="1" spans="1:26">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ht="15.5" customHeight="1" spans="1:26">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ht="15.5" customHeight="1" spans="1:26">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ht="15.5" customHeight="1" spans="1:26">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ht="15.5" customHeight="1" spans="1:26">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ht="15.5" customHeight="1" spans="1:26">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ht="15.5" customHeight="1" spans="1:26">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ht="15.5" customHeight="1" spans="1:26">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ht="15.5" customHeight="1" spans="1:2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ht="15.5" customHeight="1" spans="1:26">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ht="15.5" customHeight="1" spans="1:26">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ht="15.5" customHeight="1" spans="1:26">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ht="15.5" customHeight="1" spans="1:26">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ht="15.5" customHeight="1" spans="1:26">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ht="15.5" customHeight="1" spans="1:26">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ht="15.5" customHeight="1" spans="1:26">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ht="15.5" customHeight="1" spans="1:26">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ht="15.5" customHeight="1" spans="1:26">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ht="15.5" customHeight="1" spans="1:2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ht="15.5" customHeight="1" spans="1:26">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ht="15.5" customHeight="1" spans="1:26">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ht="15.5" customHeight="1" spans="1:26">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ht="15.5" customHeight="1" spans="1:26">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ht="15.5" customHeight="1" spans="1:26">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ht="15.5" customHeight="1" spans="1:26">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ht="15.5" customHeight="1" spans="1:26">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ht="15.5" customHeight="1" spans="1:26">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ht="15.5" customHeight="1" spans="1:26">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ht="15.5" customHeight="1" spans="1:2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ht="15.5" customHeight="1" spans="1:26">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ht="15.5" customHeight="1" spans="1:26">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ht="15.5" customHeight="1" spans="1:26">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ht="15.5" customHeight="1" spans="1:26">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ht="15.5" customHeight="1" spans="1:26">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ht="15.5" customHeight="1" spans="1:26">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ht="15.5" customHeight="1" spans="1:26">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ht="15.5" customHeight="1" spans="1:26">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ht="15.5" customHeight="1" spans="1:26">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ht="15.5" customHeight="1" spans="1:2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ht="15.5" customHeight="1" spans="1:26">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ht="15.5" customHeight="1" spans="1:26">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ht="15.5" customHeight="1" spans="1:26">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ht="15.5" customHeight="1" spans="1:26">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ht="15.5" customHeight="1" spans="1:26">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ht="15.5" customHeight="1" spans="1:26">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ht="15.5" customHeight="1" spans="1:26">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ht="15.5" customHeight="1" spans="1:26">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ht="15.5" customHeight="1" spans="1:26">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ht="15.5" customHeight="1" spans="1:2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ht="15.5" customHeight="1" spans="1:26">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ht="15.5" customHeight="1" spans="1:26">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ht="15.5" customHeight="1" spans="1:26">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ht="15.5" customHeight="1" spans="1:26">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ht="15.5" customHeight="1" spans="1:26">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ht="15.5" customHeight="1" spans="1:26">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ht="15.5" customHeight="1" spans="1:26">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ht="15.5" customHeight="1" spans="1:26">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ht="15.5" customHeight="1" spans="1:26">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ht="15.5" customHeight="1" spans="1:2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ht="15.5" customHeight="1" spans="1:26">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ht="15.5" customHeight="1" spans="1:26">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ht="15.5" customHeight="1" spans="1:26">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ht="15.5" customHeight="1" spans="1:26">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ht="15.5" customHeight="1" spans="1:26">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ht="15.5" customHeight="1" spans="1:26">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ht="15.5" customHeight="1" spans="1:26">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ht="15.5" customHeight="1" spans="1:26">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ht="15.5" customHeight="1" spans="1:26">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ht="15.5" customHeight="1" spans="1:2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ht="15.5" customHeight="1" spans="1:26">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ht="15.5" customHeight="1" spans="1:26">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ht="15.5" customHeight="1" spans="1:26">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ht="15.5" customHeight="1" spans="1:26">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ht="15.5" customHeight="1" spans="1:26">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ht="15.5" customHeight="1" spans="1:26">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ht="15.5" customHeight="1" spans="1:26">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ht="15.5" customHeight="1" spans="1:26">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ht="15.5" customHeight="1" spans="1:26">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ht="15.5" customHeight="1" spans="1:2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ht="15.5" customHeight="1" spans="1:26">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ht="15.5" customHeight="1" spans="1:26">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ht="15.5" customHeight="1" spans="1:26">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ht="15.5" customHeight="1" spans="1:26">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ht="15.5" customHeight="1" spans="1:26">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ht="15.5" customHeight="1" spans="1:26">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ht="15.5" customHeight="1" spans="1:26">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ht="15.5" customHeight="1" spans="1:26">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ht="15.5" customHeight="1" spans="1:26">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ht="15.5" customHeight="1" spans="1: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ht="15.5" customHeight="1" spans="1:26">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ht="15.5" customHeight="1" spans="1:26">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ht="15.5" customHeight="1" spans="1:26">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ht="15.5" customHeight="1" spans="1:26">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ht="15.5" customHeight="1" spans="1:26">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ht="15.5" customHeight="1" spans="1:26">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ht="15.5" customHeight="1" spans="1:26">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ht="15.5" customHeight="1" spans="1:26">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ht="15.5" customHeight="1" spans="1:26">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ht="15.5" customHeight="1" spans="1:2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ht="15.5" customHeight="1" spans="1:26">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ht="15.5" customHeight="1" spans="1:26">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ht="15.5" customHeight="1" spans="1:26">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ht="15.5" customHeight="1" spans="1:26">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ht="15.5" customHeight="1" spans="1:26">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ht="15.5" customHeight="1" spans="1:26">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ht="15.5" customHeight="1" spans="1:26">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ht="15.5" customHeight="1" spans="1:26">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ht="15.5" customHeight="1" spans="1:26">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ht="15.5" customHeight="1" spans="1:2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ht="15.5" customHeight="1" spans="1:26">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ht="15.5" customHeight="1" spans="1:26">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ht="15.5" customHeight="1" spans="1:26">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ht="15.5" customHeight="1" spans="1:26">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ht="15.5" customHeight="1" spans="1:26">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ht="15.5" customHeight="1" spans="1:26">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ht="15.5" customHeight="1" spans="1:26">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ht="15.5" customHeight="1" spans="1:26">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ht="15.5" customHeight="1" spans="1:26">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ht="15.5" customHeight="1" spans="1:2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ht="15.5" customHeight="1" spans="1:26">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ht="15.5" customHeight="1" spans="1:26">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ht="15.5" customHeight="1" spans="1:26">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ht="15.5" customHeight="1" spans="1:26">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ht="15.5" customHeight="1" spans="1:26">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ht="15.5" customHeight="1" spans="1:26">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ht="15.5" customHeight="1" spans="1:26">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ht="15.5" customHeight="1" spans="1:26">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ht="15.5" customHeight="1" spans="1:26">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ht="15.5" customHeight="1" spans="1:2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ht="15.5" customHeight="1" spans="1:26">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ht="15.5" customHeight="1" spans="1:26">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ht="15.5" customHeight="1" spans="1:26">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ht="15.5" customHeight="1" spans="1:26">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ht="15.5" customHeight="1" spans="1:26">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ht="15.5" customHeight="1" spans="1:26">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ht="15.5" customHeight="1" spans="1:26">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ht="15.5" customHeight="1" spans="1:26">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ht="15.5" customHeight="1" spans="1:26">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ht="15.5" customHeight="1" spans="1:2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ht="15.5" customHeight="1" spans="1:26">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ht="15.5" customHeight="1" spans="1:26">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ht="15.5" customHeight="1" spans="1:26">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ht="15.5" customHeight="1" spans="1:26">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ht="15.5" customHeight="1" spans="1:26">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ht="15.5" customHeight="1" spans="1:26">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ht="15.5" customHeight="1" spans="1:26">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ht="15.5" customHeight="1" spans="1:26">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ht="15.5" customHeight="1" spans="1:26">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ht="15.5" customHeight="1" spans="1:2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ht="15.5" customHeight="1" spans="1:26">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ht="15.5" customHeight="1" spans="1:26">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ht="15.5" customHeight="1" spans="1:26">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ht="15.5" customHeight="1" spans="1:26">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ht="15.5" customHeight="1" spans="1:26">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ht="15.5" customHeight="1" spans="1:26">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ht="15.5" customHeight="1" spans="1:26">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ht="15.5" customHeight="1" spans="1:26">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ht="15.5" customHeight="1" spans="1:26">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ht="15.5" customHeight="1" spans="1:2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ht="15.5" customHeight="1" spans="1:26">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ht="15.5" customHeight="1" spans="1:26">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ht="15.5" customHeight="1" spans="1:26">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ht="15.5" customHeight="1" spans="1:26">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mergeCells count="11">
    <mergeCell ref="A2:I2"/>
    <mergeCell ref="B4:C4"/>
    <mergeCell ref="D4:E4"/>
    <mergeCell ref="F4:I4"/>
    <mergeCell ref="B5:C5"/>
    <mergeCell ref="D5:E5"/>
    <mergeCell ref="F5:I5"/>
    <mergeCell ref="B6:C6"/>
    <mergeCell ref="D6:E6"/>
    <mergeCell ref="F6:I6"/>
    <mergeCell ref="B7:I7"/>
  </mergeCells>
  <pageMargins left="0.7" right="0.7" top="0.75" bottom="0.75" header="0" footer="0"/>
  <pageSetup paperSize="1" orientation="landscape" useFirstPageNumber="1"/>
  <headerFooter>
    <oddFooter>&amp;L 02ae-BM/PM/HDCV/FSOFT v2/1&amp;CInternal use&amp;R&amp;P/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84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1024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1031</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1033</v>
      </c>
      <c r="E9" s="6" t="s">
        <v>69</v>
      </c>
      <c r="F9" s="11" t="s">
        <v>1032</v>
      </c>
      <c r="G9" s="11" t="s">
        <v>1032</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17" t="s">
        <v>1034</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5.5" customHeight="1" spans="1:22">
      <c r="A11" s="16"/>
      <c r="B11" s="6" t="s">
        <v>69</v>
      </c>
      <c r="C11" s="6" t="s">
        <v>69</v>
      </c>
      <c r="D11" s="18" t="s">
        <v>1035</v>
      </c>
      <c r="E11" s="6" t="s">
        <v>69</v>
      </c>
      <c r="F11" s="11" t="s">
        <v>1032</v>
      </c>
      <c r="G11" s="11" t="s">
        <v>1036</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1037</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1038</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0.5" customHeight="1" spans="1:22">
      <c r="A15" s="16"/>
      <c r="B15" s="6" t="s">
        <v>69</v>
      </c>
      <c r="C15" s="6" t="s">
        <v>69</v>
      </c>
      <c r="D15" s="18" t="s">
        <v>1041</v>
      </c>
      <c r="E15" s="6" t="s">
        <v>69</v>
      </c>
      <c r="F15" s="11" t="s">
        <v>1032</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1042</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40.5" customHeight="1" spans="1:22">
      <c r="A17" s="16"/>
      <c r="B17" s="6" t="s">
        <v>69</v>
      </c>
      <c r="C17" s="6" t="s">
        <v>69</v>
      </c>
      <c r="D17" s="18" t="s">
        <v>1043</v>
      </c>
      <c r="E17" s="6" t="s">
        <v>69</v>
      </c>
      <c r="F17" s="11" t="s">
        <v>1032</v>
      </c>
      <c r="G17" s="11" t="s">
        <v>1032</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40.5" customHeight="1" spans="1:22">
      <c r="A18" s="16"/>
      <c r="B18" s="6" t="s">
        <v>69</v>
      </c>
      <c r="C18" s="6" t="s">
        <v>69</v>
      </c>
      <c r="D18" s="18" t="s">
        <v>1044</v>
      </c>
      <c r="E18" s="6" t="s">
        <v>69</v>
      </c>
      <c r="F18" s="11" t="s">
        <v>1032</v>
      </c>
      <c r="G18" s="11" t="s">
        <v>1032</v>
      </c>
      <c r="H18" s="11" t="s">
        <v>1032</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65.5" customHeight="1" spans="1:22">
      <c r="A19" s="16"/>
      <c r="B19" s="6" t="s">
        <v>69</v>
      </c>
      <c r="C19" s="6" t="s">
        <v>69</v>
      </c>
      <c r="D19" s="18" t="s">
        <v>1045</v>
      </c>
      <c r="E19" s="6" t="s">
        <v>69</v>
      </c>
      <c r="F19" s="11" t="s">
        <v>1032</v>
      </c>
      <c r="G19" s="11" t="s">
        <v>1032</v>
      </c>
      <c r="H19" s="11" t="s">
        <v>1032</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5.5" customHeight="1" spans="1:22">
      <c r="A20" s="16"/>
      <c r="B20" s="17" t="s">
        <v>1046</v>
      </c>
      <c r="C20" s="6" t="s">
        <v>69</v>
      </c>
      <c r="D20" s="6" t="s">
        <v>69</v>
      </c>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53" customHeight="1" spans="1:22">
      <c r="A21" s="16"/>
      <c r="B21" s="6" t="s">
        <v>69</v>
      </c>
      <c r="C21" s="6" t="s">
        <v>69</v>
      </c>
      <c r="D21" s="18" t="s">
        <v>1047</v>
      </c>
      <c r="E21" s="6" t="s">
        <v>69</v>
      </c>
      <c r="F21" s="11" t="s">
        <v>1032</v>
      </c>
      <c r="G21" s="11" t="s">
        <v>1032</v>
      </c>
      <c r="H21" s="11" t="s">
        <v>1032</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t="s">
        <v>1048</v>
      </c>
      <c r="B22" s="20" t="s">
        <v>1049</v>
      </c>
      <c r="C22" s="20"/>
      <c r="D22" s="20"/>
      <c r="E22" s="6" t="s">
        <v>69</v>
      </c>
      <c r="F22" s="11" t="s">
        <v>1008</v>
      </c>
      <c r="G22" s="11" t="s">
        <v>1008</v>
      </c>
      <c r="H22" s="11" t="s">
        <v>1008</v>
      </c>
      <c r="I22" s="11" t="s">
        <v>69</v>
      </c>
      <c r="J22" s="11" t="s">
        <v>69</v>
      </c>
      <c r="K22" s="11" t="s">
        <v>69</v>
      </c>
      <c r="L22" s="11" t="s">
        <v>69</v>
      </c>
      <c r="M22" s="11" t="s">
        <v>69</v>
      </c>
      <c r="N22" s="11" t="s">
        <v>69</v>
      </c>
      <c r="O22" s="11" t="s">
        <v>69</v>
      </c>
      <c r="P22" s="11" t="s">
        <v>69</v>
      </c>
      <c r="Q22" s="11" t="s">
        <v>69</v>
      </c>
      <c r="R22" s="11" t="s">
        <v>69</v>
      </c>
      <c r="S22" s="11" t="s">
        <v>69</v>
      </c>
      <c r="T22" s="11" t="s">
        <v>69</v>
      </c>
      <c r="U22" s="11" t="s">
        <v>69</v>
      </c>
      <c r="V22" s="12" t="s">
        <v>69</v>
      </c>
    </row>
    <row r="23" ht="18" customHeight="1" spans="1:22">
      <c r="A23" s="19"/>
      <c r="B23" s="20" t="s">
        <v>1050</v>
      </c>
      <c r="C23" s="20"/>
      <c r="D23" s="20"/>
      <c r="E23" s="6" t="s">
        <v>69</v>
      </c>
      <c r="F23" s="11" t="s">
        <v>1051</v>
      </c>
      <c r="G23" s="11" t="s">
        <v>1051</v>
      </c>
      <c r="H23" s="11" t="s">
        <v>1051</v>
      </c>
      <c r="I23" s="11" t="s">
        <v>69</v>
      </c>
      <c r="J23" s="11" t="s">
        <v>69</v>
      </c>
      <c r="K23" s="11" t="s">
        <v>69</v>
      </c>
      <c r="L23" s="11" t="s">
        <v>69</v>
      </c>
      <c r="M23" s="11" t="s">
        <v>69</v>
      </c>
      <c r="N23" s="11" t="s">
        <v>69</v>
      </c>
      <c r="O23" s="11" t="s">
        <v>69</v>
      </c>
      <c r="P23" s="11" t="s">
        <v>69</v>
      </c>
      <c r="Q23" s="11" t="s">
        <v>69</v>
      </c>
      <c r="R23" s="11" t="s">
        <v>69</v>
      </c>
      <c r="S23" s="11" t="s">
        <v>69</v>
      </c>
      <c r="T23" s="11" t="s">
        <v>69</v>
      </c>
      <c r="U23" s="11" t="s">
        <v>69</v>
      </c>
      <c r="V23" s="12" t="s">
        <v>69</v>
      </c>
    </row>
    <row r="24" ht="18"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18"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3"/>
    <mergeCell ref="A14:A21"/>
    <mergeCell ref="A22:A25"/>
  </mergeCells>
  <dataValidations count="3">
    <dataValidation type="list" allowBlank="1" sqref="F21:V21 F11:V13 F15:V19 F8:V9">
      <formula1>"O,-"</formula1>
    </dataValidation>
    <dataValidation type="list" allowBlank="1" sqref="F22:V22">
      <formula1>"N,A,B"</formula1>
    </dataValidation>
    <dataValidation type="list" allowBlank="1" sqref="F23:V23">
      <formula1>"P,F"</formula1>
    </dataValidation>
  </dataValidations>
  <pageMargins left="0.7" right="0.7" top="0.75" bottom="0.75" header="0.3" footer="0.3"/>
  <pageSetup paperSize="1" orientation="portrait" useFirstPageNumber="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88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1054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1055</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1056</v>
      </c>
      <c r="E9" s="6" t="s">
        <v>69</v>
      </c>
      <c r="F9" s="11" t="s">
        <v>1032</v>
      </c>
      <c r="G9" s="11" t="s">
        <v>1032</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17" t="s">
        <v>1057</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5.5" customHeight="1" spans="1:22">
      <c r="A11" s="16"/>
      <c r="B11" s="6" t="s">
        <v>69</v>
      </c>
      <c r="C11" s="6" t="s">
        <v>69</v>
      </c>
      <c r="D11" s="18" t="s">
        <v>1058</v>
      </c>
      <c r="E11" s="6" t="s">
        <v>69</v>
      </c>
      <c r="F11" s="11" t="s">
        <v>1032</v>
      </c>
      <c r="G11" s="11" t="s">
        <v>1036</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1059</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1060</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17" t="s">
        <v>1061</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28" customHeight="1" spans="1:22">
      <c r="A15" s="16"/>
      <c r="B15" s="6" t="s">
        <v>69</v>
      </c>
      <c r="C15" s="6" t="s">
        <v>69</v>
      </c>
      <c r="D15" s="18" t="s">
        <v>1062</v>
      </c>
      <c r="E15" s="6" t="s">
        <v>69</v>
      </c>
      <c r="F15" s="11" t="s">
        <v>1032</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40.5" customHeight="1" spans="1:22">
      <c r="A17" s="16"/>
      <c r="B17" s="6" t="s">
        <v>69</v>
      </c>
      <c r="C17" s="6" t="s">
        <v>69</v>
      </c>
      <c r="D17" s="18" t="s">
        <v>1063</v>
      </c>
      <c r="E17" s="6" t="s">
        <v>69</v>
      </c>
      <c r="F17" s="11" t="s">
        <v>1036</v>
      </c>
      <c r="G17" s="11" t="s">
        <v>1036</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5.5" customHeight="1" spans="1:22">
      <c r="A18" s="16"/>
      <c r="B18" s="17" t="s">
        <v>1064</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53" customHeight="1" spans="1:22">
      <c r="A19" s="16"/>
      <c r="B19" s="6" t="s">
        <v>69</v>
      </c>
      <c r="C19" s="6" t="s">
        <v>69</v>
      </c>
      <c r="D19" s="18" t="s">
        <v>1065</v>
      </c>
      <c r="E19" s="6" t="s">
        <v>69</v>
      </c>
      <c r="F19" s="11" t="s">
        <v>1032</v>
      </c>
      <c r="G19" s="11" t="s">
        <v>1032</v>
      </c>
      <c r="H19" s="11" t="s">
        <v>1036</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63</v>
      </c>
      <c r="G20" s="11" t="s">
        <v>63</v>
      </c>
      <c r="H20" s="11" t="s">
        <v>1008</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5"/>
    <mergeCell ref="A16:A19"/>
    <mergeCell ref="A20:A23"/>
  </mergeCells>
  <dataValidations count="3">
    <dataValidation type="list" allowBlank="1" sqref="F15:V15 F17:V17 F19:V19 F11:V13 F8:V9">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92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1066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95</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17" t="s">
        <v>1067</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53" customHeight="1" spans="1:22">
      <c r="A10" s="16"/>
      <c r="B10" s="6" t="s">
        <v>69</v>
      </c>
      <c r="C10" s="6" t="s">
        <v>69</v>
      </c>
      <c r="D10" s="18" t="s">
        <v>1068</v>
      </c>
      <c r="E10" s="6" t="s">
        <v>69</v>
      </c>
      <c r="F10" s="11" t="s">
        <v>1032</v>
      </c>
      <c r="G10" s="11" t="s">
        <v>1036</v>
      </c>
      <c r="H10" s="11" t="s">
        <v>1036</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1069</v>
      </c>
      <c r="E11" s="6" t="s">
        <v>69</v>
      </c>
      <c r="F11" s="11" t="s">
        <v>1036</v>
      </c>
      <c r="G11" s="11" t="s">
        <v>1032</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1070</v>
      </c>
      <c r="E12" s="6" t="s">
        <v>69</v>
      </c>
      <c r="F12" s="11" t="s">
        <v>1036</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17" t="s">
        <v>1061</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1062</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1071</v>
      </c>
      <c r="E16" s="6" t="s">
        <v>69</v>
      </c>
      <c r="F16" s="11" t="s">
        <v>1036</v>
      </c>
      <c r="G16" s="11" t="s">
        <v>1036</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17" t="s">
        <v>1064</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40.5" customHeight="1" spans="1:22">
      <c r="A18" s="16"/>
      <c r="B18" s="6" t="s">
        <v>69</v>
      </c>
      <c r="C18" s="6" t="s">
        <v>69</v>
      </c>
      <c r="D18" s="18" t="s">
        <v>1072</v>
      </c>
      <c r="E18" s="6" t="s">
        <v>69</v>
      </c>
      <c r="F18" s="11" t="s">
        <v>1032</v>
      </c>
      <c r="G18" s="11" t="s">
        <v>1036</v>
      </c>
      <c r="H18" s="11" t="s">
        <v>1036</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40.5" customHeight="1" spans="1:22">
      <c r="A19" s="16"/>
      <c r="B19" s="6" t="s">
        <v>69</v>
      </c>
      <c r="C19" s="6" t="s">
        <v>69</v>
      </c>
      <c r="D19" s="18" t="s">
        <v>1073</v>
      </c>
      <c r="E19" s="6" t="s">
        <v>69</v>
      </c>
      <c r="F19" s="11" t="s">
        <v>1036</v>
      </c>
      <c r="G19" s="11" t="s">
        <v>1032</v>
      </c>
      <c r="H19" s="11" t="s">
        <v>1036</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63</v>
      </c>
      <c r="G20" s="11" t="s">
        <v>63</v>
      </c>
      <c r="H20" s="11" t="s">
        <v>1008</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4"/>
    <mergeCell ref="A15:A19"/>
    <mergeCell ref="A20:A23"/>
  </mergeCells>
  <dataValidations count="3">
    <dataValidation type="list" allowBlank="1" sqref="F8:V8 F14:V14 F16:V16 F10:V12 F18:V19">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96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1074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0</v>
      </c>
      <c r="N5" s="11">
        <v>3</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1075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1076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1077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1078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1079</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1080</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1081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78" customHeight="1" spans="1:22">
      <c r="A16" s="16"/>
      <c r="B16" s="6" t="s">
        <v>69</v>
      </c>
      <c r="C16" s="6" t="s">
        <v>69</v>
      </c>
      <c r="D16" s="18" t="s">
        <v>1082</v>
      </c>
      <c r="E16" s="6" t="s">
        <v>69</v>
      </c>
      <c r="F16" s="11" t="s">
        <v>1036</v>
      </c>
      <c r="G16" s="11" t="s">
        <v>1036</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1009</v>
      </c>
      <c r="G17" s="11" t="s">
        <v>1009</v>
      </c>
      <c r="H17" s="11" t="s">
        <v>1009</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0"/>
    <mergeCell ref="A11:A16"/>
    <mergeCell ref="A17:A20"/>
  </mergeCells>
  <dataValidations count="3">
    <dataValidation type="list" allowBlank="1" sqref="F10:V10 F16:V16 F12:V14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100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1083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103</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17" t="s">
        <v>1034</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5.5" customHeight="1" spans="1:22">
      <c r="A10" s="16"/>
      <c r="B10" s="6" t="s">
        <v>69</v>
      </c>
      <c r="C10" s="6" t="s">
        <v>69</v>
      </c>
      <c r="D10" s="18" t="s">
        <v>1035</v>
      </c>
      <c r="E10" s="6" t="s">
        <v>69</v>
      </c>
      <c r="F10" s="11" t="s">
        <v>1032</v>
      </c>
      <c r="G10" s="11" t="s">
        <v>1036</v>
      </c>
      <c r="H10" s="11" t="s">
        <v>1036</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1037</v>
      </c>
      <c r="E11" s="6" t="s">
        <v>69</v>
      </c>
      <c r="F11" s="11" t="s">
        <v>1036</v>
      </c>
      <c r="G11" s="11" t="s">
        <v>1032</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1038</v>
      </c>
      <c r="E12" s="6" t="s">
        <v>69</v>
      </c>
      <c r="F12" s="11" t="s">
        <v>1036</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17" t="s">
        <v>1061</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1062</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5.5" customHeight="1" spans="1:22">
      <c r="A16" s="16"/>
      <c r="B16" s="6" t="s">
        <v>69</v>
      </c>
      <c r="C16" s="6" t="s">
        <v>69</v>
      </c>
      <c r="D16" s="18" t="s">
        <v>1084</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65.5" customHeight="1" spans="1:22">
      <c r="A17" s="16"/>
      <c r="B17" s="6" t="s">
        <v>69</v>
      </c>
      <c r="C17" s="6" t="s">
        <v>69</v>
      </c>
      <c r="D17" s="18" t="s">
        <v>1085</v>
      </c>
      <c r="E17" s="6" t="s">
        <v>69</v>
      </c>
      <c r="F17" s="11" t="s">
        <v>1032</v>
      </c>
      <c r="G17" s="11" t="s">
        <v>1032</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5.5" customHeight="1" spans="1:22">
      <c r="A18" s="16"/>
      <c r="B18" s="17" t="s">
        <v>1046</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53" customHeight="1" spans="1:22">
      <c r="A19" s="16"/>
      <c r="B19" s="6" t="s">
        <v>69</v>
      </c>
      <c r="C19" s="6" t="s">
        <v>69</v>
      </c>
      <c r="D19" s="18" t="s">
        <v>1086</v>
      </c>
      <c r="E19" s="6" t="s">
        <v>69</v>
      </c>
      <c r="F19" s="11" t="s">
        <v>1032</v>
      </c>
      <c r="G19" s="11" t="s">
        <v>1032</v>
      </c>
      <c r="H19" s="11" t="s">
        <v>1032</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1008</v>
      </c>
      <c r="G20" s="11" t="s">
        <v>1008</v>
      </c>
      <c r="H20" s="11" t="s">
        <v>1008</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69</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4"/>
    <mergeCell ref="A15:A19"/>
    <mergeCell ref="A20:A23"/>
  </mergeCells>
  <dataValidations count="3">
    <dataValidation type="list" allowBlank="1" sqref="F8:V8 F14:V14 F19:V19 F10:V12 F16:V17">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104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1087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1088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1089</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1090</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1091</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17" t="s">
        <v>1061</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1092</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53" customHeight="1" spans="1:22">
      <c r="A14" s="16"/>
      <c r="B14" s="6" t="s">
        <v>69</v>
      </c>
      <c r="C14" s="6" t="s">
        <v>69</v>
      </c>
      <c r="D14" s="18" t="s">
        <v>1093</v>
      </c>
      <c r="E14" s="6" t="s">
        <v>69</v>
      </c>
      <c r="F14" s="11" t="s">
        <v>1032</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1094</v>
      </c>
      <c r="E15" s="6" t="s">
        <v>69</v>
      </c>
      <c r="F15" s="11" t="s">
        <v>1036</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1095</v>
      </c>
      <c r="E16" s="6" t="s">
        <v>69</v>
      </c>
      <c r="F16" s="11" t="s">
        <v>1036</v>
      </c>
      <c r="G16" s="11" t="s">
        <v>1036</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1009</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0:V10 F12:V12 F14:V16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108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1096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1097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1098</v>
      </c>
      <c r="E8" s="6" t="s">
        <v>69</v>
      </c>
      <c r="F8" s="11" t="s">
        <v>1032</v>
      </c>
      <c r="G8" s="11" t="s">
        <v>1032</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1099</v>
      </c>
      <c r="E9" s="6" t="s">
        <v>69</v>
      </c>
      <c r="F9" s="11" t="s">
        <v>1036</v>
      </c>
      <c r="G9" s="11" t="s">
        <v>1036</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17" t="s">
        <v>1100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5.5" customHeight="1" spans="1:22">
      <c r="A11" s="16"/>
      <c r="B11" s="6" t="s">
        <v>69</v>
      </c>
      <c r="C11" s="6" t="s">
        <v>69</v>
      </c>
      <c r="D11" s="18" t="s">
        <v>1101</v>
      </c>
      <c r="E11" s="6" t="s">
        <v>69</v>
      </c>
      <c r="F11" s="11" t="s">
        <v>1032</v>
      </c>
      <c r="G11" s="11" t="s">
        <v>1036</v>
      </c>
      <c r="H11" s="11" t="s">
        <v>1032</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1102</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5.5" customHeight="1" spans="1:22">
      <c r="A14" s="16"/>
      <c r="B14" s="6" t="s">
        <v>69</v>
      </c>
      <c r="C14" s="6" t="s">
        <v>69</v>
      </c>
      <c r="D14" s="18" t="s">
        <v>1103</v>
      </c>
      <c r="E14" s="6" t="s">
        <v>69</v>
      </c>
      <c r="F14" s="11" t="s">
        <v>1032</v>
      </c>
      <c r="G14" s="11" t="s">
        <v>1036</v>
      </c>
      <c r="H14" s="11" t="s">
        <v>1036</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1104</v>
      </c>
      <c r="E15" s="6" t="s">
        <v>69</v>
      </c>
      <c r="F15" s="11" t="s">
        <v>1036</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1105</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65.5" customHeight="1" spans="1:22">
      <c r="A17" s="16"/>
      <c r="B17" s="6" t="s">
        <v>69</v>
      </c>
      <c r="C17" s="6" t="s">
        <v>69</v>
      </c>
      <c r="D17" s="18" t="s">
        <v>1106</v>
      </c>
      <c r="E17" s="6" t="s">
        <v>69</v>
      </c>
      <c r="F17" s="11" t="s">
        <v>1036</v>
      </c>
      <c r="G17" s="11" t="s">
        <v>1036</v>
      </c>
      <c r="H17" s="11" t="s">
        <v>1032</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1008</v>
      </c>
      <c r="G18" s="11" t="s">
        <v>1008</v>
      </c>
      <c r="H18" s="11" t="s">
        <v>63</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1:V12 F14:V17 F8:V9">
      <formula1>"O,-"</formula1>
    </dataValidation>
  </dataValidations>
  <pageMargins left="0.7" right="0.7" top="0.75" bottom="0.75" header="0.3" footer="0.3"/>
  <pageSetup paperSize="1" orientation="portrait" useFirstPageNumber="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112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1107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1109</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1110</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1111</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1064</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1112</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1113</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1114</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63</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116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1115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1116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1117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1118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1119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17" t="s">
        <v>1061</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1120</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53" customHeight="1" spans="1:22">
      <c r="A14" s="16"/>
      <c r="B14" s="6" t="s">
        <v>69</v>
      </c>
      <c r="C14" s="6" t="s">
        <v>69</v>
      </c>
      <c r="D14" s="18" t="s">
        <v>1121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1122</v>
      </c>
      <c r="E16" s="6" t="s">
        <v>69</v>
      </c>
      <c r="F16" s="11" t="s">
        <v>1032</v>
      </c>
      <c r="G16" s="11" t="s">
        <v>1032</v>
      </c>
      <c r="H16" s="11" t="s">
        <v>1036</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63</v>
      </c>
      <c r="H17" s="11" t="s">
        <v>1008</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0:V10 F12:V12 F14:V14 F16:V16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120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1123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1124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1125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1126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1127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1128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1129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1130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1131</v>
      </c>
      <c r="E15" s="6" t="s">
        <v>69</v>
      </c>
      <c r="F15" s="11" t="s">
        <v>1032</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1008</v>
      </c>
      <c r="H16" s="11" t="s">
        <v>1008</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0"/>
    <mergeCell ref="A11:A15"/>
    <mergeCell ref="A16:A19"/>
  </mergeCells>
  <dataValidations count="3">
    <dataValidation type="list" allowBlank="1" sqref="F10:V10 F12:V15 F8:V9">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tabSelected="1"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83</v>
      </c>
      <c r="C1" s="2"/>
      <c r="D1" s="2"/>
      <c r="E1" s="2"/>
      <c r="F1" s="3" t="s">
        <v>1019</v>
      </c>
      <c r="G1" s="3"/>
      <c r="H1" s="3"/>
      <c r="I1" s="3"/>
      <c r="J1" s="3"/>
      <c r="K1" s="3"/>
      <c r="L1" s="4" t="s">
        <v>124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1132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1133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1134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1135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1136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17" t="s">
        <v>1061</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1137</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65.5" customHeight="1" spans="1:22">
      <c r="A14" s="16"/>
      <c r="B14" s="6" t="s">
        <v>69</v>
      </c>
      <c r="C14" s="6" t="s">
        <v>69</v>
      </c>
      <c r="D14" s="18" t="s">
        <v>1138</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5.5" customHeight="1" spans="1:22">
      <c r="A16" s="16"/>
      <c r="B16" s="6" t="s">
        <v>69</v>
      </c>
      <c r="C16" s="6" t="s">
        <v>69</v>
      </c>
      <c r="D16" s="18" t="s">
        <v>1139</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63</v>
      </c>
      <c r="H17" s="11" t="s">
        <v>63</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0:V10 F12:V12 F14:V14 F16:V16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131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1140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134</v>
      </c>
      <c r="E8" s="6" t="s">
        <v>69</v>
      </c>
      <c r="F8" s="11" t="s">
        <v>1032</v>
      </c>
      <c r="G8" s="11" t="s">
        <v>1032</v>
      </c>
      <c r="H8" s="11" t="s">
        <v>1032</v>
      </c>
      <c r="I8" s="11" t="s">
        <v>1032</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17" t="s">
        <v>1142</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28" customHeight="1" spans="1:22">
      <c r="A10" s="16"/>
      <c r="B10" s="6" t="s">
        <v>69</v>
      </c>
      <c r="C10" s="6" t="s">
        <v>69</v>
      </c>
      <c r="D10" s="18" t="s">
        <v>1143</v>
      </c>
      <c r="E10" s="6" t="s">
        <v>69</v>
      </c>
      <c r="F10" s="11" t="s">
        <v>1032</v>
      </c>
      <c r="G10" s="11" t="s">
        <v>1036</v>
      </c>
      <c r="H10" s="11" t="s">
        <v>1036</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1144</v>
      </c>
      <c r="E11" s="6" t="s">
        <v>69</v>
      </c>
      <c r="F11" s="11" t="s">
        <v>1036</v>
      </c>
      <c r="G11" s="11" t="s">
        <v>1032</v>
      </c>
      <c r="H11" s="11" t="s">
        <v>1036</v>
      </c>
      <c r="I11" s="11" t="s">
        <v>1036</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1145</v>
      </c>
      <c r="E12" s="6" t="s">
        <v>69</v>
      </c>
      <c r="F12" s="11" t="s">
        <v>1036</v>
      </c>
      <c r="G12" s="11" t="s">
        <v>1036</v>
      </c>
      <c r="H12" s="11" t="s">
        <v>1032</v>
      </c>
      <c r="I12" s="11" t="s">
        <v>1036</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1146</v>
      </c>
      <c r="E13" s="6" t="s">
        <v>69</v>
      </c>
      <c r="F13" s="11" t="s">
        <v>1036</v>
      </c>
      <c r="G13" s="11" t="s">
        <v>1036</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0.5" customHeight="1" spans="1:22">
      <c r="A15" s="16"/>
      <c r="B15" s="6" t="s">
        <v>69</v>
      </c>
      <c r="C15" s="6" t="s">
        <v>69</v>
      </c>
      <c r="D15" s="18" t="s">
        <v>1147</v>
      </c>
      <c r="E15" s="6" t="s">
        <v>69</v>
      </c>
      <c r="F15" s="11" t="s">
        <v>1032</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1148</v>
      </c>
      <c r="E16" s="6" t="s">
        <v>69</v>
      </c>
      <c r="F16" s="11" t="s">
        <v>1036</v>
      </c>
      <c r="G16" s="11" t="s">
        <v>1032</v>
      </c>
      <c r="H16" s="11" t="s">
        <v>1032</v>
      </c>
      <c r="I16" s="11" t="s">
        <v>1036</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40.5" customHeight="1" spans="1:22">
      <c r="A17" s="16"/>
      <c r="B17" s="6" t="s">
        <v>69</v>
      </c>
      <c r="C17" s="6" t="s">
        <v>69</v>
      </c>
      <c r="D17" s="18" t="s">
        <v>1149</v>
      </c>
      <c r="E17" s="6" t="s">
        <v>69</v>
      </c>
      <c r="F17" s="11" t="s">
        <v>1036</v>
      </c>
      <c r="G17" s="11" t="s">
        <v>1032</v>
      </c>
      <c r="H17" s="11" t="s">
        <v>1032</v>
      </c>
      <c r="I17" s="11" t="s">
        <v>1036</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5.5" customHeight="1" spans="1:22">
      <c r="A18" s="16"/>
      <c r="B18" s="17" t="s">
        <v>1064</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90.5" customHeight="1" spans="1:22">
      <c r="A19" s="16"/>
      <c r="B19" s="6" t="s">
        <v>69</v>
      </c>
      <c r="C19" s="6" t="s">
        <v>69</v>
      </c>
      <c r="D19" s="18" t="s">
        <v>1150</v>
      </c>
      <c r="E19" s="6" t="s">
        <v>69</v>
      </c>
      <c r="F19" s="11" t="s">
        <v>1036</v>
      </c>
      <c r="G19" s="11" t="s">
        <v>1032</v>
      </c>
      <c r="H19" s="11" t="s">
        <v>1036</v>
      </c>
      <c r="I19" s="11" t="s">
        <v>1036</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1008</v>
      </c>
      <c r="G20" s="11" t="s">
        <v>63</v>
      </c>
      <c r="H20" s="11" t="s">
        <v>1008</v>
      </c>
      <c r="I20" s="11" t="s">
        <v>63</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1051</v>
      </c>
      <c r="J21" s="11" t="s">
        <v>69</v>
      </c>
      <c r="K21" s="11" t="s">
        <v>69</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3"/>
    <mergeCell ref="A14:A19"/>
    <mergeCell ref="A20:A23"/>
  </mergeCells>
  <dataValidations count="3">
    <dataValidation type="list" allowBlank="1" sqref="F8:V8 F19:V19 F10:V13 F15:V17">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135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1151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4</v>
      </c>
      <c r="M5" s="11">
        <v>1</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1154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1155</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1156</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1157</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1158</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1159</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1160</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0.5" customHeight="1" spans="1:22">
      <c r="A15" s="16"/>
      <c r="B15" s="6" t="s">
        <v>69</v>
      </c>
      <c r="C15" s="6" t="s">
        <v>69</v>
      </c>
      <c r="D15" s="18" t="s">
        <v>1161</v>
      </c>
      <c r="E15" s="6" t="s">
        <v>69</v>
      </c>
      <c r="F15" s="11" t="s">
        <v>1032</v>
      </c>
      <c r="G15" s="11" t="s">
        <v>1032</v>
      </c>
      <c r="H15" s="11" t="s">
        <v>1032</v>
      </c>
      <c r="I15" s="11" t="s">
        <v>1032</v>
      </c>
      <c r="J15" s="11" t="s">
        <v>1036</v>
      </c>
      <c r="K15" s="11" t="s">
        <v>1032</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1162</v>
      </c>
      <c r="E16" s="6" t="s">
        <v>69</v>
      </c>
      <c r="F16" s="11" t="s">
        <v>1036</v>
      </c>
      <c r="G16" s="11" t="s">
        <v>1036</v>
      </c>
      <c r="H16" s="11" t="s">
        <v>1036</v>
      </c>
      <c r="I16" s="11" t="s">
        <v>1036</v>
      </c>
      <c r="J16" s="11" t="s">
        <v>1032</v>
      </c>
      <c r="K16" s="11" t="s">
        <v>1036</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17" t="s">
        <v>1064</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90.5" customHeight="1" spans="1:22">
      <c r="A18" s="16"/>
      <c r="B18" s="6" t="s">
        <v>69</v>
      </c>
      <c r="C18" s="6" t="s">
        <v>69</v>
      </c>
      <c r="D18" s="18" t="s">
        <v>1163</v>
      </c>
      <c r="E18" s="6" t="s">
        <v>69</v>
      </c>
      <c r="F18" s="11" t="s">
        <v>1036</v>
      </c>
      <c r="G18" s="11" t="s">
        <v>1036</v>
      </c>
      <c r="H18" s="11" t="s">
        <v>1036</v>
      </c>
      <c r="I18" s="11" t="s">
        <v>1036</v>
      </c>
      <c r="J18" s="11" t="s">
        <v>1036</v>
      </c>
      <c r="K18" s="11" t="s">
        <v>1032</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63</v>
      </c>
      <c r="K19" s="11" t="s">
        <v>1009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8:V18 F10:V13 F15:V16 F8:V9">
      <formula1>"O,-"</formula1>
    </dataValidation>
    <dataValidation type="list" allowBlank="1" sqref="F19:V19">
      <formula1>"N,A,B"</formula1>
    </dataValidation>
    <dataValidation type="list" allowBlank="1" sqref="F20:V20">
      <formula1>"P,F"</formula1>
    </dataValidation>
  </dataValidations>
  <pageMargins left="0.7" right="0.7" top="0.75" bottom="0.75" header="0.3" footer="0.3"/>
  <pageSetup paperSize="1" orientation="portrait" useFirstPageNumber="1"/>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139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1164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143</v>
      </c>
      <c r="E8" s="6" t="s">
        <v>69</v>
      </c>
      <c r="F8" s="11" t="s">
        <v>1032</v>
      </c>
      <c r="G8" s="11" t="s">
        <v>1032</v>
      </c>
      <c r="H8" s="11" t="s">
        <v>1032</v>
      </c>
      <c r="I8" s="11" t="s">
        <v>1032</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17" t="s">
        <v>1165</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5.5" customHeight="1" spans="1:22">
      <c r="A10" s="16"/>
      <c r="B10" s="6" t="s">
        <v>69</v>
      </c>
      <c r="C10" s="6" t="s">
        <v>69</v>
      </c>
      <c r="D10" s="18" t="s">
        <v>1166</v>
      </c>
      <c r="E10" s="6" t="s">
        <v>69</v>
      </c>
      <c r="F10" s="11" t="s">
        <v>1032</v>
      </c>
      <c r="G10" s="11" t="s">
        <v>1036</v>
      </c>
      <c r="H10" s="11" t="s">
        <v>1036</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1167</v>
      </c>
      <c r="E11" s="6" t="s">
        <v>69</v>
      </c>
      <c r="F11" s="11" t="s">
        <v>1036</v>
      </c>
      <c r="G11" s="11" t="s">
        <v>1032</v>
      </c>
      <c r="H11" s="11" t="s">
        <v>1036</v>
      </c>
      <c r="I11" s="11" t="s">
        <v>1036</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1168</v>
      </c>
      <c r="E12" s="6" t="s">
        <v>69</v>
      </c>
      <c r="F12" s="11" t="s">
        <v>1036</v>
      </c>
      <c r="G12" s="11" t="s">
        <v>1036</v>
      </c>
      <c r="H12" s="11" t="s">
        <v>1032</v>
      </c>
      <c r="I12" s="11" t="s">
        <v>1036</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1006</v>
      </c>
      <c r="E13" s="6" t="s">
        <v>69</v>
      </c>
      <c r="F13" s="11" t="s">
        <v>1036</v>
      </c>
      <c r="G13" s="11" t="s">
        <v>1036</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0.5" customHeight="1" spans="1:22">
      <c r="A15" s="16"/>
      <c r="B15" s="6" t="s">
        <v>69</v>
      </c>
      <c r="C15" s="6" t="s">
        <v>69</v>
      </c>
      <c r="D15" s="18" t="s">
        <v>1169</v>
      </c>
      <c r="E15" s="6" t="s">
        <v>69</v>
      </c>
      <c r="F15" s="11" t="s">
        <v>1032</v>
      </c>
      <c r="G15" s="11" t="s">
        <v>1032</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1170</v>
      </c>
      <c r="E16" s="6" t="s">
        <v>69</v>
      </c>
      <c r="F16" s="11" t="s">
        <v>1032</v>
      </c>
      <c r="G16" s="11" t="s">
        <v>1032</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1171</v>
      </c>
      <c r="E17" s="6" t="s">
        <v>69</v>
      </c>
      <c r="F17" s="11" t="s">
        <v>1036</v>
      </c>
      <c r="G17" s="11" t="s">
        <v>1036</v>
      </c>
      <c r="H17" s="11" t="s">
        <v>1032</v>
      </c>
      <c r="I17" s="11" t="s">
        <v>1036</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1008</v>
      </c>
      <c r="G18" s="11" t="s">
        <v>1008</v>
      </c>
      <c r="H18" s="11" t="s">
        <v>1008</v>
      </c>
      <c r="I18" s="11" t="s">
        <v>63</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3"/>
    <mergeCell ref="A14:A17"/>
    <mergeCell ref="A18:A21"/>
  </mergeCells>
  <dataValidations count="3">
    <dataValidation type="list" allowBlank="1" sqref="F8:V8 F10:V13 F15:V17">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144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1172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1173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1174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1175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1176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1177</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1178</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1179</v>
      </c>
      <c r="E14" s="6" t="s">
        <v>69</v>
      </c>
      <c r="F14" s="11" t="s">
        <v>1036</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148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1180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151</v>
      </c>
      <c r="E8" s="6" t="s">
        <v>69</v>
      </c>
      <c r="F8" s="11" t="s">
        <v>1032</v>
      </c>
      <c r="G8" s="11" t="s">
        <v>1032</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17" t="s">
        <v>1181</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28" customHeight="1" spans="1:22">
      <c r="A10" s="16"/>
      <c r="B10" s="6" t="s">
        <v>69</v>
      </c>
      <c r="C10" s="6" t="s">
        <v>69</v>
      </c>
      <c r="D10" s="18" t="s">
        <v>1182</v>
      </c>
      <c r="E10" s="6" t="s">
        <v>69</v>
      </c>
      <c r="F10" s="11" t="s">
        <v>1032</v>
      </c>
      <c r="G10" s="11" t="s">
        <v>1036</v>
      </c>
      <c r="H10" s="11" t="s">
        <v>1036</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1183</v>
      </c>
      <c r="E11" s="6" t="s">
        <v>69</v>
      </c>
      <c r="F11" s="11" t="s">
        <v>1036</v>
      </c>
      <c r="G11" s="11" t="s">
        <v>1032</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1184</v>
      </c>
      <c r="E12" s="6" t="s">
        <v>69</v>
      </c>
      <c r="F12" s="11" t="s">
        <v>1036</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78" customHeight="1" spans="1:22">
      <c r="A14" s="16"/>
      <c r="B14" s="6" t="s">
        <v>69</v>
      </c>
      <c r="C14" s="6" t="s">
        <v>69</v>
      </c>
      <c r="D14" s="18" t="s">
        <v>1185</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1186</v>
      </c>
      <c r="E15" s="6" t="s">
        <v>69</v>
      </c>
      <c r="F15" s="11" t="s">
        <v>1032</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1187</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17" t="s">
        <v>1046</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65.5" customHeight="1" spans="1:22">
      <c r="A18" s="16"/>
      <c r="B18" s="6" t="s">
        <v>69</v>
      </c>
      <c r="C18" s="6" t="s">
        <v>69</v>
      </c>
      <c r="D18" s="18" t="s">
        <v>1188</v>
      </c>
      <c r="E18" s="6" t="s">
        <v>69</v>
      </c>
      <c r="F18" s="11" t="s">
        <v>1032</v>
      </c>
      <c r="G18" s="11" t="s">
        <v>1032</v>
      </c>
      <c r="H18" s="11" t="s">
        <v>1032</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69</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69</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8:V8 F18:V18 F10:V12 F14:V16">
      <formula1>"O,-"</formula1>
    </dataValidation>
    <dataValidation type="list" allowBlank="1" sqref="F19:V19">
      <formula1>"N,A,B"</formula1>
    </dataValidation>
    <dataValidation type="list" allowBlank="1" sqref="F20:V20">
      <formula1>"P,F"</formula1>
    </dataValidation>
  </dataValidations>
  <pageMargins left="0.7" right="0.7" top="0.75" bottom="0.75" header="0.3" footer="0.3"/>
  <pageSetup paperSize="1" orientation="portrait" useFirstPageNumber="1"/>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152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1189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1190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1191</v>
      </c>
      <c r="E9" s="6" t="s">
        <v>69</v>
      </c>
      <c r="F9" s="11" t="s">
        <v>1036</v>
      </c>
      <c r="G9" s="11" t="s">
        <v>1032</v>
      </c>
      <c r="H9" s="11" t="s">
        <v>1032</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1192</v>
      </c>
      <c r="E11" s="6" t="s">
        <v>69</v>
      </c>
      <c r="F11" s="11" t="s">
        <v>1032</v>
      </c>
      <c r="G11" s="11" t="s">
        <v>1036</v>
      </c>
      <c r="H11" s="11" t="s">
        <v>1036</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1193</v>
      </c>
      <c r="E12" s="6" t="s">
        <v>69</v>
      </c>
      <c r="F12" s="11" t="s">
        <v>1036</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1194</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17" t="s">
        <v>1064</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78" customHeight="1" spans="1:22">
      <c r="A15" s="16"/>
      <c r="B15" s="6" t="s">
        <v>69</v>
      </c>
      <c r="C15" s="6" t="s">
        <v>69</v>
      </c>
      <c r="D15" s="18" t="s">
        <v>1195</v>
      </c>
      <c r="E15" s="6" t="s">
        <v>69</v>
      </c>
      <c r="F15" s="11" t="s">
        <v>1036</v>
      </c>
      <c r="G15" s="11" t="s">
        <v>1032</v>
      </c>
      <c r="H15" s="11" t="s">
        <v>1036</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63</v>
      </c>
      <c r="H16" s="11" t="s">
        <v>63</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9"/>
    <mergeCell ref="A10:A15"/>
    <mergeCell ref="A16:A19"/>
  </mergeCells>
  <dataValidations count="3">
    <dataValidation type="list" allowBlank="1" sqref="F15:V15 F11:V13 F8:V9">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157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1196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1197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1198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1199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1200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1201</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90.5" customHeight="1" spans="1:22">
      <c r="A13" s="16"/>
      <c r="B13" s="6" t="s">
        <v>69</v>
      </c>
      <c r="C13" s="6" t="s">
        <v>69</v>
      </c>
      <c r="D13" s="18" t="s">
        <v>1202</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1203</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161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1204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1205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1206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1207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1208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1209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166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1210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1211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1212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1213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1214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1215</v>
      </c>
      <c r="E12" s="6" t="s">
        <v>69</v>
      </c>
      <c r="F12" s="11" t="s">
        <v>1032</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1216</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1008</v>
      </c>
      <c r="H14" s="11" t="s">
        <v>1008</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170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1217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4</v>
      </c>
      <c r="M5" s="11">
        <v>0</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1218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1219</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1220</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1221</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153" customHeight="1" spans="1:22">
      <c r="A11" s="16"/>
      <c r="B11" s="6" t="s">
        <v>69</v>
      </c>
      <c r="C11" s="6" t="s">
        <v>69</v>
      </c>
      <c r="D11" s="18" t="s">
        <v>1222</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1223</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78" customHeight="1" spans="1:22">
      <c r="A14" s="16"/>
      <c r="B14" s="6" t="s">
        <v>69</v>
      </c>
      <c r="C14" s="6" t="s">
        <v>69</v>
      </c>
      <c r="D14" s="18" t="s">
        <v>1224</v>
      </c>
      <c r="E14" s="6" t="s">
        <v>69</v>
      </c>
      <c r="F14" s="11" t="s">
        <v>1032</v>
      </c>
      <c r="G14" s="11" t="s">
        <v>1036</v>
      </c>
      <c r="H14" s="11" t="s">
        <v>1036</v>
      </c>
      <c r="I14" s="11" t="s">
        <v>1036</v>
      </c>
      <c r="J14" s="11" t="s">
        <v>1032</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1225</v>
      </c>
      <c r="E15" s="6" t="s">
        <v>69</v>
      </c>
      <c r="F15" s="11" t="s">
        <v>1032</v>
      </c>
      <c r="G15" s="11" t="s">
        <v>1036</v>
      </c>
      <c r="H15" s="11" t="s">
        <v>1036</v>
      </c>
      <c r="I15" s="11" t="s">
        <v>1036</v>
      </c>
      <c r="J15" s="11" t="s">
        <v>1032</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1226</v>
      </c>
      <c r="E16" s="6" t="s">
        <v>69</v>
      </c>
      <c r="F16" s="11" t="s">
        <v>1032</v>
      </c>
      <c r="G16" s="11" t="s">
        <v>1036</v>
      </c>
      <c r="H16" s="11" t="s">
        <v>1036</v>
      </c>
      <c r="I16" s="11" t="s">
        <v>1036</v>
      </c>
      <c r="J16" s="11" t="s">
        <v>1032</v>
      </c>
      <c r="K16" s="11" t="s">
        <v>69</v>
      </c>
      <c r="L16" s="11" t="s">
        <v>69</v>
      </c>
      <c r="M16" s="11" t="s">
        <v>69</v>
      </c>
      <c r="N16" s="11" t="s">
        <v>69</v>
      </c>
      <c r="O16" s="11" t="s">
        <v>69</v>
      </c>
      <c r="P16" s="11" t="s">
        <v>69</v>
      </c>
      <c r="Q16" s="11" t="s">
        <v>69</v>
      </c>
      <c r="R16" s="11" t="s">
        <v>69</v>
      </c>
      <c r="S16" s="11" t="s">
        <v>69</v>
      </c>
      <c r="T16" s="11" t="s">
        <v>69</v>
      </c>
      <c r="U16" s="11" t="s">
        <v>69</v>
      </c>
      <c r="V16" s="12" t="s">
        <v>69</v>
      </c>
    </row>
    <row r="17" ht="40.5" customHeight="1" spans="1:22">
      <c r="A17" s="16"/>
      <c r="B17" s="6" t="s">
        <v>69</v>
      </c>
      <c r="C17" s="6" t="s">
        <v>69</v>
      </c>
      <c r="D17" s="18" t="s">
        <v>1227</v>
      </c>
      <c r="E17" s="6" t="s">
        <v>69</v>
      </c>
      <c r="F17" s="11" t="s">
        <v>1036</v>
      </c>
      <c r="G17" s="11" t="s">
        <v>1032</v>
      </c>
      <c r="H17" s="11" t="s">
        <v>1032</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15.5" customHeight="1" spans="1:22">
      <c r="A18" s="16"/>
      <c r="B18" s="17" t="s">
        <v>1064</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78" customHeight="1" spans="1:22">
      <c r="A19" s="16"/>
      <c r="B19" s="6" t="s">
        <v>69</v>
      </c>
      <c r="C19" s="6" t="s">
        <v>69</v>
      </c>
      <c r="D19" s="18" t="s">
        <v>1228</v>
      </c>
      <c r="E19" s="6" t="s">
        <v>69</v>
      </c>
      <c r="F19" s="11" t="s">
        <v>1036</v>
      </c>
      <c r="G19" s="11" t="s">
        <v>1036</v>
      </c>
      <c r="H19" s="11" t="s">
        <v>1036</v>
      </c>
      <c r="I19" s="11" t="s">
        <v>1032</v>
      </c>
      <c r="J19" s="11" t="s">
        <v>1036</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1008</v>
      </c>
      <c r="G20" s="11" t="s">
        <v>1008</v>
      </c>
      <c r="H20" s="11" t="s">
        <v>1008</v>
      </c>
      <c r="I20" s="11" t="s">
        <v>1009</v>
      </c>
      <c r="J20" s="11" t="s">
        <v>1008</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1051</v>
      </c>
      <c r="J21" s="11" t="s">
        <v>1051</v>
      </c>
      <c r="K21" s="11" t="s">
        <v>69</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2"/>
    <mergeCell ref="A13:A19"/>
    <mergeCell ref="A20:A23"/>
  </mergeCells>
  <dataValidations count="3">
    <dataValidation type="list" allowBlank="1" sqref="F19:V19 F10:V12 F14:V17 F8:V9">
      <formula1>"O,-"</formula1>
    </dataValidation>
    <dataValidation type="list" allowBlank="1" sqref="F20:V20">
      <formula1>"N,A,B"</formula1>
    </dataValidation>
    <dataValidation type="list" allowBlank="1" sqref="F21:V21">
      <formula1>"P,F"</formula1>
    </dataValidation>
  </dataValidations>
  <pageMargins left="0.7" right="0.7" top="0.75" bottom="0.75" header="0.3" footer="0.3"/>
  <pageSetup paperSize="1" orientation="portrait" useFirstPageNumber="1"/>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174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1229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1230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1231</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1232</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1233</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1234</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1235</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1236</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178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1237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1238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1239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1240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1241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103" customHeight="1" spans="1:22">
      <c r="A13" s="16"/>
      <c r="B13" s="6" t="s">
        <v>69</v>
      </c>
      <c r="C13" s="6" t="s">
        <v>69</v>
      </c>
      <c r="D13" s="18" t="s">
        <v>1242</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1243</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1244</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17" t="s">
        <v>1064</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90.5" customHeight="1" spans="1:22">
      <c r="A17" s="16"/>
      <c r="B17" s="6" t="s">
        <v>69</v>
      </c>
      <c r="C17" s="6" t="s">
        <v>69</v>
      </c>
      <c r="D17" s="18" t="s">
        <v>1245</v>
      </c>
      <c r="E17" s="6" t="s">
        <v>69</v>
      </c>
      <c r="F17" s="11" t="s">
        <v>1036</v>
      </c>
      <c r="G17" s="11" t="s">
        <v>1036</v>
      </c>
      <c r="H17" s="11" t="s">
        <v>1036</v>
      </c>
      <c r="I17" s="11" t="s">
        <v>1032</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63</v>
      </c>
      <c r="G18" s="11" t="s">
        <v>1008</v>
      </c>
      <c r="H18" s="11" t="s">
        <v>1008</v>
      </c>
      <c r="I18" s="11" t="s">
        <v>63</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1"/>
    <mergeCell ref="A12:A17"/>
    <mergeCell ref="A18:A21"/>
  </mergeCells>
  <dataValidations count="3">
    <dataValidation type="list" allowBlank="1" sqref="F17:V17 F8:V9 F10:V11 F13:V15">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182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1246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5</v>
      </c>
      <c r="M5" s="11">
        <v>0</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1247</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1248</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1249</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1250</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1251</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1252</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1253</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28" customHeight="1" spans="1:22">
      <c r="A16" s="16"/>
      <c r="B16" s="6" t="s">
        <v>69</v>
      </c>
      <c r="C16" s="6" t="s">
        <v>69</v>
      </c>
      <c r="D16" s="18" t="s">
        <v>1254</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1255</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40.5" customHeight="1" spans="1:22">
      <c r="A18" s="16"/>
      <c r="B18" s="6" t="s">
        <v>69</v>
      </c>
      <c r="C18" s="6" t="s">
        <v>69</v>
      </c>
      <c r="D18" s="18" t="s">
        <v>1256</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1008</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186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03" customHeight="1" spans="1:22">
      <c r="A3" s="5" t="s">
        <v>1023</v>
      </c>
      <c r="B3" s="8" t="s">
        <v>1257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189</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1258</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17" t="s">
        <v>1064</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128" customHeight="1" spans="1:22">
      <c r="A12" s="16"/>
      <c r="B12" s="6" t="s">
        <v>69</v>
      </c>
      <c r="C12" s="6" t="s">
        <v>69</v>
      </c>
      <c r="D12" s="18" t="s">
        <v>1259</v>
      </c>
      <c r="E12" s="6" t="s">
        <v>69</v>
      </c>
      <c r="F12" s="11" t="s">
        <v>1032</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69</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8"/>
    <mergeCell ref="A9:A12"/>
    <mergeCell ref="A13:A16"/>
  </mergeCells>
  <dataValidations count="3">
    <dataValidation type="list" allowBlank="1" sqref="F8:V8 F10:V10 F12:V12">
      <formula1>"O,-"</formula1>
    </dataValidation>
    <dataValidation type="list" allowBlank="1" sqref="F13:V13">
      <formula1>"N,A,B"</formula1>
    </dataValidation>
    <dataValidation type="list" allowBlank="1" sqref="F14:V14">
      <formula1>"P,F"</formula1>
    </dataValidation>
  </dataValidations>
  <pageMargins left="0.7" right="0.7" top="0.75" bottom="0.75" header="0.3" footer="0.3"/>
  <pageSetup paperSize="1" orientation="portrait" useFirstPageNumber="1"/>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192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1260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1261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1262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1263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1264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1265</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1266</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1267</v>
      </c>
      <c r="E14" s="6" t="s">
        <v>69</v>
      </c>
      <c r="F14" s="11" t="s">
        <v>1032</v>
      </c>
      <c r="G14" s="11" t="s">
        <v>1032</v>
      </c>
      <c r="H14" s="11" t="s">
        <v>1036</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196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1268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1269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1270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1271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1272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78" customHeight="1" spans="1:22">
      <c r="A12" s="16"/>
      <c r="B12" s="6" t="s">
        <v>69</v>
      </c>
      <c r="C12" s="6" t="s">
        <v>69</v>
      </c>
      <c r="D12" s="18" t="s">
        <v>1273</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1274</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1275</v>
      </c>
      <c r="E14" s="6" t="s">
        <v>69</v>
      </c>
      <c r="F14" s="11" t="s">
        <v>1032</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90.5" customHeight="1" spans="1:22">
      <c r="A16" s="16"/>
      <c r="B16" s="6" t="s">
        <v>69</v>
      </c>
      <c r="C16" s="6" t="s">
        <v>69</v>
      </c>
      <c r="D16" s="18" t="s">
        <v>1276</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63</v>
      </c>
      <c r="H17" s="11" t="s">
        <v>63</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0"/>
    <mergeCell ref="A11:A16"/>
    <mergeCell ref="A17:A20"/>
  </mergeCells>
  <dataValidations count="3">
    <dataValidation type="list" allowBlank="1" sqref="F10:V10 F16:V16 F12:V14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200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1277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203</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5.5" customHeight="1" spans="1:22">
      <c r="A10" s="16"/>
      <c r="B10" s="6" t="s">
        <v>69</v>
      </c>
      <c r="C10" s="6" t="s">
        <v>69</v>
      </c>
      <c r="D10" s="18" t="s">
        <v>1278</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1279</v>
      </c>
      <c r="E11" s="6" t="s">
        <v>69</v>
      </c>
      <c r="F11" s="11" t="s">
        <v>1032</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t="s">
        <v>1048</v>
      </c>
      <c r="B12" s="20" t="s">
        <v>1049</v>
      </c>
      <c r="C12" s="20"/>
      <c r="D12" s="20"/>
      <c r="E12" s="6" t="s">
        <v>69</v>
      </c>
      <c r="F12" s="11" t="s">
        <v>63</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1050</v>
      </c>
      <c r="C13" s="20"/>
      <c r="D13" s="20"/>
      <c r="E13" s="6" t="s">
        <v>69</v>
      </c>
      <c r="F13" s="11" t="s">
        <v>1051</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8"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8"/>
    <mergeCell ref="A9:A11"/>
    <mergeCell ref="A12:A15"/>
  </mergeCells>
  <dataValidations count="3">
    <dataValidation type="list" allowBlank="1" sqref="F8:V8 F10:V11">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204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1280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207</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1281</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63</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208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1282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211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1283</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63</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212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1284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1285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1286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1287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1288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1289</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1290</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1008</v>
      </c>
      <c r="H14" s="11" t="s">
        <v>1008</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217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1291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1292</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1293</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1294</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90.5" customHeight="1" spans="1:22">
      <c r="A10" s="16"/>
      <c r="B10" s="6" t="s">
        <v>69</v>
      </c>
      <c r="C10" s="6" t="s">
        <v>69</v>
      </c>
      <c r="D10" s="18" t="s">
        <v>1295</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1296</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1297</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1298</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221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1299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3</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1300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1301</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1302</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1303</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1304</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1305</v>
      </c>
      <c r="E13" s="6" t="s">
        <v>69</v>
      </c>
      <c r="F13" s="11" t="s">
        <v>1032</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63</v>
      </c>
      <c r="G14" s="11" t="s">
        <v>63</v>
      </c>
      <c r="H14" s="11" t="s">
        <v>63</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225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1306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1307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1308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1309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1310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1311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90.5" customHeight="1" spans="1:22">
      <c r="A13" s="16"/>
      <c r="B13" s="6" t="s">
        <v>69</v>
      </c>
      <c r="C13" s="6" t="s">
        <v>69</v>
      </c>
      <c r="D13" s="18" t="s">
        <v>1312</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1313</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1314</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1315</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230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1316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2</v>
      </c>
      <c r="M5" s="11">
        <v>3</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1317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1318</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1319</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1320</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1321</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1322</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78" customHeight="1" spans="1:22">
      <c r="A14" s="16"/>
      <c r="B14" s="6" t="s">
        <v>69</v>
      </c>
      <c r="C14" s="6" t="s">
        <v>69</v>
      </c>
      <c r="D14" s="18" t="s">
        <v>1323</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1324</v>
      </c>
      <c r="E15" s="6" t="s">
        <v>69</v>
      </c>
      <c r="F15" s="11" t="s">
        <v>1036</v>
      </c>
      <c r="G15" s="11" t="s">
        <v>1032</v>
      </c>
      <c r="H15" s="11" t="s">
        <v>1032</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1325</v>
      </c>
      <c r="E16" s="6" t="s">
        <v>69</v>
      </c>
      <c r="F16" s="11" t="s">
        <v>1036</v>
      </c>
      <c r="G16" s="11" t="s">
        <v>1036</v>
      </c>
      <c r="H16" s="11" t="s">
        <v>1036</v>
      </c>
      <c r="I16" s="11" t="s">
        <v>1032</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78" customHeight="1" spans="1:22">
      <c r="A17" s="16"/>
      <c r="B17" s="6" t="s">
        <v>69</v>
      </c>
      <c r="C17" s="6" t="s">
        <v>69</v>
      </c>
      <c r="D17" s="18" t="s">
        <v>1326</v>
      </c>
      <c r="E17" s="6" t="s">
        <v>69</v>
      </c>
      <c r="F17" s="11" t="s">
        <v>1036</v>
      </c>
      <c r="G17" s="11" t="s">
        <v>1036</v>
      </c>
      <c r="H17" s="11" t="s">
        <v>1036</v>
      </c>
      <c r="I17" s="11" t="s">
        <v>1036</v>
      </c>
      <c r="J17" s="11" t="s">
        <v>1032</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63</v>
      </c>
      <c r="G18" s="11" t="s">
        <v>1008</v>
      </c>
      <c r="H18" s="11" t="s">
        <v>1008</v>
      </c>
      <c r="I18" s="11" t="s">
        <v>63</v>
      </c>
      <c r="J18" s="11" t="s">
        <v>63</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1051</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0:V12 F14:V17 F8:V9">
      <formula1>"O,-"</formula1>
    </dataValidation>
  </dataValidations>
  <pageMargins left="0.7" right="0.7" top="0.75" bottom="0.75" header="0.3" footer="0.3"/>
  <pageSetup paperSize="1" orientation="portrait" useFirstPageNumber="1"/>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234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1327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0</v>
      </c>
      <c r="M5" s="11">
        <v>2</v>
      </c>
      <c r="N5" s="11">
        <v>2</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1329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1330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1331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1332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90.5" customHeight="1" spans="1:22">
      <c r="A13" s="16"/>
      <c r="B13" s="6" t="s">
        <v>69</v>
      </c>
      <c r="C13" s="6" t="s">
        <v>69</v>
      </c>
      <c r="D13" s="18" t="s">
        <v>1333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1334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78" customHeight="1" spans="1:22">
      <c r="A15" s="16"/>
      <c r="B15" s="6" t="s">
        <v>69</v>
      </c>
      <c r="C15" s="6" t="s">
        <v>69</v>
      </c>
      <c r="D15" s="18" t="s">
        <v>1335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90.5" customHeight="1" spans="1:22">
      <c r="A16" s="16"/>
      <c r="B16" s="6" t="s">
        <v>69</v>
      </c>
      <c r="C16" s="6" t="s">
        <v>69</v>
      </c>
      <c r="D16" s="18" t="s">
        <v>1336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1009</v>
      </c>
      <c r="G17" s="11" t="s">
        <v>1009</v>
      </c>
      <c r="H17" s="11" t="s">
        <v>63</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238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1337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1338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1339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1340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1341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1342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17" t="s">
        <v>1064</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03" customHeight="1" spans="1:22">
      <c r="A14" s="16"/>
      <c r="B14" s="6" t="s">
        <v>69</v>
      </c>
      <c r="C14" s="6" t="s">
        <v>69</v>
      </c>
      <c r="D14" s="18" t="s">
        <v>1343</v>
      </c>
      <c r="E14" s="6" t="s">
        <v>69</v>
      </c>
      <c r="F14" s="11" t="s">
        <v>1036</v>
      </c>
      <c r="G14" s="11" t="s">
        <v>1032</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69</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9"/>
    <mergeCell ref="A10:A14"/>
    <mergeCell ref="A15:A18"/>
  </mergeCells>
  <dataValidations count="3">
    <dataValidation type="list" allowBlank="1" sqref="F14:V14 F11:V12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243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1344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1345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1346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1347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1348</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1349</v>
      </c>
      <c r="E12" s="6" t="s">
        <v>69</v>
      </c>
      <c r="F12" s="11" t="s">
        <v>1032</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247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1350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1351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1352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03" customHeight="1" spans="1:22">
      <c r="A9" s="16"/>
      <c r="B9" s="6" t="s">
        <v>69</v>
      </c>
      <c r="C9" s="6" t="s">
        <v>69</v>
      </c>
      <c r="D9" s="18" t="s">
        <v>1353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1354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1355</v>
      </c>
      <c r="E12" s="6" t="s">
        <v>69</v>
      </c>
      <c r="F12" s="11" t="s">
        <v>1032</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17" t="s">
        <v>1064</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90.5" customHeight="1" spans="1:22">
      <c r="A14" s="16"/>
      <c r="B14" s="6" t="s">
        <v>69</v>
      </c>
      <c r="C14" s="6" t="s">
        <v>69</v>
      </c>
      <c r="D14" s="18" t="s">
        <v>1356</v>
      </c>
      <c r="E14" s="6" t="s">
        <v>69</v>
      </c>
      <c r="F14" s="11" t="s">
        <v>1032</v>
      </c>
      <c r="G14" s="11" t="s">
        <v>1032</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1009</v>
      </c>
      <c r="G15" s="11" t="s">
        <v>1009</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69</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9"/>
    <mergeCell ref="A10:A14"/>
    <mergeCell ref="A15:A18"/>
  </mergeCells>
  <dataValidations count="3">
    <dataValidation type="list" allowBlank="1" sqref="F14:V14 F11:V12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251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1357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1358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1359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1360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1361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255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1362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1363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1364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1365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1366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1367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259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1368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1369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1370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1371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1372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1373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263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1374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1376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1377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1378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1379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267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1380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1381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1382</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1383</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1384</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1385</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1386</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1387</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1388</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1389</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271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1390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1391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1392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1393</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17" t="s">
        <v>1064</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90.5" customHeight="1" spans="1:22">
      <c r="A13" s="16"/>
      <c r="B13" s="6" t="s">
        <v>69</v>
      </c>
      <c r="C13" s="6" t="s">
        <v>69</v>
      </c>
      <c r="D13" s="18" t="s">
        <v>1394</v>
      </c>
      <c r="E13" s="6" t="s">
        <v>69</v>
      </c>
      <c r="F13" s="11" t="s">
        <v>1036</v>
      </c>
      <c r="G13" s="11" t="s">
        <v>1032</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63</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9"/>
    <mergeCell ref="A10:A13"/>
    <mergeCell ref="A14:A17"/>
  </mergeCells>
  <dataValidations count="3">
    <dataValidation type="list" allowBlank="1" sqref="F11:V11 F13:V13 F8:V9">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275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1395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1396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1397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1398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1399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280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1400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1401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1402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1403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1404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1405</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1008</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1051</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10"/>
    <mergeCell ref="A11:A12"/>
    <mergeCell ref="A13:A16"/>
  </mergeCells>
  <dataValidations count="3">
    <dataValidation type="list" allowBlank="1" sqref="F10:V10 F12:V12 F8:V9">
      <formula1>"O,-"</formula1>
    </dataValidation>
    <dataValidation type="list" allowBlank="1" sqref="F13:V13">
      <formula1>"N,A,B"</formula1>
    </dataValidation>
    <dataValidation type="list" allowBlank="1" sqref="F14:V14">
      <formula1>"P,F"</formula1>
    </dataValidation>
  </dataValidations>
  <pageMargins left="0.7" right="0.7" top="0.75" bottom="0.75" header="0.3" footer="0.3"/>
  <pageSetup paperSize="1" orientation="portrait" useFirstPageNumber="1"/>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284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1406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1407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1408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1409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1410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1411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1412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130</v>
      </c>
      <c r="C1" s="2"/>
      <c r="D1" s="2"/>
      <c r="E1" s="2"/>
      <c r="F1" s="3" t="s">
        <v>1019</v>
      </c>
      <c r="G1" s="3"/>
      <c r="H1" s="3"/>
      <c r="I1" s="3"/>
      <c r="J1" s="3"/>
      <c r="K1" s="3"/>
      <c r="L1" s="4" t="s">
        <v>288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1413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1173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1414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1415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1416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1417</v>
      </c>
      <c r="E12" s="6" t="s">
        <v>69</v>
      </c>
      <c r="F12" s="11" t="s">
        <v>1032</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1418</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1008</v>
      </c>
      <c r="H14" s="11" t="s">
        <v>63</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293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1419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1420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1421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1422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1423</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1424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297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1425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1426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1427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1428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1429</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1430</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301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1431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1432</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1433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1434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03" customHeight="1" spans="1:22">
      <c r="A11" s="16"/>
      <c r="B11" s="6" t="s">
        <v>69</v>
      </c>
      <c r="C11" s="6" t="s">
        <v>69</v>
      </c>
      <c r="D11" s="18" t="s">
        <v>1435</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17" t="s">
        <v>1064</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1436</v>
      </c>
      <c r="E13" s="6" t="s">
        <v>69</v>
      </c>
      <c r="F13" s="11" t="s">
        <v>1032</v>
      </c>
      <c r="G13" s="11" t="s">
        <v>1032</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1009</v>
      </c>
      <c r="G14" s="11" t="s">
        <v>1009</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9"/>
    <mergeCell ref="A10:A13"/>
    <mergeCell ref="A14:A17"/>
  </mergeCells>
  <dataValidations count="3">
    <dataValidation type="list" allowBlank="1" sqref="F11:V11 F13:V13 F8:V9">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306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1437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1438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1439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1440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1441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1442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310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1443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1444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1445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1446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1447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191</v>
      </c>
      <c r="C1" s="2"/>
      <c r="D1" s="2"/>
      <c r="E1" s="2"/>
      <c r="F1" s="3" t="s">
        <v>1019</v>
      </c>
      <c r="G1" s="3"/>
      <c r="H1" s="3"/>
      <c r="I1" s="3"/>
      <c r="J1" s="3"/>
      <c r="K1" s="3"/>
      <c r="L1" s="4" t="s">
        <v>315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1448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28" customHeight="1" spans="1:22">
      <c r="A7" s="16" t="s">
        <v>1029</v>
      </c>
      <c r="B7" s="17" t="s">
        <v>1449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1450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1451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1452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1453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321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1454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1456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1457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1458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1459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1460</v>
      </c>
      <c r="E13" s="6" t="s">
        <v>69</v>
      </c>
      <c r="F13" s="11" t="s">
        <v>1032</v>
      </c>
      <c r="G13" s="11" t="s">
        <v>1032</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1461</v>
      </c>
      <c r="E14" s="6" t="s">
        <v>69</v>
      </c>
      <c r="F14" s="11" t="s">
        <v>1036</v>
      </c>
      <c r="G14" s="11" t="s">
        <v>1036</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1462</v>
      </c>
      <c r="E15" s="6" t="s">
        <v>69</v>
      </c>
      <c r="F15" s="11" t="s">
        <v>1032</v>
      </c>
      <c r="G15" s="11" t="s">
        <v>1032</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1008</v>
      </c>
      <c r="H16" s="11" t="s">
        <v>1008</v>
      </c>
      <c r="I16" s="11" t="s">
        <v>1008</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326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1463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1465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1466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1467</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1468</v>
      </c>
      <c r="E12" s="6" t="s">
        <v>69</v>
      </c>
      <c r="F12" s="11" t="s">
        <v>1032</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90.5" customHeight="1" spans="1:22">
      <c r="A13" s="16"/>
      <c r="B13" s="6" t="s">
        <v>69</v>
      </c>
      <c r="C13" s="6" t="s">
        <v>69</v>
      </c>
      <c r="D13" s="18" t="s">
        <v>1469</v>
      </c>
      <c r="E13" s="6" t="s">
        <v>69</v>
      </c>
      <c r="F13" s="11" t="s">
        <v>1036</v>
      </c>
      <c r="G13" s="11" t="s">
        <v>1032</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1008</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9"/>
    <mergeCell ref="A10:A13"/>
    <mergeCell ref="A14:A17"/>
  </mergeCells>
  <dataValidations count="3">
    <dataValidation type="list" allowBlank="1" sqref="F14:V14">
      <formula1>"N,A,B"</formula1>
    </dataValidation>
    <dataValidation type="list" allowBlank="1" sqref="F15:V15">
      <formula1>"P,F"</formula1>
    </dataValidation>
    <dataValidation type="list" allowBlank="1" sqref="F11:V13 F8:V9">
      <formula1>"O,-"</formula1>
    </dataValidation>
  </dataValidations>
  <pageMargins left="0.7" right="0.7" top="0.75" bottom="0.75" header="0.3" footer="0.3"/>
  <pageSetup paperSize="1" orientation="portrait" useFirstPageNumber="1"/>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331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1470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1471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1472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1473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1474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1475</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1476</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1477</v>
      </c>
      <c r="E15" s="6" t="s">
        <v>69</v>
      </c>
      <c r="F15" s="11" t="s">
        <v>1036</v>
      </c>
      <c r="G15" s="11" t="s">
        <v>1036</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1478</v>
      </c>
      <c r="E16" s="6" t="s">
        <v>69</v>
      </c>
      <c r="F16" s="11" t="s">
        <v>1032</v>
      </c>
      <c r="G16" s="11" t="s">
        <v>1032</v>
      </c>
      <c r="H16" s="11" t="s">
        <v>1032</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335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1479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1465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1466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1480</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1481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338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1482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1483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1484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1485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1486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1487</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03" customHeight="1" spans="1:22">
      <c r="A14" s="16"/>
      <c r="B14" s="6" t="s">
        <v>69</v>
      </c>
      <c r="C14" s="6" t="s">
        <v>69</v>
      </c>
      <c r="D14" s="18" t="s">
        <v>1488</v>
      </c>
      <c r="E14" s="6" t="s">
        <v>69</v>
      </c>
      <c r="F14" s="11" t="s">
        <v>1032</v>
      </c>
      <c r="G14" s="11" t="s">
        <v>1032</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1009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1051</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1"/>
    <mergeCell ref="A12:A14"/>
    <mergeCell ref="A15:A18"/>
  </mergeCells>
  <dataValidations count="3">
    <dataValidation type="list" allowBlank="1" sqref="F15:V15">
      <formula1>"N,A,B"</formula1>
    </dataValidation>
    <dataValidation type="list" allowBlank="1" sqref="F16:V16">
      <formula1>"P,F"</formula1>
    </dataValidation>
    <dataValidation type="list" allowBlank="1" sqref="F8:V9 F10:V11 F13:V14">
      <formula1>"O,-"</formula1>
    </dataValidation>
  </dataValidations>
  <pageMargins left="0.7" right="0.7" top="0.75" bottom="0.75" header="0.3" footer="0.3"/>
  <pageSetup paperSize="1" orientation="portrait" useFirstPageNumber="1"/>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342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1489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1490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1491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1492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1493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1494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1495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1496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1497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346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1498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1173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1499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1500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1501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1502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1503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1504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1505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1506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350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1507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1509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1510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1511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1512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1513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1514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1515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78" customHeight="1" spans="1:22">
      <c r="A16" s="16"/>
      <c r="B16" s="6" t="s">
        <v>69</v>
      </c>
      <c r="C16" s="6" t="s">
        <v>69</v>
      </c>
      <c r="D16" s="18" t="s">
        <v>1516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354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1517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1518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1519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1520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1521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1522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1523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1524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1525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1526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63</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358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1527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1529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1530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1531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1532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1533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1534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1535</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1536</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362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1537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1538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1539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1540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1541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1542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1543</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1544</v>
      </c>
      <c r="E14" s="6" t="s">
        <v>69</v>
      </c>
      <c r="F14" s="11" t="s">
        <v>1032</v>
      </c>
      <c r="G14" s="11" t="s">
        <v>1036</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1545</v>
      </c>
      <c r="E15" s="6" t="s">
        <v>69</v>
      </c>
      <c r="F15" s="11" t="s">
        <v>1032</v>
      </c>
      <c r="G15" s="11" t="s">
        <v>1032</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1008</v>
      </c>
      <c r="H16" s="11" t="s">
        <v>1008</v>
      </c>
      <c r="I16" s="11" t="s">
        <v>1008</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366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1546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1455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1547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1531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1532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1548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1549</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1550</v>
      </c>
      <c r="E14" s="6" t="s">
        <v>69</v>
      </c>
      <c r="F14" s="11" t="s">
        <v>1036</v>
      </c>
      <c r="G14" s="11" t="s">
        <v>1032</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370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1551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1552</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1553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1554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1555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1556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1557</v>
      </c>
      <c r="E13" s="6" t="s">
        <v>69</v>
      </c>
      <c r="F13" s="11" t="s">
        <v>1032</v>
      </c>
      <c r="G13" s="11" t="s">
        <v>1032</v>
      </c>
      <c r="H13" s="11" t="s">
        <v>1032</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1558</v>
      </c>
      <c r="E14" s="6" t="s">
        <v>69</v>
      </c>
      <c r="F14" s="11" t="s">
        <v>1032</v>
      </c>
      <c r="G14" s="11" t="s">
        <v>1032</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1559</v>
      </c>
      <c r="E15" s="6" t="s">
        <v>69</v>
      </c>
      <c r="F15" s="11" t="s">
        <v>1036</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17" t="s">
        <v>1064</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78" customHeight="1" spans="1:22">
      <c r="A17" s="16"/>
      <c r="B17" s="6" t="s">
        <v>69</v>
      </c>
      <c r="C17" s="6" t="s">
        <v>69</v>
      </c>
      <c r="D17" s="18" t="s">
        <v>1560</v>
      </c>
      <c r="E17" s="6" t="s">
        <v>69</v>
      </c>
      <c r="F17" s="11" t="s">
        <v>1036</v>
      </c>
      <c r="G17" s="11" t="s">
        <v>1036</v>
      </c>
      <c r="H17" s="11" t="s">
        <v>1036</v>
      </c>
      <c r="I17" s="11" t="s">
        <v>1032</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1008</v>
      </c>
      <c r="G18" s="11" t="s">
        <v>1008</v>
      </c>
      <c r="H18" s="11" t="s">
        <v>1008</v>
      </c>
      <c r="I18" s="11" t="s">
        <v>63</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1"/>
    <mergeCell ref="A12:A17"/>
    <mergeCell ref="A18:A21"/>
  </mergeCells>
  <dataValidations count="3">
    <dataValidation type="list" allowBlank="1" sqref="F17:V17 F8:V9 F10:V11 F13:V15">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374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1561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1562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1563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1564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78" customHeight="1" spans="1:22">
      <c r="A12" s="16"/>
      <c r="B12" s="6" t="s">
        <v>69</v>
      </c>
      <c r="C12" s="6" t="s">
        <v>69</v>
      </c>
      <c r="D12" s="18" t="s">
        <v>1565</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1566</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1567</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378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1568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1569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1570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1571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1572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1573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1574</v>
      </c>
      <c r="E13" s="6" t="s">
        <v>69</v>
      </c>
      <c r="F13" s="11" t="s">
        <v>1032</v>
      </c>
      <c r="G13" s="11" t="s">
        <v>1032</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1575</v>
      </c>
      <c r="E14" s="6" t="s">
        <v>69</v>
      </c>
      <c r="F14" s="11" t="s">
        <v>1032</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1576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1577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63</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320</v>
      </c>
      <c r="C1" s="2"/>
      <c r="D1" s="2"/>
      <c r="E1" s="2"/>
      <c r="F1" s="3" t="s">
        <v>1019</v>
      </c>
      <c r="G1" s="3"/>
      <c r="H1" s="3"/>
      <c r="I1" s="3"/>
      <c r="J1" s="3"/>
      <c r="K1" s="3"/>
      <c r="L1" s="4" t="s">
        <v>382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1578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1579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1580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1581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1582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1583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1584</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1585</v>
      </c>
      <c r="E14" s="6" t="s">
        <v>69</v>
      </c>
      <c r="F14" s="11" t="s">
        <v>1032</v>
      </c>
      <c r="G14" s="11" t="s">
        <v>1032</v>
      </c>
      <c r="H14" s="11" t="s">
        <v>1032</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1008</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1051</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1"/>
    <mergeCell ref="A12:A14"/>
    <mergeCell ref="A15:A18"/>
  </mergeCells>
  <dataValidations count="3">
    <dataValidation type="list" allowBlank="1" sqref="F15:V15">
      <formula1>"N,A,B"</formula1>
    </dataValidation>
    <dataValidation type="list" allowBlank="1" sqref="F16:V16">
      <formula1>"P,F"</formula1>
    </dataValidation>
    <dataValidation type="list" allowBlank="1" sqref="F8:V9 F10:V11 F13:V14">
      <formula1>"O,-"</formula1>
    </dataValidation>
  </dataValidations>
  <pageMargins left="0.7" right="0.7" top="0.75" bottom="0.75" header="0.3" footer="0.3"/>
  <pageSetup paperSize="1" orientation="portrait" useFirstPageNumber="1"/>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387</v>
      </c>
      <c r="C1" s="2"/>
      <c r="D1" s="2"/>
      <c r="E1" s="2"/>
      <c r="F1" s="3" t="s">
        <v>1019</v>
      </c>
      <c r="G1" s="3"/>
      <c r="H1" s="3"/>
      <c r="I1" s="3"/>
      <c r="J1" s="3"/>
      <c r="K1" s="3"/>
      <c r="L1" s="4" t="s">
        <v>388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1586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1</v>
      </c>
      <c r="M5" s="11">
        <v>6</v>
      </c>
      <c r="N5" s="11">
        <v>0</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391</v>
      </c>
      <c r="E8" s="6" t="s">
        <v>69</v>
      </c>
      <c r="F8" s="11" t="s">
        <v>1032</v>
      </c>
      <c r="G8" s="11" t="s">
        <v>1032</v>
      </c>
      <c r="H8" s="11" t="s">
        <v>1032</v>
      </c>
      <c r="I8" s="11" t="s">
        <v>1032</v>
      </c>
      <c r="J8" s="11" t="s">
        <v>1032</v>
      </c>
      <c r="K8" s="11" t="s">
        <v>1032</v>
      </c>
      <c r="L8" s="11" t="s">
        <v>1032</v>
      </c>
      <c r="M8" s="11" t="s">
        <v>69</v>
      </c>
      <c r="N8" s="11" t="s">
        <v>69</v>
      </c>
      <c r="O8" s="11" t="s">
        <v>69</v>
      </c>
      <c r="P8" s="11" t="s">
        <v>69</v>
      </c>
      <c r="Q8" s="11" t="s">
        <v>69</v>
      </c>
      <c r="R8" s="11" t="s">
        <v>69</v>
      </c>
      <c r="S8" s="11" t="s">
        <v>69</v>
      </c>
      <c r="T8" s="11" t="s">
        <v>69</v>
      </c>
      <c r="U8" s="11" t="s">
        <v>69</v>
      </c>
      <c r="V8" s="12" t="s">
        <v>69</v>
      </c>
    </row>
    <row r="9" ht="15.5" customHeight="1" spans="1:22">
      <c r="A9" s="16"/>
      <c r="B9" s="17" t="s">
        <v>1588</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28" customHeight="1" spans="1:22">
      <c r="A10" s="16"/>
      <c r="B10" s="6" t="s">
        <v>69</v>
      </c>
      <c r="C10" s="6" t="s">
        <v>69</v>
      </c>
      <c r="D10" s="18" t="s">
        <v>1589</v>
      </c>
      <c r="E10" s="6" t="s">
        <v>69</v>
      </c>
      <c r="F10" s="11" t="s">
        <v>1032</v>
      </c>
      <c r="G10" s="11" t="s">
        <v>1036</v>
      </c>
      <c r="H10" s="11" t="s">
        <v>1032</v>
      </c>
      <c r="I10" s="11" t="s">
        <v>1032</v>
      </c>
      <c r="J10" s="11" t="s">
        <v>1032</v>
      </c>
      <c r="K10" s="11" t="s">
        <v>1032</v>
      </c>
      <c r="L10" s="11" t="s">
        <v>1032</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1590</v>
      </c>
      <c r="E11" s="6" t="s">
        <v>69</v>
      </c>
      <c r="F11" s="11" t="s">
        <v>1036</v>
      </c>
      <c r="G11" s="11" t="s">
        <v>1032</v>
      </c>
      <c r="H11" s="11" t="s">
        <v>1036</v>
      </c>
      <c r="I11" s="11" t="s">
        <v>1036</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15.5" customHeight="1" spans="1:22">
      <c r="A12" s="16"/>
      <c r="B12" s="17" t="s">
        <v>1591</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1592</v>
      </c>
      <c r="E13" s="6" t="s">
        <v>69</v>
      </c>
      <c r="F13" s="11" t="s">
        <v>1032</v>
      </c>
      <c r="G13" s="11" t="s">
        <v>1032</v>
      </c>
      <c r="H13" s="11" t="s">
        <v>1036</v>
      </c>
      <c r="I13" s="11" t="s">
        <v>1032</v>
      </c>
      <c r="J13" s="11" t="s">
        <v>1032</v>
      </c>
      <c r="K13" s="11" t="s">
        <v>1032</v>
      </c>
      <c r="L13" s="11" t="s">
        <v>1032</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1590</v>
      </c>
      <c r="E14" s="6" t="s">
        <v>69</v>
      </c>
      <c r="F14" s="11" t="s">
        <v>1036</v>
      </c>
      <c r="G14" s="11" t="s">
        <v>1036</v>
      </c>
      <c r="H14" s="11" t="s">
        <v>1032</v>
      </c>
      <c r="I14" s="11" t="s">
        <v>1036</v>
      </c>
      <c r="J14" s="11" t="s">
        <v>1036</v>
      </c>
      <c r="K14" s="11" t="s">
        <v>1036</v>
      </c>
      <c r="L14" s="11" t="s">
        <v>1036</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1593</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28" customHeight="1" spans="1:22">
      <c r="A16" s="16"/>
      <c r="B16" s="6" t="s">
        <v>69</v>
      </c>
      <c r="C16" s="6" t="s">
        <v>69</v>
      </c>
      <c r="D16" s="18" t="s">
        <v>1594</v>
      </c>
      <c r="E16" s="6" t="s">
        <v>69</v>
      </c>
      <c r="F16" s="11" t="s">
        <v>1032</v>
      </c>
      <c r="G16" s="11" t="s">
        <v>1032</v>
      </c>
      <c r="H16" s="11" t="s">
        <v>1032</v>
      </c>
      <c r="I16" s="11" t="s">
        <v>1036</v>
      </c>
      <c r="J16" s="11" t="s">
        <v>1032</v>
      </c>
      <c r="K16" s="11" t="s">
        <v>1032</v>
      </c>
      <c r="L16" s="11" t="s">
        <v>1032</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1590</v>
      </c>
      <c r="E17" s="6" t="s">
        <v>69</v>
      </c>
      <c r="F17" s="11" t="s">
        <v>1036</v>
      </c>
      <c r="G17" s="11" t="s">
        <v>1036</v>
      </c>
      <c r="H17" s="11" t="s">
        <v>1036</v>
      </c>
      <c r="I17" s="11" t="s">
        <v>1032</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15.5" customHeight="1" spans="1:22">
      <c r="A18" s="16"/>
      <c r="B18" s="17" t="s">
        <v>1595</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28" customHeight="1" spans="1:22">
      <c r="A19" s="16"/>
      <c r="B19" s="6" t="s">
        <v>69</v>
      </c>
      <c r="C19" s="6" t="s">
        <v>69</v>
      </c>
      <c r="D19" s="18" t="s">
        <v>1596</v>
      </c>
      <c r="E19" s="6" t="s">
        <v>69</v>
      </c>
      <c r="F19" s="11" t="s">
        <v>1032</v>
      </c>
      <c r="G19" s="11" t="s">
        <v>1032</v>
      </c>
      <c r="H19" s="11" t="s">
        <v>1032</v>
      </c>
      <c r="I19" s="11" t="s">
        <v>1032</v>
      </c>
      <c r="J19" s="11" t="s">
        <v>1036</v>
      </c>
      <c r="K19" s="11" t="s">
        <v>1032</v>
      </c>
      <c r="L19" s="11" t="s">
        <v>1032</v>
      </c>
      <c r="M19" s="11" t="s">
        <v>69</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1590</v>
      </c>
      <c r="E20" s="6" t="s">
        <v>69</v>
      </c>
      <c r="F20" s="11" t="s">
        <v>1036</v>
      </c>
      <c r="G20" s="11" t="s">
        <v>1036</v>
      </c>
      <c r="H20" s="11" t="s">
        <v>1036</v>
      </c>
      <c r="I20" s="11" t="s">
        <v>1036</v>
      </c>
      <c r="J20" s="11" t="s">
        <v>1032</v>
      </c>
      <c r="K20" s="11" t="s">
        <v>1036</v>
      </c>
      <c r="L20" s="11" t="s">
        <v>1036</v>
      </c>
      <c r="M20" s="11" t="s">
        <v>69</v>
      </c>
      <c r="N20" s="11" t="s">
        <v>69</v>
      </c>
      <c r="O20" s="11" t="s">
        <v>69</v>
      </c>
      <c r="P20" s="11" t="s">
        <v>69</v>
      </c>
      <c r="Q20" s="11" t="s">
        <v>69</v>
      </c>
      <c r="R20" s="11" t="s">
        <v>69</v>
      </c>
      <c r="S20" s="11" t="s">
        <v>69</v>
      </c>
      <c r="T20" s="11" t="s">
        <v>69</v>
      </c>
      <c r="U20" s="11" t="s">
        <v>69</v>
      </c>
      <c r="V20" s="12" t="s">
        <v>69</v>
      </c>
    </row>
    <row r="21" ht="15.5" customHeight="1" spans="1:22">
      <c r="A21" s="16"/>
      <c r="B21" s="17" t="s">
        <v>1597</v>
      </c>
      <c r="C21" s="6" t="s">
        <v>69</v>
      </c>
      <c r="D21" s="6" t="s">
        <v>69</v>
      </c>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28" customHeight="1" spans="1:22">
      <c r="A22" s="16"/>
      <c r="B22" s="6" t="s">
        <v>69</v>
      </c>
      <c r="C22" s="6" t="s">
        <v>69</v>
      </c>
      <c r="D22" s="18" t="s">
        <v>1598</v>
      </c>
      <c r="E22" s="6" t="s">
        <v>69</v>
      </c>
      <c r="F22" s="11" t="s">
        <v>1032</v>
      </c>
      <c r="G22" s="11" t="s">
        <v>1032</v>
      </c>
      <c r="H22" s="11" t="s">
        <v>1032</v>
      </c>
      <c r="I22" s="11" t="s">
        <v>1032</v>
      </c>
      <c r="J22" s="11" t="s">
        <v>1032</v>
      </c>
      <c r="K22" s="11" t="s">
        <v>1036</v>
      </c>
      <c r="L22" s="11" t="s">
        <v>1036</v>
      </c>
      <c r="M22" s="11" t="s">
        <v>69</v>
      </c>
      <c r="N22" s="11" t="s">
        <v>69</v>
      </c>
      <c r="O22" s="11" t="s">
        <v>69</v>
      </c>
      <c r="P22" s="11" t="s">
        <v>69</v>
      </c>
      <c r="Q22" s="11" t="s">
        <v>69</v>
      </c>
      <c r="R22" s="11" t="s">
        <v>69</v>
      </c>
      <c r="S22" s="11" t="s">
        <v>69</v>
      </c>
      <c r="T22" s="11" t="s">
        <v>69</v>
      </c>
      <c r="U22" s="11" t="s">
        <v>69</v>
      </c>
      <c r="V22" s="12" t="s">
        <v>69</v>
      </c>
    </row>
    <row r="23" ht="15.5" customHeight="1" spans="1:22">
      <c r="A23" s="16"/>
      <c r="B23" s="6" t="s">
        <v>69</v>
      </c>
      <c r="C23" s="6" t="s">
        <v>69</v>
      </c>
      <c r="D23" s="18" t="s">
        <v>1590</v>
      </c>
      <c r="E23" s="6" t="s">
        <v>69</v>
      </c>
      <c r="F23" s="11" t="s">
        <v>1036</v>
      </c>
      <c r="G23" s="11" t="s">
        <v>1036</v>
      </c>
      <c r="H23" s="11" t="s">
        <v>1036</v>
      </c>
      <c r="I23" s="11" t="s">
        <v>1036</v>
      </c>
      <c r="J23" s="11" t="s">
        <v>1036</v>
      </c>
      <c r="K23" s="11" t="s">
        <v>1032</v>
      </c>
      <c r="L23" s="11" t="s">
        <v>1036</v>
      </c>
      <c r="M23" s="11" t="s">
        <v>69</v>
      </c>
      <c r="N23" s="11" t="s">
        <v>69</v>
      </c>
      <c r="O23" s="11" t="s">
        <v>69</v>
      </c>
      <c r="P23" s="11" t="s">
        <v>69</v>
      </c>
      <c r="Q23" s="11" t="s">
        <v>69</v>
      </c>
      <c r="R23" s="11" t="s">
        <v>69</v>
      </c>
      <c r="S23" s="11" t="s">
        <v>69</v>
      </c>
      <c r="T23" s="11" t="s">
        <v>69</v>
      </c>
      <c r="U23" s="11" t="s">
        <v>69</v>
      </c>
      <c r="V23" s="12" t="s">
        <v>69</v>
      </c>
    </row>
    <row r="24" ht="28" customHeight="1" spans="1:22">
      <c r="A24" s="16"/>
      <c r="B24" s="6" t="s">
        <v>69</v>
      </c>
      <c r="C24" s="6" t="s">
        <v>69</v>
      </c>
      <c r="D24" s="18" t="s">
        <v>1599</v>
      </c>
      <c r="E24" s="6" t="s">
        <v>69</v>
      </c>
      <c r="F24" s="11" t="s">
        <v>1036</v>
      </c>
      <c r="G24" s="11" t="s">
        <v>1036</v>
      </c>
      <c r="H24" s="11" t="s">
        <v>1036</v>
      </c>
      <c r="I24" s="11" t="s">
        <v>1036</v>
      </c>
      <c r="J24" s="11" t="s">
        <v>1036</v>
      </c>
      <c r="K24" s="11" t="s">
        <v>1036</v>
      </c>
      <c r="L24" s="11" t="s">
        <v>1032</v>
      </c>
      <c r="M24" s="11" t="s">
        <v>69</v>
      </c>
      <c r="N24" s="11" t="s">
        <v>69</v>
      </c>
      <c r="O24" s="11" t="s">
        <v>69</v>
      </c>
      <c r="P24" s="11" t="s">
        <v>69</v>
      </c>
      <c r="Q24" s="11" t="s">
        <v>69</v>
      </c>
      <c r="R24" s="11" t="s">
        <v>69</v>
      </c>
      <c r="S24" s="11" t="s">
        <v>69</v>
      </c>
      <c r="T24" s="11" t="s">
        <v>69</v>
      </c>
      <c r="U24" s="11" t="s">
        <v>69</v>
      </c>
      <c r="V24" s="12" t="s">
        <v>69</v>
      </c>
    </row>
    <row r="25" ht="15.5" customHeight="1" spans="1:22">
      <c r="A25" s="16" t="s">
        <v>1039</v>
      </c>
      <c r="B25" s="17" t="s">
        <v>1040</v>
      </c>
      <c r="C25" s="6" t="s">
        <v>69</v>
      </c>
      <c r="D25" s="6" t="s">
        <v>69</v>
      </c>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28" customHeight="1" spans="1:22">
      <c r="A26" s="16"/>
      <c r="B26" s="6" t="s">
        <v>69</v>
      </c>
      <c r="C26" s="6" t="s">
        <v>69</v>
      </c>
      <c r="D26" s="18" t="s">
        <v>1600</v>
      </c>
      <c r="E26" s="6" t="s">
        <v>69</v>
      </c>
      <c r="F26" s="11" t="s">
        <v>1032</v>
      </c>
      <c r="G26" s="11" t="s">
        <v>1036</v>
      </c>
      <c r="H26" s="11" t="s">
        <v>1036</v>
      </c>
      <c r="I26" s="11" t="s">
        <v>1036</v>
      </c>
      <c r="J26" s="11" t="s">
        <v>1036</v>
      </c>
      <c r="K26" s="11" t="s">
        <v>1036</v>
      </c>
      <c r="L26" s="11" t="s">
        <v>1036</v>
      </c>
      <c r="M26" s="11" t="s">
        <v>69</v>
      </c>
      <c r="N26" s="11" t="s">
        <v>69</v>
      </c>
      <c r="O26" s="11" t="s">
        <v>69</v>
      </c>
      <c r="P26" s="11" t="s">
        <v>69</v>
      </c>
      <c r="Q26" s="11" t="s">
        <v>69</v>
      </c>
      <c r="R26" s="11" t="s">
        <v>69</v>
      </c>
      <c r="S26" s="11" t="s">
        <v>69</v>
      </c>
      <c r="T26" s="11" t="s">
        <v>69</v>
      </c>
      <c r="U26" s="11" t="s">
        <v>69</v>
      </c>
      <c r="V26" s="12" t="s">
        <v>69</v>
      </c>
    </row>
    <row r="27" ht="15.5" customHeight="1" spans="1:22">
      <c r="A27" s="16"/>
      <c r="B27" s="6" t="s">
        <v>69</v>
      </c>
      <c r="C27" s="6" t="s">
        <v>69</v>
      </c>
      <c r="D27" s="18" t="s">
        <v>1601</v>
      </c>
      <c r="E27" s="6" t="s">
        <v>69</v>
      </c>
      <c r="F27" s="11" t="s">
        <v>1036</v>
      </c>
      <c r="G27" s="11" t="s">
        <v>1032</v>
      </c>
      <c r="H27" s="11" t="s">
        <v>1032</v>
      </c>
      <c r="I27" s="11" t="s">
        <v>1032</v>
      </c>
      <c r="J27" s="11" t="s">
        <v>1032</v>
      </c>
      <c r="K27" s="11" t="s">
        <v>1032</v>
      </c>
      <c r="L27" s="11" t="s">
        <v>1032</v>
      </c>
      <c r="M27" s="11" t="s">
        <v>69</v>
      </c>
      <c r="N27" s="11" t="s">
        <v>69</v>
      </c>
      <c r="O27" s="11" t="s">
        <v>69</v>
      </c>
      <c r="P27" s="11" t="s">
        <v>69</v>
      </c>
      <c r="Q27" s="11" t="s">
        <v>69</v>
      </c>
      <c r="R27" s="11" t="s">
        <v>69</v>
      </c>
      <c r="S27" s="11" t="s">
        <v>69</v>
      </c>
      <c r="T27" s="11" t="s">
        <v>69</v>
      </c>
      <c r="U27" s="11" t="s">
        <v>69</v>
      </c>
      <c r="V27" s="12" t="s">
        <v>69</v>
      </c>
    </row>
    <row r="28" ht="15.5" customHeight="1" spans="1:22">
      <c r="A28" s="16"/>
      <c r="B28" s="17" t="s">
        <v>1064</v>
      </c>
      <c r="C28" s="6" t="s">
        <v>69</v>
      </c>
      <c r="D28" s="6" t="s">
        <v>69</v>
      </c>
      <c r="E28" s="6" t="s">
        <v>69</v>
      </c>
      <c r="F28" s="6" t="s">
        <v>69</v>
      </c>
      <c r="G28" s="6" t="s">
        <v>69</v>
      </c>
      <c r="H28" s="6" t="s">
        <v>69</v>
      </c>
      <c r="I28" s="6" t="s">
        <v>69</v>
      </c>
      <c r="J28" s="6" t="s">
        <v>69</v>
      </c>
      <c r="K28" s="6" t="s">
        <v>69</v>
      </c>
      <c r="L28" s="6" t="s">
        <v>69</v>
      </c>
      <c r="M28" s="6" t="s">
        <v>69</v>
      </c>
      <c r="N28" s="6" t="s">
        <v>69</v>
      </c>
      <c r="O28" s="6" t="s">
        <v>69</v>
      </c>
      <c r="P28" s="6" t="s">
        <v>69</v>
      </c>
      <c r="Q28" s="6" t="s">
        <v>69</v>
      </c>
      <c r="R28" s="6" t="s">
        <v>69</v>
      </c>
      <c r="S28" s="6" t="s">
        <v>69</v>
      </c>
      <c r="T28" s="6" t="s">
        <v>69</v>
      </c>
      <c r="U28" s="6" t="s">
        <v>69</v>
      </c>
      <c r="V28" s="8" t="s">
        <v>69</v>
      </c>
    </row>
    <row r="29" ht="28" customHeight="1" spans="1:22">
      <c r="A29" s="16"/>
      <c r="B29" s="6" t="s">
        <v>69</v>
      </c>
      <c r="C29" s="6" t="s">
        <v>69</v>
      </c>
      <c r="D29" s="18" t="s">
        <v>1602</v>
      </c>
      <c r="E29" s="6" t="s">
        <v>69</v>
      </c>
      <c r="F29" s="11" t="s">
        <v>1036</v>
      </c>
      <c r="G29" s="11" t="s">
        <v>1032</v>
      </c>
      <c r="H29" s="11" t="s">
        <v>1036</v>
      </c>
      <c r="I29" s="11" t="s">
        <v>1036</v>
      </c>
      <c r="J29" s="11" t="s">
        <v>1036</v>
      </c>
      <c r="K29" s="11" t="s">
        <v>1036</v>
      </c>
      <c r="L29" s="11" t="s">
        <v>1036</v>
      </c>
      <c r="M29" s="11" t="s">
        <v>69</v>
      </c>
      <c r="N29" s="11" t="s">
        <v>69</v>
      </c>
      <c r="O29" s="11" t="s">
        <v>69</v>
      </c>
      <c r="P29" s="11" t="s">
        <v>69</v>
      </c>
      <c r="Q29" s="11" t="s">
        <v>69</v>
      </c>
      <c r="R29" s="11" t="s">
        <v>69</v>
      </c>
      <c r="S29" s="11" t="s">
        <v>69</v>
      </c>
      <c r="T29" s="11" t="s">
        <v>69</v>
      </c>
      <c r="U29" s="11" t="s">
        <v>69</v>
      </c>
      <c r="V29" s="12" t="s">
        <v>69</v>
      </c>
    </row>
    <row r="30" ht="28" customHeight="1" spans="1:22">
      <c r="A30" s="16"/>
      <c r="B30" s="6" t="s">
        <v>69</v>
      </c>
      <c r="C30" s="6" t="s">
        <v>69</v>
      </c>
      <c r="D30" s="18" t="s">
        <v>1603</v>
      </c>
      <c r="E30" s="6" t="s">
        <v>69</v>
      </c>
      <c r="F30" s="11" t="s">
        <v>1036</v>
      </c>
      <c r="G30" s="11" t="s">
        <v>1036</v>
      </c>
      <c r="H30" s="11" t="s">
        <v>1032</v>
      </c>
      <c r="I30" s="11" t="s">
        <v>1036</v>
      </c>
      <c r="J30" s="11" t="s">
        <v>1036</v>
      </c>
      <c r="K30" s="11" t="s">
        <v>1036</v>
      </c>
      <c r="L30" s="11" t="s">
        <v>1036</v>
      </c>
      <c r="M30" s="11" t="s">
        <v>69</v>
      </c>
      <c r="N30" s="11" t="s">
        <v>69</v>
      </c>
      <c r="O30" s="11" t="s">
        <v>69</v>
      </c>
      <c r="P30" s="11" t="s">
        <v>69</v>
      </c>
      <c r="Q30" s="11" t="s">
        <v>69</v>
      </c>
      <c r="R30" s="11" t="s">
        <v>69</v>
      </c>
      <c r="S30" s="11" t="s">
        <v>69</v>
      </c>
      <c r="T30" s="11" t="s">
        <v>69</v>
      </c>
      <c r="U30" s="11" t="s">
        <v>69</v>
      </c>
      <c r="V30" s="12" t="s">
        <v>69</v>
      </c>
    </row>
    <row r="31" ht="28" customHeight="1" spans="1:22">
      <c r="A31" s="16"/>
      <c r="B31" s="6" t="s">
        <v>69</v>
      </c>
      <c r="C31" s="6" t="s">
        <v>69</v>
      </c>
      <c r="D31" s="18" t="s">
        <v>1604</v>
      </c>
      <c r="E31" s="6" t="s">
        <v>69</v>
      </c>
      <c r="F31" s="11" t="s">
        <v>1036</v>
      </c>
      <c r="G31" s="11" t="s">
        <v>1036</v>
      </c>
      <c r="H31" s="11" t="s">
        <v>1036</v>
      </c>
      <c r="I31" s="11" t="s">
        <v>1032</v>
      </c>
      <c r="J31" s="11" t="s">
        <v>1036</v>
      </c>
      <c r="K31" s="11" t="s">
        <v>1036</v>
      </c>
      <c r="L31" s="11" t="s">
        <v>1036</v>
      </c>
      <c r="M31" s="11" t="s">
        <v>69</v>
      </c>
      <c r="N31" s="11" t="s">
        <v>69</v>
      </c>
      <c r="O31" s="11" t="s">
        <v>69</v>
      </c>
      <c r="P31" s="11" t="s">
        <v>69</v>
      </c>
      <c r="Q31" s="11" t="s">
        <v>69</v>
      </c>
      <c r="R31" s="11" t="s">
        <v>69</v>
      </c>
      <c r="S31" s="11" t="s">
        <v>69</v>
      </c>
      <c r="T31" s="11" t="s">
        <v>69</v>
      </c>
      <c r="U31" s="11" t="s">
        <v>69</v>
      </c>
      <c r="V31" s="12" t="s">
        <v>69</v>
      </c>
    </row>
    <row r="32" ht="28" customHeight="1" spans="1:22">
      <c r="A32" s="16"/>
      <c r="B32" s="6" t="s">
        <v>69</v>
      </c>
      <c r="C32" s="6" t="s">
        <v>69</v>
      </c>
      <c r="D32" s="18" t="s">
        <v>1605</v>
      </c>
      <c r="E32" s="6" t="s">
        <v>69</v>
      </c>
      <c r="F32" s="11" t="s">
        <v>1036</v>
      </c>
      <c r="G32" s="11" t="s">
        <v>1036</v>
      </c>
      <c r="H32" s="11" t="s">
        <v>1036</v>
      </c>
      <c r="I32" s="11" t="s">
        <v>1036</v>
      </c>
      <c r="J32" s="11" t="s">
        <v>1032</v>
      </c>
      <c r="K32" s="11" t="s">
        <v>1036</v>
      </c>
      <c r="L32" s="11" t="s">
        <v>1036</v>
      </c>
      <c r="M32" s="11" t="s">
        <v>69</v>
      </c>
      <c r="N32" s="11" t="s">
        <v>69</v>
      </c>
      <c r="O32" s="11" t="s">
        <v>69</v>
      </c>
      <c r="P32" s="11" t="s">
        <v>69</v>
      </c>
      <c r="Q32" s="11" t="s">
        <v>69</v>
      </c>
      <c r="R32" s="11" t="s">
        <v>69</v>
      </c>
      <c r="S32" s="11" t="s">
        <v>69</v>
      </c>
      <c r="T32" s="11" t="s">
        <v>69</v>
      </c>
      <c r="U32" s="11" t="s">
        <v>69</v>
      </c>
      <c r="V32" s="12" t="s">
        <v>69</v>
      </c>
    </row>
    <row r="33" ht="40.5" customHeight="1" spans="1:22">
      <c r="A33" s="16"/>
      <c r="B33" s="6" t="s">
        <v>69</v>
      </c>
      <c r="C33" s="6" t="s">
        <v>69</v>
      </c>
      <c r="D33" s="18" t="s">
        <v>1606</v>
      </c>
      <c r="E33" s="6" t="s">
        <v>69</v>
      </c>
      <c r="F33" s="11" t="s">
        <v>1036</v>
      </c>
      <c r="G33" s="11" t="s">
        <v>1036</v>
      </c>
      <c r="H33" s="11" t="s">
        <v>1036</v>
      </c>
      <c r="I33" s="11" t="s">
        <v>1036</v>
      </c>
      <c r="J33" s="11" t="s">
        <v>1036</v>
      </c>
      <c r="K33" s="11" t="s">
        <v>1032</v>
      </c>
      <c r="L33" s="11" t="s">
        <v>1036</v>
      </c>
      <c r="M33" s="11" t="s">
        <v>69</v>
      </c>
      <c r="N33" s="11" t="s">
        <v>69</v>
      </c>
      <c r="O33" s="11" t="s">
        <v>69</v>
      </c>
      <c r="P33" s="11" t="s">
        <v>69</v>
      </c>
      <c r="Q33" s="11" t="s">
        <v>69</v>
      </c>
      <c r="R33" s="11" t="s">
        <v>69</v>
      </c>
      <c r="S33" s="11" t="s">
        <v>69</v>
      </c>
      <c r="T33" s="11" t="s">
        <v>69</v>
      </c>
      <c r="U33" s="11" t="s">
        <v>69</v>
      </c>
      <c r="V33" s="12" t="s">
        <v>69</v>
      </c>
    </row>
    <row r="34" ht="28" customHeight="1" spans="1:22">
      <c r="A34" s="16"/>
      <c r="B34" s="6" t="s">
        <v>69</v>
      </c>
      <c r="C34" s="6" t="s">
        <v>69</v>
      </c>
      <c r="D34" s="18" t="s">
        <v>1607</v>
      </c>
      <c r="E34" s="6" t="s">
        <v>69</v>
      </c>
      <c r="F34" s="11" t="s">
        <v>1036</v>
      </c>
      <c r="G34" s="11" t="s">
        <v>1036</v>
      </c>
      <c r="H34" s="11" t="s">
        <v>1036</v>
      </c>
      <c r="I34" s="11" t="s">
        <v>1036</v>
      </c>
      <c r="J34" s="11" t="s">
        <v>1036</v>
      </c>
      <c r="K34" s="11" t="s">
        <v>1036</v>
      </c>
      <c r="L34" s="11" t="s">
        <v>1032</v>
      </c>
      <c r="M34" s="11" t="s">
        <v>69</v>
      </c>
      <c r="N34" s="11" t="s">
        <v>69</v>
      </c>
      <c r="O34" s="11" t="s">
        <v>69</v>
      </c>
      <c r="P34" s="11" t="s">
        <v>69</v>
      </c>
      <c r="Q34" s="11" t="s">
        <v>69</v>
      </c>
      <c r="R34" s="11" t="s">
        <v>69</v>
      </c>
      <c r="S34" s="11" t="s">
        <v>69</v>
      </c>
      <c r="T34" s="11" t="s">
        <v>69</v>
      </c>
      <c r="U34" s="11" t="s">
        <v>69</v>
      </c>
      <c r="V34" s="12" t="s">
        <v>69</v>
      </c>
    </row>
    <row r="35" ht="15.5" customHeight="1" spans="1:22">
      <c r="A35" s="16"/>
      <c r="B35" s="17" t="s">
        <v>1046</v>
      </c>
      <c r="C35" s="6" t="s">
        <v>69</v>
      </c>
      <c r="D35" s="6" t="s">
        <v>69</v>
      </c>
      <c r="E35" s="6" t="s">
        <v>69</v>
      </c>
      <c r="F35" s="6" t="s">
        <v>69</v>
      </c>
      <c r="G35" s="6" t="s">
        <v>69</v>
      </c>
      <c r="H35" s="6" t="s">
        <v>69</v>
      </c>
      <c r="I35" s="6" t="s">
        <v>69</v>
      </c>
      <c r="J35" s="6" t="s">
        <v>69</v>
      </c>
      <c r="K35" s="6" t="s">
        <v>69</v>
      </c>
      <c r="L35" s="6" t="s">
        <v>69</v>
      </c>
      <c r="M35" s="6" t="s">
        <v>69</v>
      </c>
      <c r="N35" s="6" t="s">
        <v>69</v>
      </c>
      <c r="O35" s="6" t="s">
        <v>69</v>
      </c>
      <c r="P35" s="6" t="s">
        <v>69</v>
      </c>
      <c r="Q35" s="6" t="s">
        <v>69</v>
      </c>
      <c r="R35" s="6" t="s">
        <v>69</v>
      </c>
      <c r="S35" s="6" t="s">
        <v>69</v>
      </c>
      <c r="T35" s="6" t="s">
        <v>69</v>
      </c>
      <c r="U35" s="6" t="s">
        <v>69</v>
      </c>
      <c r="V35" s="8" t="s">
        <v>69</v>
      </c>
    </row>
    <row r="36" ht="28" customHeight="1" spans="1:22">
      <c r="A36" s="16"/>
      <c r="B36" s="6" t="s">
        <v>69</v>
      </c>
      <c r="C36" s="6" t="s">
        <v>69</v>
      </c>
      <c r="D36" s="18" t="s">
        <v>1608</v>
      </c>
      <c r="E36" s="6" t="s">
        <v>69</v>
      </c>
      <c r="F36" s="11" t="s">
        <v>1032</v>
      </c>
      <c r="G36" s="11" t="s">
        <v>1036</v>
      </c>
      <c r="H36" s="11" t="s">
        <v>1036</v>
      </c>
      <c r="I36" s="11" t="s">
        <v>1036</v>
      </c>
      <c r="J36" s="11" t="s">
        <v>1036</v>
      </c>
      <c r="K36" s="11" t="s">
        <v>1036</v>
      </c>
      <c r="L36" s="11" t="s">
        <v>1036</v>
      </c>
      <c r="M36" s="11" t="s">
        <v>69</v>
      </c>
      <c r="N36" s="11" t="s">
        <v>69</v>
      </c>
      <c r="O36" s="11" t="s">
        <v>69</v>
      </c>
      <c r="P36" s="11" t="s">
        <v>69</v>
      </c>
      <c r="Q36" s="11" t="s">
        <v>69</v>
      </c>
      <c r="R36" s="11" t="s">
        <v>69</v>
      </c>
      <c r="S36" s="11" t="s">
        <v>69</v>
      </c>
      <c r="T36" s="11" t="s">
        <v>69</v>
      </c>
      <c r="U36" s="11" t="s">
        <v>69</v>
      </c>
      <c r="V36" s="12" t="s">
        <v>69</v>
      </c>
    </row>
    <row r="37" ht="18" customHeight="1" spans="1:22">
      <c r="A37" s="19" t="s">
        <v>1048</v>
      </c>
      <c r="B37" s="20" t="s">
        <v>1049</v>
      </c>
      <c r="C37" s="20"/>
      <c r="D37" s="20"/>
      <c r="E37" s="6" t="s">
        <v>69</v>
      </c>
      <c r="F37" s="11" t="s">
        <v>1008</v>
      </c>
      <c r="G37" s="11" t="s">
        <v>63</v>
      </c>
      <c r="H37" s="11" t="s">
        <v>63</v>
      </c>
      <c r="I37" s="11" t="s">
        <v>63</v>
      </c>
      <c r="J37" s="11" t="s">
        <v>63</v>
      </c>
      <c r="K37" s="11" t="s">
        <v>63</v>
      </c>
      <c r="L37" s="11" t="s">
        <v>63</v>
      </c>
      <c r="M37" s="11" t="s">
        <v>69</v>
      </c>
      <c r="N37" s="11" t="s">
        <v>69</v>
      </c>
      <c r="O37" s="11" t="s">
        <v>69</v>
      </c>
      <c r="P37" s="11" t="s">
        <v>69</v>
      </c>
      <c r="Q37" s="11" t="s">
        <v>69</v>
      </c>
      <c r="R37" s="11" t="s">
        <v>69</v>
      </c>
      <c r="S37" s="11" t="s">
        <v>69</v>
      </c>
      <c r="T37" s="11" t="s">
        <v>69</v>
      </c>
      <c r="U37" s="11" t="s">
        <v>69</v>
      </c>
      <c r="V37" s="12" t="s">
        <v>69</v>
      </c>
    </row>
    <row r="38" ht="18" customHeight="1" spans="1:22">
      <c r="A38" s="19"/>
      <c r="B38" s="20" t="s">
        <v>1050</v>
      </c>
      <c r="C38" s="20"/>
      <c r="D38" s="20"/>
      <c r="E38" s="6" t="s">
        <v>69</v>
      </c>
      <c r="F38" s="11" t="s">
        <v>1051</v>
      </c>
      <c r="G38" s="11" t="s">
        <v>1051</v>
      </c>
      <c r="H38" s="11" t="s">
        <v>1051</v>
      </c>
      <c r="I38" s="11" t="s">
        <v>1051</v>
      </c>
      <c r="J38" s="11" t="s">
        <v>1051</v>
      </c>
      <c r="K38" s="11" t="s">
        <v>1051</v>
      </c>
      <c r="L38" s="11" t="s">
        <v>1051</v>
      </c>
      <c r="M38" s="11" t="s">
        <v>69</v>
      </c>
      <c r="N38" s="11" t="s">
        <v>69</v>
      </c>
      <c r="O38" s="11" t="s">
        <v>69</v>
      </c>
      <c r="P38" s="11" t="s">
        <v>69</v>
      </c>
      <c r="Q38" s="11" t="s">
        <v>69</v>
      </c>
      <c r="R38" s="11" t="s">
        <v>69</v>
      </c>
      <c r="S38" s="11" t="s">
        <v>69</v>
      </c>
      <c r="T38" s="11" t="s">
        <v>69</v>
      </c>
      <c r="U38" s="11" t="s">
        <v>69</v>
      </c>
      <c r="V38" s="12" t="s">
        <v>69</v>
      </c>
    </row>
    <row r="39" ht="18" customHeight="1" spans="1:22">
      <c r="A39" s="19"/>
      <c r="B39" s="20" t="s">
        <v>1052</v>
      </c>
      <c r="C39" s="20"/>
      <c r="D39" s="20"/>
      <c r="E39" s="6" t="s">
        <v>69</v>
      </c>
      <c r="F39" s="6" t="s">
        <v>69</v>
      </c>
      <c r="G39" s="6" t="s">
        <v>69</v>
      </c>
      <c r="H39" s="6" t="s">
        <v>69</v>
      </c>
      <c r="I39" s="6" t="s">
        <v>69</v>
      </c>
      <c r="J39" s="6" t="s">
        <v>69</v>
      </c>
      <c r="K39" s="6" t="s">
        <v>69</v>
      </c>
      <c r="L39" s="6" t="s">
        <v>69</v>
      </c>
      <c r="M39" s="6" t="s">
        <v>69</v>
      </c>
      <c r="N39" s="6" t="s">
        <v>69</v>
      </c>
      <c r="O39" s="6" t="s">
        <v>69</v>
      </c>
      <c r="P39" s="6" t="s">
        <v>69</v>
      </c>
      <c r="Q39" s="6" t="s">
        <v>69</v>
      </c>
      <c r="R39" s="6" t="s">
        <v>69</v>
      </c>
      <c r="S39" s="6" t="s">
        <v>69</v>
      </c>
      <c r="T39" s="6" t="s">
        <v>69</v>
      </c>
      <c r="U39" s="6" t="s">
        <v>69</v>
      </c>
      <c r="V39" s="8" t="s">
        <v>69</v>
      </c>
    </row>
    <row r="40" ht="18" customHeight="1" spans="1:22">
      <c r="A40" s="19"/>
      <c r="B40" s="21" t="s">
        <v>1053</v>
      </c>
      <c r="C40" s="21"/>
      <c r="D40" s="21"/>
      <c r="E40" s="22" t="s">
        <v>69</v>
      </c>
      <c r="F40" s="22" t="s">
        <v>69</v>
      </c>
      <c r="G40" s="22" t="s">
        <v>69</v>
      </c>
      <c r="H40" s="22" t="s">
        <v>69</v>
      </c>
      <c r="I40" s="22" t="s">
        <v>69</v>
      </c>
      <c r="J40" s="22" t="s">
        <v>69</v>
      </c>
      <c r="K40" s="22" t="s">
        <v>69</v>
      </c>
      <c r="L40" s="22" t="s">
        <v>69</v>
      </c>
      <c r="M40" s="22" t="s">
        <v>69</v>
      </c>
      <c r="N40" s="22" t="s">
        <v>69</v>
      </c>
      <c r="O40" s="22" t="s">
        <v>69</v>
      </c>
      <c r="P40" s="22" t="s">
        <v>69</v>
      </c>
      <c r="Q40" s="22" t="s">
        <v>69</v>
      </c>
      <c r="R40" s="22" t="s">
        <v>69</v>
      </c>
      <c r="S40" s="22" t="s">
        <v>69</v>
      </c>
      <c r="T40" s="22" t="s">
        <v>69</v>
      </c>
      <c r="U40" s="22" t="s">
        <v>69</v>
      </c>
      <c r="V4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37:D37"/>
    <mergeCell ref="B38:D38"/>
    <mergeCell ref="B39:D39"/>
    <mergeCell ref="B40:D40"/>
    <mergeCell ref="A7:A24"/>
    <mergeCell ref="A25:A36"/>
    <mergeCell ref="A37:A40"/>
  </mergeCells>
  <dataValidations count="3">
    <dataValidation type="list" allowBlank="1" sqref="F8:V8 F36:V36 F10:V11 F16:V17 F26:V27 F13:V14 F19:V20 F22:V24 F29:V34">
      <formula1>"O,-"</formula1>
    </dataValidation>
    <dataValidation type="list" allowBlank="1" sqref="F37:V37">
      <formula1>"N,A,B"</formula1>
    </dataValidation>
    <dataValidation type="list" allowBlank="1" sqref="F38:V38">
      <formula1>"P,F"</formula1>
    </dataValidation>
  </dataValidations>
  <pageMargins left="0.7" right="0.7" top="0.75" bottom="0.75" header="0.3" footer="0.3"/>
  <pageSetup paperSize="1" orientation="portrait" useFirstPageNumber="1"/>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387</v>
      </c>
      <c r="C1" s="2"/>
      <c r="D1" s="2"/>
      <c r="E1" s="2"/>
      <c r="F1" s="3" t="s">
        <v>1019</v>
      </c>
      <c r="G1" s="3"/>
      <c r="H1" s="3"/>
      <c r="I1" s="3"/>
      <c r="J1" s="3"/>
      <c r="K1" s="3"/>
      <c r="L1" s="4" t="s">
        <v>392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1609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2</v>
      </c>
      <c r="M5" s="11">
        <v>5</v>
      </c>
      <c r="N5" s="11">
        <v>0</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391</v>
      </c>
      <c r="E8" s="6" t="s">
        <v>69</v>
      </c>
      <c r="F8" s="11" t="s">
        <v>1032</v>
      </c>
      <c r="G8" s="11" t="s">
        <v>1032</v>
      </c>
      <c r="H8" s="11" t="s">
        <v>1032</v>
      </c>
      <c r="I8" s="11" t="s">
        <v>1032</v>
      </c>
      <c r="J8" s="11" t="s">
        <v>1032</v>
      </c>
      <c r="K8" s="11" t="s">
        <v>1032</v>
      </c>
      <c r="L8" s="11" t="s">
        <v>1032</v>
      </c>
      <c r="M8" s="11" t="s">
        <v>69</v>
      </c>
      <c r="N8" s="11" t="s">
        <v>69</v>
      </c>
      <c r="O8" s="11" t="s">
        <v>69</v>
      </c>
      <c r="P8" s="11" t="s">
        <v>69</v>
      </c>
      <c r="Q8" s="11" t="s">
        <v>69</v>
      </c>
      <c r="R8" s="11" t="s">
        <v>69</v>
      </c>
      <c r="S8" s="11" t="s">
        <v>69</v>
      </c>
      <c r="T8" s="11" t="s">
        <v>69</v>
      </c>
      <c r="U8" s="11" t="s">
        <v>69</v>
      </c>
      <c r="V8" s="12" t="s">
        <v>69</v>
      </c>
    </row>
    <row r="9" ht="15.5" customHeight="1" spans="1:22">
      <c r="A9" s="16"/>
      <c r="B9" s="17" t="s">
        <v>1420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28" customHeight="1" spans="1:22">
      <c r="A10" s="16"/>
      <c r="B10" s="6" t="s">
        <v>69</v>
      </c>
      <c r="C10" s="6" t="s">
        <v>69</v>
      </c>
      <c r="D10" s="18" t="s">
        <v>1610</v>
      </c>
      <c r="E10" s="6" t="s">
        <v>69</v>
      </c>
      <c r="F10" s="11" t="s">
        <v>1032</v>
      </c>
      <c r="G10" s="11" t="s">
        <v>1036</v>
      </c>
      <c r="H10" s="11" t="s">
        <v>1036</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1611</v>
      </c>
      <c r="E11" s="6" t="s">
        <v>69</v>
      </c>
      <c r="F11" s="11" t="s">
        <v>1036</v>
      </c>
      <c r="G11" s="11" t="s">
        <v>1032</v>
      </c>
      <c r="H11" s="11" t="s">
        <v>1036</v>
      </c>
      <c r="I11" s="11" t="s">
        <v>1036</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1612</v>
      </c>
      <c r="E12" s="6" t="s">
        <v>69</v>
      </c>
      <c r="F12" s="11" t="s">
        <v>1036</v>
      </c>
      <c r="G12" s="11" t="s">
        <v>1036</v>
      </c>
      <c r="H12" s="11" t="s">
        <v>1032</v>
      </c>
      <c r="I12" s="11" t="s">
        <v>1036</v>
      </c>
      <c r="J12" s="11" t="s">
        <v>1036</v>
      </c>
      <c r="K12" s="11" t="s">
        <v>1036</v>
      </c>
      <c r="L12" s="11" t="s">
        <v>1036</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1613</v>
      </c>
      <c r="E13" s="6" t="s">
        <v>69</v>
      </c>
      <c r="F13" s="11" t="s">
        <v>1036</v>
      </c>
      <c r="G13" s="11" t="s">
        <v>1036</v>
      </c>
      <c r="H13" s="11" t="s">
        <v>1036</v>
      </c>
      <c r="I13" s="11" t="s">
        <v>1032</v>
      </c>
      <c r="J13" s="11" t="s">
        <v>1036</v>
      </c>
      <c r="K13" s="11" t="s">
        <v>1036</v>
      </c>
      <c r="L13" s="11" t="s">
        <v>1036</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1614</v>
      </c>
      <c r="E14" s="6" t="s">
        <v>69</v>
      </c>
      <c r="F14" s="11" t="s">
        <v>1036</v>
      </c>
      <c r="G14" s="11" t="s">
        <v>1036</v>
      </c>
      <c r="H14" s="11" t="s">
        <v>1036</v>
      </c>
      <c r="I14" s="11" t="s">
        <v>1036</v>
      </c>
      <c r="J14" s="11" t="s">
        <v>1032</v>
      </c>
      <c r="K14" s="11" t="s">
        <v>1036</v>
      </c>
      <c r="L14" s="11" t="s">
        <v>1036</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1615</v>
      </c>
      <c r="E15" s="6" t="s">
        <v>69</v>
      </c>
      <c r="F15" s="11" t="s">
        <v>1036</v>
      </c>
      <c r="G15" s="11" t="s">
        <v>1036</v>
      </c>
      <c r="H15" s="11" t="s">
        <v>1036</v>
      </c>
      <c r="I15" s="11" t="s">
        <v>1036</v>
      </c>
      <c r="J15" s="11" t="s">
        <v>1036</v>
      </c>
      <c r="K15" s="11" t="s">
        <v>1032</v>
      </c>
      <c r="L15" s="11" t="s">
        <v>1036</v>
      </c>
      <c r="M15" s="11" t="s">
        <v>69</v>
      </c>
      <c r="N15" s="11" t="s">
        <v>69</v>
      </c>
      <c r="O15" s="11" t="s">
        <v>69</v>
      </c>
      <c r="P15" s="11" t="s">
        <v>69</v>
      </c>
      <c r="Q15" s="11" t="s">
        <v>69</v>
      </c>
      <c r="R15" s="11" t="s">
        <v>69</v>
      </c>
      <c r="S15" s="11" t="s">
        <v>69</v>
      </c>
      <c r="T15" s="11" t="s">
        <v>69</v>
      </c>
      <c r="U15" s="11" t="s">
        <v>69</v>
      </c>
      <c r="V15" s="12" t="s">
        <v>69</v>
      </c>
    </row>
    <row r="16" ht="28" customHeight="1" spans="1:22">
      <c r="A16" s="16"/>
      <c r="B16" s="6" t="s">
        <v>69</v>
      </c>
      <c r="C16" s="6" t="s">
        <v>69</v>
      </c>
      <c r="D16" s="18" t="s">
        <v>1616</v>
      </c>
      <c r="E16" s="6" t="s">
        <v>69</v>
      </c>
      <c r="F16" s="11" t="s">
        <v>1036</v>
      </c>
      <c r="G16" s="11" t="s">
        <v>1036</v>
      </c>
      <c r="H16" s="11" t="s">
        <v>1036</v>
      </c>
      <c r="I16" s="11" t="s">
        <v>1036</v>
      </c>
      <c r="J16" s="11" t="s">
        <v>1036</v>
      </c>
      <c r="K16" s="11" t="s">
        <v>1036</v>
      </c>
      <c r="L16" s="11" t="s">
        <v>1032</v>
      </c>
      <c r="M16" s="11" t="s">
        <v>69</v>
      </c>
      <c r="N16" s="11" t="s">
        <v>69</v>
      </c>
      <c r="O16" s="11" t="s">
        <v>69</v>
      </c>
      <c r="P16" s="11" t="s">
        <v>69</v>
      </c>
      <c r="Q16" s="11" t="s">
        <v>69</v>
      </c>
      <c r="R16" s="11" t="s">
        <v>69</v>
      </c>
      <c r="S16" s="11" t="s">
        <v>69</v>
      </c>
      <c r="T16" s="11" t="s">
        <v>69</v>
      </c>
      <c r="U16" s="11" t="s">
        <v>69</v>
      </c>
      <c r="V16" s="12" t="s">
        <v>69</v>
      </c>
    </row>
    <row r="17" ht="15.5"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28" customHeight="1" spans="1:22">
      <c r="A18" s="16"/>
      <c r="B18" s="6" t="s">
        <v>69</v>
      </c>
      <c r="C18" s="6" t="s">
        <v>69</v>
      </c>
      <c r="D18" s="18" t="s">
        <v>1617</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28" customHeight="1" spans="1:22">
      <c r="A19" s="16"/>
      <c r="B19" s="6" t="s">
        <v>69</v>
      </c>
      <c r="C19" s="6" t="s">
        <v>69</v>
      </c>
      <c r="D19" s="18" t="s">
        <v>1618</v>
      </c>
      <c r="E19" s="6" t="s">
        <v>69</v>
      </c>
      <c r="F19" s="11" t="s">
        <v>1036</v>
      </c>
      <c r="G19" s="11" t="s">
        <v>1036</v>
      </c>
      <c r="H19" s="11" t="s">
        <v>1036</v>
      </c>
      <c r="I19" s="11" t="s">
        <v>1036</v>
      </c>
      <c r="J19" s="11" t="s">
        <v>1036</v>
      </c>
      <c r="K19" s="11" t="s">
        <v>1036</v>
      </c>
      <c r="L19" s="11" t="s">
        <v>1032</v>
      </c>
      <c r="M19" s="11" t="s">
        <v>69</v>
      </c>
      <c r="N19" s="11" t="s">
        <v>69</v>
      </c>
      <c r="O19" s="11" t="s">
        <v>69</v>
      </c>
      <c r="P19" s="11" t="s">
        <v>69</v>
      </c>
      <c r="Q19" s="11" t="s">
        <v>69</v>
      </c>
      <c r="R19" s="11" t="s">
        <v>69</v>
      </c>
      <c r="S19" s="11" t="s">
        <v>69</v>
      </c>
      <c r="T19" s="11" t="s">
        <v>69</v>
      </c>
      <c r="U19" s="11" t="s">
        <v>69</v>
      </c>
      <c r="V19" s="12" t="s">
        <v>69</v>
      </c>
    </row>
    <row r="20" ht="28" customHeight="1" spans="1:22">
      <c r="A20" s="16"/>
      <c r="B20" s="6" t="s">
        <v>69</v>
      </c>
      <c r="C20" s="6" t="s">
        <v>69</v>
      </c>
      <c r="D20" s="18" t="s">
        <v>1619</v>
      </c>
      <c r="E20" s="6" t="s">
        <v>69</v>
      </c>
      <c r="F20" s="11" t="s">
        <v>1032</v>
      </c>
      <c r="G20" s="11" t="s">
        <v>1032</v>
      </c>
      <c r="H20" s="11" t="s">
        <v>1036</v>
      </c>
      <c r="I20" s="11" t="s">
        <v>1032</v>
      </c>
      <c r="J20" s="11" t="s">
        <v>1032</v>
      </c>
      <c r="K20" s="11" t="s">
        <v>1032</v>
      </c>
      <c r="L20" s="11" t="s">
        <v>1036</v>
      </c>
      <c r="M20" s="11" t="s">
        <v>69</v>
      </c>
      <c r="N20" s="11" t="s">
        <v>69</v>
      </c>
      <c r="O20" s="11" t="s">
        <v>69</v>
      </c>
      <c r="P20" s="11" t="s">
        <v>69</v>
      </c>
      <c r="Q20" s="11" t="s">
        <v>69</v>
      </c>
      <c r="R20" s="11" t="s">
        <v>69</v>
      </c>
      <c r="S20" s="11" t="s">
        <v>69</v>
      </c>
      <c r="T20" s="11" t="s">
        <v>69</v>
      </c>
      <c r="U20" s="11" t="s">
        <v>69</v>
      </c>
      <c r="V20" s="12" t="s">
        <v>69</v>
      </c>
    </row>
    <row r="21" ht="15.5" customHeight="1" spans="1:22">
      <c r="A21" s="16"/>
      <c r="B21" s="17" t="s">
        <v>1064</v>
      </c>
      <c r="C21" s="6" t="s">
        <v>69</v>
      </c>
      <c r="D21" s="6" t="s">
        <v>69</v>
      </c>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28" customHeight="1" spans="1:22">
      <c r="A22" s="16"/>
      <c r="B22" s="6" t="s">
        <v>69</v>
      </c>
      <c r="C22" s="6" t="s">
        <v>69</v>
      </c>
      <c r="D22" s="18" t="s">
        <v>1620</v>
      </c>
      <c r="E22" s="6" t="s">
        <v>69</v>
      </c>
      <c r="F22" s="11" t="s">
        <v>1032</v>
      </c>
      <c r="G22" s="11" t="s">
        <v>1036</v>
      </c>
      <c r="H22" s="11" t="s">
        <v>1036</v>
      </c>
      <c r="I22" s="11" t="s">
        <v>1036</v>
      </c>
      <c r="J22" s="11" t="s">
        <v>1036</v>
      </c>
      <c r="K22" s="11" t="s">
        <v>1036</v>
      </c>
      <c r="L22" s="11" t="s">
        <v>1036</v>
      </c>
      <c r="M22" s="11" t="s">
        <v>69</v>
      </c>
      <c r="N22" s="11" t="s">
        <v>69</v>
      </c>
      <c r="O22" s="11" t="s">
        <v>69</v>
      </c>
      <c r="P22" s="11" t="s">
        <v>69</v>
      </c>
      <c r="Q22" s="11" t="s">
        <v>69</v>
      </c>
      <c r="R22" s="11" t="s">
        <v>69</v>
      </c>
      <c r="S22" s="11" t="s">
        <v>69</v>
      </c>
      <c r="T22" s="11" t="s">
        <v>69</v>
      </c>
      <c r="U22" s="11" t="s">
        <v>69</v>
      </c>
      <c r="V22" s="12" t="s">
        <v>69</v>
      </c>
    </row>
    <row r="23" ht="28" customHeight="1" spans="1:22">
      <c r="A23" s="16"/>
      <c r="B23" s="6" t="s">
        <v>69</v>
      </c>
      <c r="C23" s="6" t="s">
        <v>69</v>
      </c>
      <c r="D23" s="18" t="s">
        <v>1605</v>
      </c>
      <c r="E23" s="6" t="s">
        <v>69</v>
      </c>
      <c r="F23" s="11" t="s">
        <v>1036</v>
      </c>
      <c r="G23" s="11" t="s">
        <v>1032</v>
      </c>
      <c r="H23" s="11" t="s">
        <v>1036</v>
      </c>
      <c r="I23" s="11" t="s">
        <v>1036</v>
      </c>
      <c r="J23" s="11" t="s">
        <v>1036</v>
      </c>
      <c r="K23" s="11" t="s">
        <v>1036</v>
      </c>
      <c r="L23" s="11" t="s">
        <v>1036</v>
      </c>
      <c r="M23" s="11" t="s">
        <v>69</v>
      </c>
      <c r="N23" s="11" t="s">
        <v>69</v>
      </c>
      <c r="O23" s="11" t="s">
        <v>69</v>
      </c>
      <c r="P23" s="11" t="s">
        <v>69</v>
      </c>
      <c r="Q23" s="11" t="s">
        <v>69</v>
      </c>
      <c r="R23" s="11" t="s">
        <v>69</v>
      </c>
      <c r="S23" s="11" t="s">
        <v>69</v>
      </c>
      <c r="T23" s="11" t="s">
        <v>69</v>
      </c>
      <c r="U23" s="11" t="s">
        <v>69</v>
      </c>
      <c r="V23" s="12" t="s">
        <v>69</v>
      </c>
    </row>
    <row r="24" ht="53" customHeight="1" spans="1:22">
      <c r="A24" s="16"/>
      <c r="B24" s="6" t="s">
        <v>69</v>
      </c>
      <c r="C24" s="6" t="s">
        <v>69</v>
      </c>
      <c r="D24" s="18" t="s">
        <v>1621</v>
      </c>
      <c r="E24" s="6" t="s">
        <v>69</v>
      </c>
      <c r="F24" s="11" t="s">
        <v>1036</v>
      </c>
      <c r="G24" s="11" t="s">
        <v>1036</v>
      </c>
      <c r="H24" s="11" t="s">
        <v>1036</v>
      </c>
      <c r="I24" s="11" t="s">
        <v>1032</v>
      </c>
      <c r="J24" s="11" t="s">
        <v>1036</v>
      </c>
      <c r="K24" s="11" t="s">
        <v>1036</v>
      </c>
      <c r="L24" s="11" t="s">
        <v>1036</v>
      </c>
      <c r="M24" s="11" t="s">
        <v>69</v>
      </c>
      <c r="N24" s="11" t="s">
        <v>69</v>
      </c>
      <c r="O24" s="11" t="s">
        <v>69</v>
      </c>
      <c r="P24" s="11" t="s">
        <v>69</v>
      </c>
      <c r="Q24" s="11" t="s">
        <v>69</v>
      </c>
      <c r="R24" s="11" t="s">
        <v>69</v>
      </c>
      <c r="S24" s="11" t="s">
        <v>69</v>
      </c>
      <c r="T24" s="11" t="s">
        <v>69</v>
      </c>
      <c r="U24" s="11" t="s">
        <v>69</v>
      </c>
      <c r="V24" s="12" t="s">
        <v>69</v>
      </c>
    </row>
    <row r="25" ht="65.5" customHeight="1" spans="1:22">
      <c r="A25" s="16"/>
      <c r="B25" s="6" t="s">
        <v>69</v>
      </c>
      <c r="C25" s="6" t="s">
        <v>69</v>
      </c>
      <c r="D25" s="18" t="s">
        <v>1622</v>
      </c>
      <c r="E25" s="6" t="s">
        <v>69</v>
      </c>
      <c r="F25" s="11" t="s">
        <v>1036</v>
      </c>
      <c r="G25" s="11" t="s">
        <v>1036</v>
      </c>
      <c r="H25" s="11" t="s">
        <v>1036</v>
      </c>
      <c r="I25" s="11" t="s">
        <v>1036</v>
      </c>
      <c r="J25" s="11" t="s">
        <v>1032</v>
      </c>
      <c r="K25" s="11" t="s">
        <v>1036</v>
      </c>
      <c r="L25" s="11" t="s">
        <v>1036</v>
      </c>
      <c r="M25" s="11" t="s">
        <v>69</v>
      </c>
      <c r="N25" s="11" t="s">
        <v>69</v>
      </c>
      <c r="O25" s="11" t="s">
        <v>69</v>
      </c>
      <c r="P25" s="11" t="s">
        <v>69</v>
      </c>
      <c r="Q25" s="11" t="s">
        <v>69</v>
      </c>
      <c r="R25" s="11" t="s">
        <v>69</v>
      </c>
      <c r="S25" s="11" t="s">
        <v>69</v>
      </c>
      <c r="T25" s="11" t="s">
        <v>69</v>
      </c>
      <c r="U25" s="11" t="s">
        <v>69</v>
      </c>
      <c r="V25" s="12" t="s">
        <v>69</v>
      </c>
    </row>
    <row r="26" ht="65.5" customHeight="1" spans="1:22">
      <c r="A26" s="16"/>
      <c r="B26" s="6" t="s">
        <v>69</v>
      </c>
      <c r="C26" s="6" t="s">
        <v>69</v>
      </c>
      <c r="D26" s="18" t="s">
        <v>1623</v>
      </c>
      <c r="E26" s="6" t="s">
        <v>69</v>
      </c>
      <c r="F26" s="11" t="s">
        <v>1036</v>
      </c>
      <c r="G26" s="11" t="s">
        <v>1036</v>
      </c>
      <c r="H26" s="11" t="s">
        <v>1036</v>
      </c>
      <c r="I26" s="11" t="s">
        <v>1036</v>
      </c>
      <c r="J26" s="11" t="s">
        <v>1036</v>
      </c>
      <c r="K26" s="11" t="s">
        <v>1032</v>
      </c>
      <c r="L26" s="11" t="s">
        <v>1036</v>
      </c>
      <c r="M26" s="11" t="s">
        <v>69</v>
      </c>
      <c r="N26" s="11" t="s">
        <v>69</v>
      </c>
      <c r="O26" s="11" t="s">
        <v>69</v>
      </c>
      <c r="P26" s="11" t="s">
        <v>69</v>
      </c>
      <c r="Q26" s="11" t="s">
        <v>69</v>
      </c>
      <c r="R26" s="11" t="s">
        <v>69</v>
      </c>
      <c r="S26" s="11" t="s">
        <v>69</v>
      </c>
      <c r="T26" s="11" t="s">
        <v>69</v>
      </c>
      <c r="U26" s="11" t="s">
        <v>69</v>
      </c>
      <c r="V26" s="12" t="s">
        <v>69</v>
      </c>
    </row>
    <row r="27" ht="18" customHeight="1" spans="1:22">
      <c r="A27" s="19" t="s">
        <v>1048</v>
      </c>
      <c r="B27" s="20" t="s">
        <v>1049</v>
      </c>
      <c r="C27" s="20"/>
      <c r="D27" s="20"/>
      <c r="E27" s="6" t="s">
        <v>69</v>
      </c>
      <c r="F27" s="11" t="s">
        <v>63</v>
      </c>
      <c r="G27" s="11" t="s">
        <v>63</v>
      </c>
      <c r="H27" s="11" t="s">
        <v>1008</v>
      </c>
      <c r="I27" s="11" t="s">
        <v>63</v>
      </c>
      <c r="J27" s="11" t="s">
        <v>63</v>
      </c>
      <c r="K27" s="11" t="s">
        <v>63</v>
      </c>
      <c r="L27" s="11" t="s">
        <v>1008</v>
      </c>
      <c r="M27" s="11" t="s">
        <v>69</v>
      </c>
      <c r="N27" s="11" t="s">
        <v>69</v>
      </c>
      <c r="O27" s="11" t="s">
        <v>69</v>
      </c>
      <c r="P27" s="11" t="s">
        <v>69</v>
      </c>
      <c r="Q27" s="11" t="s">
        <v>69</v>
      </c>
      <c r="R27" s="11" t="s">
        <v>69</v>
      </c>
      <c r="S27" s="11" t="s">
        <v>69</v>
      </c>
      <c r="T27" s="11" t="s">
        <v>69</v>
      </c>
      <c r="U27" s="11" t="s">
        <v>69</v>
      </c>
      <c r="V27" s="12" t="s">
        <v>69</v>
      </c>
    </row>
    <row r="28" ht="18" customHeight="1" spans="1:22">
      <c r="A28" s="19"/>
      <c r="B28" s="20" t="s">
        <v>1050</v>
      </c>
      <c r="C28" s="20"/>
      <c r="D28" s="20"/>
      <c r="E28" s="6" t="s">
        <v>69</v>
      </c>
      <c r="F28" s="11" t="s">
        <v>1051</v>
      </c>
      <c r="G28" s="11" t="s">
        <v>1051</v>
      </c>
      <c r="H28" s="11" t="s">
        <v>1051</v>
      </c>
      <c r="I28" s="11" t="s">
        <v>1051</v>
      </c>
      <c r="J28" s="11" t="s">
        <v>1051</v>
      </c>
      <c r="K28" s="11" t="s">
        <v>1051</v>
      </c>
      <c r="L28" s="11" t="s">
        <v>1051</v>
      </c>
      <c r="M28" s="11" t="s">
        <v>69</v>
      </c>
      <c r="N28" s="11" t="s">
        <v>69</v>
      </c>
      <c r="O28" s="11" t="s">
        <v>69</v>
      </c>
      <c r="P28" s="11" t="s">
        <v>69</v>
      </c>
      <c r="Q28" s="11" t="s">
        <v>69</v>
      </c>
      <c r="R28" s="11" t="s">
        <v>69</v>
      </c>
      <c r="S28" s="11" t="s">
        <v>69</v>
      </c>
      <c r="T28" s="11" t="s">
        <v>69</v>
      </c>
      <c r="U28" s="11" t="s">
        <v>69</v>
      </c>
      <c r="V28" s="12" t="s">
        <v>69</v>
      </c>
    </row>
    <row r="29" ht="18" customHeight="1" spans="1:22">
      <c r="A29" s="19"/>
      <c r="B29" s="20" t="s">
        <v>1052</v>
      </c>
      <c r="C29" s="20"/>
      <c r="D29" s="20"/>
      <c r="E29" s="6" t="s">
        <v>69</v>
      </c>
      <c r="F29" s="6" t="s">
        <v>69</v>
      </c>
      <c r="G29" s="6" t="s">
        <v>69</v>
      </c>
      <c r="H29" s="6" t="s">
        <v>69</v>
      </c>
      <c r="I29" s="6" t="s">
        <v>69</v>
      </c>
      <c r="J29" s="6" t="s">
        <v>69</v>
      </c>
      <c r="K29" s="6" t="s">
        <v>69</v>
      </c>
      <c r="L29" s="6" t="s">
        <v>69</v>
      </c>
      <c r="M29" s="6" t="s">
        <v>69</v>
      </c>
      <c r="N29" s="6" t="s">
        <v>69</v>
      </c>
      <c r="O29" s="6" t="s">
        <v>69</v>
      </c>
      <c r="P29" s="6" t="s">
        <v>69</v>
      </c>
      <c r="Q29" s="6" t="s">
        <v>69</v>
      </c>
      <c r="R29" s="6" t="s">
        <v>69</v>
      </c>
      <c r="S29" s="6" t="s">
        <v>69</v>
      </c>
      <c r="T29" s="6" t="s">
        <v>69</v>
      </c>
      <c r="U29" s="6" t="s">
        <v>69</v>
      </c>
      <c r="V29" s="8" t="s">
        <v>69</v>
      </c>
    </row>
    <row r="30" ht="18" customHeight="1" spans="1:22">
      <c r="A30" s="19"/>
      <c r="B30" s="21" t="s">
        <v>1053</v>
      </c>
      <c r="C30" s="21"/>
      <c r="D30" s="21"/>
      <c r="E30" s="22" t="s">
        <v>69</v>
      </c>
      <c r="F30" s="22" t="s">
        <v>69</v>
      </c>
      <c r="G30" s="22" t="s">
        <v>69</v>
      </c>
      <c r="H30" s="22" t="s">
        <v>69</v>
      </c>
      <c r="I30" s="22" t="s">
        <v>69</v>
      </c>
      <c r="J30" s="22" t="s">
        <v>69</v>
      </c>
      <c r="K30" s="22" t="s">
        <v>69</v>
      </c>
      <c r="L30" s="22" t="s">
        <v>69</v>
      </c>
      <c r="M30" s="22" t="s">
        <v>69</v>
      </c>
      <c r="N30" s="22" t="s">
        <v>69</v>
      </c>
      <c r="O30" s="22" t="s">
        <v>69</v>
      </c>
      <c r="P30" s="22" t="s">
        <v>69</v>
      </c>
      <c r="Q30" s="22" t="s">
        <v>69</v>
      </c>
      <c r="R30" s="22" t="s">
        <v>69</v>
      </c>
      <c r="S30" s="22" t="s">
        <v>69</v>
      </c>
      <c r="T30" s="22" t="s">
        <v>69</v>
      </c>
      <c r="U30" s="22" t="s">
        <v>69</v>
      </c>
      <c r="V3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7:D27"/>
    <mergeCell ref="B28:D28"/>
    <mergeCell ref="B29:D29"/>
    <mergeCell ref="B30:D30"/>
    <mergeCell ref="A7:A16"/>
    <mergeCell ref="A17:A26"/>
    <mergeCell ref="A27:A30"/>
  </mergeCells>
  <dataValidations count="3">
    <dataValidation type="list" allowBlank="1" sqref="F8:V8 F10:V16 F18:V20 F22:V26">
      <formula1>"O,-"</formula1>
    </dataValidation>
    <dataValidation type="list" allowBlank="1" sqref="F27:V27">
      <formula1>"N,A,B"</formula1>
    </dataValidation>
    <dataValidation type="list" allowBlank="1" sqref="F28:V28">
      <formula1>"P,F"</formula1>
    </dataValidation>
  </dataValidations>
  <pageMargins left="0.7" right="0.7" top="0.75" bottom="0.75" header="0.3" footer="0.3"/>
  <pageSetup paperSize="1" orientation="portrait" useFirstPageNumber="1"/>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387</v>
      </c>
      <c r="C1" s="2"/>
      <c r="D1" s="2"/>
      <c r="E1" s="2"/>
      <c r="F1" s="3" t="s">
        <v>1019</v>
      </c>
      <c r="G1" s="3"/>
      <c r="H1" s="3"/>
      <c r="I1" s="3"/>
      <c r="J1" s="3"/>
      <c r="K1" s="3"/>
      <c r="L1" s="4" t="s">
        <v>395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1624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1</v>
      </c>
      <c r="M5" s="11">
        <v>6</v>
      </c>
      <c r="N5" s="11">
        <v>0</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391</v>
      </c>
      <c r="E8" s="6" t="s">
        <v>69</v>
      </c>
      <c r="F8" s="11" t="s">
        <v>1032</v>
      </c>
      <c r="G8" s="11" t="s">
        <v>1032</v>
      </c>
      <c r="H8" s="11" t="s">
        <v>1032</v>
      </c>
      <c r="I8" s="11" t="s">
        <v>1032</v>
      </c>
      <c r="J8" s="11" t="s">
        <v>1032</v>
      </c>
      <c r="K8" s="11" t="s">
        <v>1032</v>
      </c>
      <c r="L8" s="11" t="s">
        <v>1032</v>
      </c>
      <c r="M8" s="11" t="s">
        <v>69</v>
      </c>
      <c r="N8" s="11" t="s">
        <v>69</v>
      </c>
      <c r="O8" s="11" t="s">
        <v>69</v>
      </c>
      <c r="P8" s="11" t="s">
        <v>69</v>
      </c>
      <c r="Q8" s="11" t="s">
        <v>69</v>
      </c>
      <c r="R8" s="11" t="s">
        <v>69</v>
      </c>
      <c r="S8" s="11" t="s">
        <v>69</v>
      </c>
      <c r="T8" s="11" t="s">
        <v>69</v>
      </c>
      <c r="U8" s="11" t="s">
        <v>69</v>
      </c>
      <c r="V8" s="12" t="s">
        <v>69</v>
      </c>
    </row>
    <row r="9" ht="15.5" customHeight="1" spans="1:22">
      <c r="A9" s="16"/>
      <c r="B9" s="17" t="s">
        <v>1591</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5.5" customHeight="1" spans="1:22">
      <c r="A10" s="16"/>
      <c r="B10" s="6" t="s">
        <v>69</v>
      </c>
      <c r="C10" s="6" t="s">
        <v>69</v>
      </c>
      <c r="D10" s="18" t="s">
        <v>1625</v>
      </c>
      <c r="E10" s="6" t="s">
        <v>69</v>
      </c>
      <c r="F10" s="11" t="s">
        <v>1032</v>
      </c>
      <c r="G10" s="11" t="s">
        <v>1036</v>
      </c>
      <c r="H10" s="11" t="s">
        <v>1032</v>
      </c>
      <c r="I10" s="11" t="s">
        <v>1032</v>
      </c>
      <c r="J10" s="11" t="s">
        <v>1032</v>
      </c>
      <c r="K10" s="11" t="s">
        <v>1032</v>
      </c>
      <c r="L10" s="11" t="s">
        <v>1032</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1590</v>
      </c>
      <c r="E11" s="6" t="s">
        <v>69</v>
      </c>
      <c r="F11" s="11" t="s">
        <v>1036</v>
      </c>
      <c r="G11" s="11" t="s">
        <v>1032</v>
      </c>
      <c r="H11" s="11" t="s">
        <v>1036</v>
      </c>
      <c r="I11" s="11" t="s">
        <v>1036</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15.5" customHeight="1" spans="1:22">
      <c r="A12" s="16"/>
      <c r="B12" s="17" t="s">
        <v>1626</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15.5" customHeight="1" spans="1:22">
      <c r="A13" s="16"/>
      <c r="B13" s="6" t="s">
        <v>69</v>
      </c>
      <c r="C13" s="6" t="s">
        <v>69</v>
      </c>
      <c r="D13" s="18" t="s">
        <v>1627</v>
      </c>
      <c r="E13" s="6" t="s">
        <v>69</v>
      </c>
      <c r="F13" s="11" t="s">
        <v>1032</v>
      </c>
      <c r="G13" s="11" t="s">
        <v>1032</v>
      </c>
      <c r="H13" s="11" t="s">
        <v>1036</v>
      </c>
      <c r="I13" s="11" t="s">
        <v>1032</v>
      </c>
      <c r="J13" s="11" t="s">
        <v>1032</v>
      </c>
      <c r="K13" s="11" t="s">
        <v>1032</v>
      </c>
      <c r="L13" s="11" t="s">
        <v>1032</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1628</v>
      </c>
      <c r="E14" s="6" t="s">
        <v>69</v>
      </c>
      <c r="F14" s="11" t="s">
        <v>1036</v>
      </c>
      <c r="G14" s="11" t="s">
        <v>1036</v>
      </c>
      <c r="H14" s="11" t="s">
        <v>1032</v>
      </c>
      <c r="I14" s="11" t="s">
        <v>1036</v>
      </c>
      <c r="J14" s="11" t="s">
        <v>1036</v>
      </c>
      <c r="K14" s="11" t="s">
        <v>1036</v>
      </c>
      <c r="L14" s="11" t="s">
        <v>1036</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1595</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1629</v>
      </c>
      <c r="E16" s="6" t="s">
        <v>69</v>
      </c>
      <c r="F16" s="11" t="s">
        <v>1032</v>
      </c>
      <c r="G16" s="11" t="s">
        <v>1032</v>
      </c>
      <c r="H16" s="11" t="s">
        <v>1032</v>
      </c>
      <c r="I16" s="11" t="s">
        <v>1036</v>
      </c>
      <c r="J16" s="11" t="s">
        <v>1036</v>
      </c>
      <c r="K16" s="11" t="s">
        <v>1032</v>
      </c>
      <c r="L16" s="11" t="s">
        <v>1032</v>
      </c>
      <c r="M16" s="11" t="s">
        <v>69</v>
      </c>
      <c r="N16" s="11" t="s">
        <v>69</v>
      </c>
      <c r="O16" s="11" t="s">
        <v>69</v>
      </c>
      <c r="P16" s="11" t="s">
        <v>69</v>
      </c>
      <c r="Q16" s="11" t="s">
        <v>69</v>
      </c>
      <c r="R16" s="11" t="s">
        <v>69</v>
      </c>
      <c r="S16" s="11" t="s">
        <v>69</v>
      </c>
      <c r="T16" s="11" t="s">
        <v>69</v>
      </c>
      <c r="U16" s="11" t="s">
        <v>69</v>
      </c>
      <c r="V16" s="12" t="s">
        <v>69</v>
      </c>
    </row>
    <row r="17" ht="28" customHeight="1" spans="1:22">
      <c r="A17" s="16"/>
      <c r="B17" s="6" t="s">
        <v>69</v>
      </c>
      <c r="C17" s="6" t="s">
        <v>69</v>
      </c>
      <c r="D17" s="18" t="s">
        <v>1630</v>
      </c>
      <c r="E17" s="6" t="s">
        <v>69</v>
      </c>
      <c r="F17" s="11" t="s">
        <v>1036</v>
      </c>
      <c r="G17" s="11" t="s">
        <v>1036</v>
      </c>
      <c r="H17" s="11" t="s">
        <v>1036</v>
      </c>
      <c r="I17" s="11" t="s">
        <v>1032</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1631</v>
      </c>
      <c r="E18" s="6" t="s">
        <v>69</v>
      </c>
      <c r="F18" s="11" t="s">
        <v>1036</v>
      </c>
      <c r="G18" s="11" t="s">
        <v>1036</v>
      </c>
      <c r="H18" s="11" t="s">
        <v>1036</v>
      </c>
      <c r="I18" s="11" t="s">
        <v>1036</v>
      </c>
      <c r="J18" s="11" t="s">
        <v>1032</v>
      </c>
      <c r="K18" s="11" t="s">
        <v>1036</v>
      </c>
      <c r="L18" s="11" t="s">
        <v>1036</v>
      </c>
      <c r="M18" s="11" t="s">
        <v>69</v>
      </c>
      <c r="N18" s="11" t="s">
        <v>69</v>
      </c>
      <c r="O18" s="11" t="s">
        <v>69</v>
      </c>
      <c r="P18" s="11" t="s">
        <v>69</v>
      </c>
      <c r="Q18" s="11" t="s">
        <v>69</v>
      </c>
      <c r="R18" s="11" t="s">
        <v>69</v>
      </c>
      <c r="S18" s="11" t="s">
        <v>69</v>
      </c>
      <c r="T18" s="11" t="s">
        <v>69</v>
      </c>
      <c r="U18" s="11" t="s">
        <v>69</v>
      </c>
      <c r="V18" s="12" t="s">
        <v>69</v>
      </c>
    </row>
    <row r="19" ht="15.5" customHeight="1" spans="1:22">
      <c r="A19" s="16"/>
      <c r="B19" s="17" t="s">
        <v>1597</v>
      </c>
      <c r="C19" s="6" t="s">
        <v>69</v>
      </c>
      <c r="D19" s="6" t="s">
        <v>69</v>
      </c>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28" customHeight="1" spans="1:22">
      <c r="A20" s="16"/>
      <c r="B20" s="6" t="s">
        <v>69</v>
      </c>
      <c r="C20" s="6" t="s">
        <v>69</v>
      </c>
      <c r="D20" s="18" t="s">
        <v>1632</v>
      </c>
      <c r="E20" s="6" t="s">
        <v>69</v>
      </c>
      <c r="F20" s="11" t="s">
        <v>1032</v>
      </c>
      <c r="G20" s="11" t="s">
        <v>1032</v>
      </c>
      <c r="H20" s="11" t="s">
        <v>1032</v>
      </c>
      <c r="I20" s="11" t="s">
        <v>1032</v>
      </c>
      <c r="J20" s="11" t="s">
        <v>1032</v>
      </c>
      <c r="K20" s="11" t="s">
        <v>1036</v>
      </c>
      <c r="L20" s="11" t="s">
        <v>1032</v>
      </c>
      <c r="M20" s="11" t="s">
        <v>69</v>
      </c>
      <c r="N20" s="11" t="s">
        <v>69</v>
      </c>
      <c r="O20" s="11" t="s">
        <v>69</v>
      </c>
      <c r="P20" s="11" t="s">
        <v>69</v>
      </c>
      <c r="Q20" s="11" t="s">
        <v>69</v>
      </c>
      <c r="R20" s="11" t="s">
        <v>69</v>
      </c>
      <c r="S20" s="11" t="s">
        <v>69</v>
      </c>
      <c r="T20" s="11" t="s">
        <v>69</v>
      </c>
      <c r="U20" s="11" t="s">
        <v>69</v>
      </c>
      <c r="V20" s="12" t="s">
        <v>69</v>
      </c>
    </row>
    <row r="21" ht="15.5" customHeight="1" spans="1:22">
      <c r="A21" s="16"/>
      <c r="B21" s="6" t="s">
        <v>69</v>
      </c>
      <c r="C21" s="6" t="s">
        <v>69</v>
      </c>
      <c r="D21" s="18" t="s">
        <v>1633</v>
      </c>
      <c r="E21" s="6" t="s">
        <v>69</v>
      </c>
      <c r="F21" s="11" t="s">
        <v>1036</v>
      </c>
      <c r="G21" s="11" t="s">
        <v>1036</v>
      </c>
      <c r="H21" s="11" t="s">
        <v>1036</v>
      </c>
      <c r="I21" s="11" t="s">
        <v>1036</v>
      </c>
      <c r="J21" s="11" t="s">
        <v>1036</v>
      </c>
      <c r="K21" s="11" t="s">
        <v>1032</v>
      </c>
      <c r="L21" s="11" t="s">
        <v>1036</v>
      </c>
      <c r="M21" s="11" t="s">
        <v>69</v>
      </c>
      <c r="N21" s="11" t="s">
        <v>69</v>
      </c>
      <c r="O21" s="11" t="s">
        <v>69</v>
      </c>
      <c r="P21" s="11" t="s">
        <v>69</v>
      </c>
      <c r="Q21" s="11" t="s">
        <v>69</v>
      </c>
      <c r="R21" s="11" t="s">
        <v>69</v>
      </c>
      <c r="S21" s="11" t="s">
        <v>69</v>
      </c>
      <c r="T21" s="11" t="s">
        <v>69</v>
      </c>
      <c r="U21" s="11" t="s">
        <v>69</v>
      </c>
      <c r="V21" s="12" t="s">
        <v>69</v>
      </c>
    </row>
    <row r="22" ht="15.5" customHeight="1" spans="1:22">
      <c r="A22" s="16"/>
      <c r="B22" s="17" t="s">
        <v>1634</v>
      </c>
      <c r="C22" s="6" t="s">
        <v>69</v>
      </c>
      <c r="D22" s="6" t="s">
        <v>69</v>
      </c>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40.5" customHeight="1" spans="1:22">
      <c r="A23" s="16"/>
      <c r="B23" s="6" t="s">
        <v>69</v>
      </c>
      <c r="C23" s="6" t="s">
        <v>69</v>
      </c>
      <c r="D23" s="18" t="s">
        <v>1635</v>
      </c>
      <c r="E23" s="6" t="s">
        <v>69</v>
      </c>
      <c r="F23" s="11" t="s">
        <v>1036</v>
      </c>
      <c r="G23" s="11" t="s">
        <v>1036</v>
      </c>
      <c r="H23" s="11" t="s">
        <v>1036</v>
      </c>
      <c r="I23" s="11" t="s">
        <v>1036</v>
      </c>
      <c r="J23" s="11" t="s">
        <v>1036</v>
      </c>
      <c r="K23" s="11" t="s">
        <v>1036</v>
      </c>
      <c r="L23" s="11" t="s">
        <v>1032</v>
      </c>
      <c r="M23" s="11" t="s">
        <v>69</v>
      </c>
      <c r="N23" s="11" t="s">
        <v>69</v>
      </c>
      <c r="O23" s="11" t="s">
        <v>69</v>
      </c>
      <c r="P23" s="11" t="s">
        <v>69</v>
      </c>
      <c r="Q23" s="11" t="s">
        <v>69</v>
      </c>
      <c r="R23" s="11" t="s">
        <v>69</v>
      </c>
      <c r="S23" s="11" t="s">
        <v>69</v>
      </c>
      <c r="T23" s="11" t="s">
        <v>69</v>
      </c>
      <c r="U23" s="11" t="s">
        <v>69</v>
      </c>
      <c r="V23" s="12" t="s">
        <v>69</v>
      </c>
    </row>
    <row r="24" ht="15.5" customHeight="1" spans="1:22">
      <c r="A24" s="16" t="s">
        <v>1039</v>
      </c>
      <c r="B24" s="17" t="s">
        <v>1040</v>
      </c>
      <c r="C24" s="6" t="s">
        <v>69</v>
      </c>
      <c r="D24" s="6" t="s">
        <v>69</v>
      </c>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65.5" customHeight="1" spans="1:22">
      <c r="A25" s="16"/>
      <c r="B25" s="6" t="s">
        <v>69</v>
      </c>
      <c r="C25" s="6" t="s">
        <v>69</v>
      </c>
      <c r="D25" s="18" t="s">
        <v>1636</v>
      </c>
      <c r="E25" s="6" t="s">
        <v>69</v>
      </c>
      <c r="F25" s="11" t="s">
        <v>1032</v>
      </c>
      <c r="G25" s="11" t="s">
        <v>1036</v>
      </c>
      <c r="H25" s="11" t="s">
        <v>1036</v>
      </c>
      <c r="I25" s="11" t="s">
        <v>1036</v>
      </c>
      <c r="J25" s="11" t="s">
        <v>1036</v>
      </c>
      <c r="K25" s="11" t="s">
        <v>1036</v>
      </c>
      <c r="L25" s="11" t="s">
        <v>1036</v>
      </c>
      <c r="M25" s="11" t="s">
        <v>69</v>
      </c>
      <c r="N25" s="11" t="s">
        <v>69</v>
      </c>
      <c r="O25" s="11" t="s">
        <v>69</v>
      </c>
      <c r="P25" s="11" t="s">
        <v>69</v>
      </c>
      <c r="Q25" s="11" t="s">
        <v>69</v>
      </c>
      <c r="R25" s="11" t="s">
        <v>69</v>
      </c>
      <c r="S25" s="11" t="s">
        <v>69</v>
      </c>
      <c r="T25" s="11" t="s">
        <v>69</v>
      </c>
      <c r="U25" s="11" t="s">
        <v>69</v>
      </c>
      <c r="V25" s="12" t="s">
        <v>69</v>
      </c>
    </row>
    <row r="26" ht="40.5" customHeight="1" spans="1:22">
      <c r="A26" s="16"/>
      <c r="B26" s="6" t="s">
        <v>69</v>
      </c>
      <c r="C26" s="6" t="s">
        <v>69</v>
      </c>
      <c r="D26" s="18" t="s">
        <v>1637</v>
      </c>
      <c r="E26" s="6" t="s">
        <v>69</v>
      </c>
      <c r="F26" s="11" t="s">
        <v>1036</v>
      </c>
      <c r="G26" s="11" t="s">
        <v>1032</v>
      </c>
      <c r="H26" s="11" t="s">
        <v>1032</v>
      </c>
      <c r="I26" s="11" t="s">
        <v>1032</v>
      </c>
      <c r="J26" s="11" t="s">
        <v>1032</v>
      </c>
      <c r="K26" s="11" t="s">
        <v>1032</v>
      </c>
      <c r="L26" s="11" t="s">
        <v>1036</v>
      </c>
      <c r="M26" s="11" t="s">
        <v>69</v>
      </c>
      <c r="N26" s="11" t="s">
        <v>69</v>
      </c>
      <c r="O26" s="11" t="s">
        <v>69</v>
      </c>
      <c r="P26" s="11" t="s">
        <v>69</v>
      </c>
      <c r="Q26" s="11" t="s">
        <v>69</v>
      </c>
      <c r="R26" s="11" t="s">
        <v>69</v>
      </c>
      <c r="S26" s="11" t="s">
        <v>69</v>
      </c>
      <c r="T26" s="11" t="s">
        <v>69</v>
      </c>
      <c r="U26" s="11" t="s">
        <v>69</v>
      </c>
      <c r="V26" s="12" t="s">
        <v>69</v>
      </c>
    </row>
    <row r="27" ht="65.5" customHeight="1" spans="1:22">
      <c r="A27" s="16"/>
      <c r="B27" s="6" t="s">
        <v>69</v>
      </c>
      <c r="C27" s="6" t="s">
        <v>69</v>
      </c>
      <c r="D27" s="18" t="s">
        <v>1638</v>
      </c>
      <c r="E27" s="6" t="s">
        <v>69</v>
      </c>
      <c r="F27" s="11" t="s">
        <v>1036</v>
      </c>
      <c r="G27" s="11" t="s">
        <v>1036</v>
      </c>
      <c r="H27" s="11" t="s">
        <v>1036</v>
      </c>
      <c r="I27" s="11" t="s">
        <v>1036</v>
      </c>
      <c r="J27" s="11" t="s">
        <v>1036</v>
      </c>
      <c r="K27" s="11" t="s">
        <v>1036</v>
      </c>
      <c r="L27" s="11" t="s">
        <v>1032</v>
      </c>
      <c r="M27" s="11" t="s">
        <v>69</v>
      </c>
      <c r="N27" s="11" t="s">
        <v>69</v>
      </c>
      <c r="O27" s="11" t="s">
        <v>69</v>
      </c>
      <c r="P27" s="11" t="s">
        <v>69</v>
      </c>
      <c r="Q27" s="11" t="s">
        <v>69</v>
      </c>
      <c r="R27" s="11" t="s">
        <v>69</v>
      </c>
      <c r="S27" s="11" t="s">
        <v>69</v>
      </c>
      <c r="T27" s="11" t="s">
        <v>69</v>
      </c>
      <c r="U27" s="11" t="s">
        <v>69</v>
      </c>
      <c r="V27" s="12" t="s">
        <v>69</v>
      </c>
    </row>
    <row r="28" ht="15.5" customHeight="1" spans="1:22">
      <c r="A28" s="16"/>
      <c r="B28" s="17" t="s">
        <v>1064</v>
      </c>
      <c r="C28" s="6" t="s">
        <v>69</v>
      </c>
      <c r="D28" s="6" t="s">
        <v>69</v>
      </c>
      <c r="E28" s="6" t="s">
        <v>69</v>
      </c>
      <c r="F28" s="6" t="s">
        <v>69</v>
      </c>
      <c r="G28" s="6" t="s">
        <v>69</v>
      </c>
      <c r="H28" s="6" t="s">
        <v>69</v>
      </c>
      <c r="I28" s="6" t="s">
        <v>69</v>
      </c>
      <c r="J28" s="6" t="s">
        <v>69</v>
      </c>
      <c r="K28" s="6" t="s">
        <v>69</v>
      </c>
      <c r="L28" s="6" t="s">
        <v>69</v>
      </c>
      <c r="M28" s="6" t="s">
        <v>69</v>
      </c>
      <c r="N28" s="6" t="s">
        <v>69</v>
      </c>
      <c r="O28" s="6" t="s">
        <v>69</v>
      </c>
      <c r="P28" s="6" t="s">
        <v>69</v>
      </c>
      <c r="Q28" s="6" t="s">
        <v>69</v>
      </c>
      <c r="R28" s="6" t="s">
        <v>69</v>
      </c>
      <c r="S28" s="6" t="s">
        <v>69</v>
      </c>
      <c r="T28" s="6" t="s">
        <v>69</v>
      </c>
      <c r="U28" s="6" t="s">
        <v>69</v>
      </c>
      <c r="V28" s="8" t="s">
        <v>69</v>
      </c>
    </row>
    <row r="29" ht="40.5" customHeight="1" spans="1:22">
      <c r="A29" s="16"/>
      <c r="B29" s="6" t="s">
        <v>69</v>
      </c>
      <c r="C29" s="6" t="s">
        <v>69</v>
      </c>
      <c r="D29" s="18" t="s">
        <v>1639</v>
      </c>
      <c r="E29" s="6" t="s">
        <v>69</v>
      </c>
      <c r="F29" s="11" t="s">
        <v>1036</v>
      </c>
      <c r="G29" s="11" t="s">
        <v>1032</v>
      </c>
      <c r="H29" s="11" t="s">
        <v>1036</v>
      </c>
      <c r="I29" s="11" t="s">
        <v>1036</v>
      </c>
      <c r="J29" s="11" t="s">
        <v>1036</v>
      </c>
      <c r="K29" s="11" t="s">
        <v>1036</v>
      </c>
      <c r="L29" s="11" t="s">
        <v>1036</v>
      </c>
      <c r="M29" s="11" t="s">
        <v>69</v>
      </c>
      <c r="N29" s="11" t="s">
        <v>69</v>
      </c>
      <c r="O29" s="11" t="s">
        <v>69</v>
      </c>
      <c r="P29" s="11" t="s">
        <v>69</v>
      </c>
      <c r="Q29" s="11" t="s">
        <v>69</v>
      </c>
      <c r="R29" s="11" t="s">
        <v>69</v>
      </c>
      <c r="S29" s="11" t="s">
        <v>69</v>
      </c>
      <c r="T29" s="11" t="s">
        <v>69</v>
      </c>
      <c r="U29" s="11" t="s">
        <v>69</v>
      </c>
      <c r="V29" s="12" t="s">
        <v>69</v>
      </c>
    </row>
    <row r="30" ht="53" customHeight="1" spans="1:22">
      <c r="A30" s="16"/>
      <c r="B30" s="6" t="s">
        <v>69</v>
      </c>
      <c r="C30" s="6" t="s">
        <v>69</v>
      </c>
      <c r="D30" s="18" t="s">
        <v>1640</v>
      </c>
      <c r="E30" s="6" t="s">
        <v>69</v>
      </c>
      <c r="F30" s="11" t="s">
        <v>1036</v>
      </c>
      <c r="G30" s="11" t="s">
        <v>1036</v>
      </c>
      <c r="H30" s="11" t="s">
        <v>1032</v>
      </c>
      <c r="I30" s="11" t="s">
        <v>1036</v>
      </c>
      <c r="J30" s="11" t="s">
        <v>1036</v>
      </c>
      <c r="K30" s="11" t="s">
        <v>1036</v>
      </c>
      <c r="L30" s="11" t="s">
        <v>1036</v>
      </c>
      <c r="M30" s="11" t="s">
        <v>69</v>
      </c>
      <c r="N30" s="11" t="s">
        <v>69</v>
      </c>
      <c r="O30" s="11" t="s">
        <v>69</v>
      </c>
      <c r="P30" s="11" t="s">
        <v>69</v>
      </c>
      <c r="Q30" s="11" t="s">
        <v>69</v>
      </c>
      <c r="R30" s="11" t="s">
        <v>69</v>
      </c>
      <c r="S30" s="11" t="s">
        <v>69</v>
      </c>
      <c r="T30" s="11" t="s">
        <v>69</v>
      </c>
      <c r="U30" s="11" t="s">
        <v>69</v>
      </c>
      <c r="V30" s="12" t="s">
        <v>69</v>
      </c>
    </row>
    <row r="31" ht="40.5" customHeight="1" spans="1:22">
      <c r="A31" s="16"/>
      <c r="B31" s="6" t="s">
        <v>69</v>
      </c>
      <c r="C31" s="6" t="s">
        <v>69</v>
      </c>
      <c r="D31" s="18" t="s">
        <v>1641</v>
      </c>
      <c r="E31" s="6" t="s">
        <v>69</v>
      </c>
      <c r="F31" s="11" t="s">
        <v>1036</v>
      </c>
      <c r="G31" s="11" t="s">
        <v>1036</v>
      </c>
      <c r="H31" s="11" t="s">
        <v>1036</v>
      </c>
      <c r="I31" s="11" t="s">
        <v>1032</v>
      </c>
      <c r="J31" s="11" t="s">
        <v>1036</v>
      </c>
      <c r="K31" s="11" t="s">
        <v>1036</v>
      </c>
      <c r="L31" s="11" t="s">
        <v>1036</v>
      </c>
      <c r="M31" s="11" t="s">
        <v>69</v>
      </c>
      <c r="N31" s="11" t="s">
        <v>69</v>
      </c>
      <c r="O31" s="11" t="s">
        <v>69</v>
      </c>
      <c r="P31" s="11" t="s">
        <v>69</v>
      </c>
      <c r="Q31" s="11" t="s">
        <v>69</v>
      </c>
      <c r="R31" s="11" t="s">
        <v>69</v>
      </c>
      <c r="S31" s="11" t="s">
        <v>69</v>
      </c>
      <c r="T31" s="11" t="s">
        <v>69</v>
      </c>
      <c r="U31" s="11" t="s">
        <v>69</v>
      </c>
      <c r="V31" s="12" t="s">
        <v>69</v>
      </c>
    </row>
    <row r="32" ht="78" customHeight="1" spans="1:22">
      <c r="A32" s="16"/>
      <c r="B32" s="6" t="s">
        <v>69</v>
      </c>
      <c r="C32" s="6" t="s">
        <v>69</v>
      </c>
      <c r="D32" s="18" t="s">
        <v>1642</v>
      </c>
      <c r="E32" s="6" t="s">
        <v>69</v>
      </c>
      <c r="F32" s="11" t="s">
        <v>1036</v>
      </c>
      <c r="G32" s="11" t="s">
        <v>1036</v>
      </c>
      <c r="H32" s="11" t="s">
        <v>1036</v>
      </c>
      <c r="I32" s="11" t="s">
        <v>1036</v>
      </c>
      <c r="J32" s="11" t="s">
        <v>1032</v>
      </c>
      <c r="K32" s="11" t="s">
        <v>1036</v>
      </c>
      <c r="L32" s="11" t="s">
        <v>1036</v>
      </c>
      <c r="M32" s="11" t="s">
        <v>69</v>
      </c>
      <c r="N32" s="11" t="s">
        <v>69</v>
      </c>
      <c r="O32" s="11" t="s">
        <v>69</v>
      </c>
      <c r="P32" s="11" t="s">
        <v>69</v>
      </c>
      <c r="Q32" s="11" t="s">
        <v>69</v>
      </c>
      <c r="R32" s="11" t="s">
        <v>69</v>
      </c>
      <c r="S32" s="11" t="s">
        <v>69</v>
      </c>
      <c r="T32" s="11" t="s">
        <v>69</v>
      </c>
      <c r="U32" s="11" t="s">
        <v>69</v>
      </c>
      <c r="V32" s="12" t="s">
        <v>69</v>
      </c>
    </row>
    <row r="33" ht="28" customHeight="1" spans="1:22">
      <c r="A33" s="16"/>
      <c r="B33" s="6" t="s">
        <v>69</v>
      </c>
      <c r="C33" s="6" t="s">
        <v>69</v>
      </c>
      <c r="D33" s="18" t="s">
        <v>1607</v>
      </c>
      <c r="E33" s="6" t="s">
        <v>69</v>
      </c>
      <c r="F33" s="11" t="s">
        <v>1036</v>
      </c>
      <c r="G33" s="11" t="s">
        <v>1036</v>
      </c>
      <c r="H33" s="11" t="s">
        <v>1036</v>
      </c>
      <c r="I33" s="11" t="s">
        <v>1036</v>
      </c>
      <c r="J33" s="11" t="s">
        <v>1036</v>
      </c>
      <c r="K33" s="11" t="s">
        <v>1032</v>
      </c>
      <c r="L33" s="11" t="s">
        <v>1036</v>
      </c>
      <c r="M33" s="11" t="s">
        <v>69</v>
      </c>
      <c r="N33" s="11" t="s">
        <v>69</v>
      </c>
      <c r="O33" s="11" t="s">
        <v>69</v>
      </c>
      <c r="P33" s="11" t="s">
        <v>69</v>
      </c>
      <c r="Q33" s="11" t="s">
        <v>69</v>
      </c>
      <c r="R33" s="11" t="s">
        <v>69</v>
      </c>
      <c r="S33" s="11" t="s">
        <v>69</v>
      </c>
      <c r="T33" s="11" t="s">
        <v>69</v>
      </c>
      <c r="U33" s="11" t="s">
        <v>69</v>
      </c>
      <c r="V33" s="12" t="s">
        <v>69</v>
      </c>
    </row>
    <row r="34" ht="40.5" customHeight="1" spans="1:22">
      <c r="A34" s="16"/>
      <c r="B34" s="6" t="s">
        <v>69</v>
      </c>
      <c r="C34" s="6" t="s">
        <v>69</v>
      </c>
      <c r="D34" s="18" t="s">
        <v>1643</v>
      </c>
      <c r="E34" s="6" t="s">
        <v>69</v>
      </c>
      <c r="F34" s="11" t="s">
        <v>1036</v>
      </c>
      <c r="G34" s="11" t="s">
        <v>1036</v>
      </c>
      <c r="H34" s="11" t="s">
        <v>1036</v>
      </c>
      <c r="I34" s="11" t="s">
        <v>1036</v>
      </c>
      <c r="J34" s="11" t="s">
        <v>1036</v>
      </c>
      <c r="K34" s="11" t="s">
        <v>1036</v>
      </c>
      <c r="L34" s="11" t="s">
        <v>1032</v>
      </c>
      <c r="M34" s="11" t="s">
        <v>69</v>
      </c>
      <c r="N34" s="11" t="s">
        <v>69</v>
      </c>
      <c r="O34" s="11" t="s">
        <v>69</v>
      </c>
      <c r="P34" s="11" t="s">
        <v>69</v>
      </c>
      <c r="Q34" s="11" t="s">
        <v>69</v>
      </c>
      <c r="R34" s="11" t="s">
        <v>69</v>
      </c>
      <c r="S34" s="11" t="s">
        <v>69</v>
      </c>
      <c r="T34" s="11" t="s">
        <v>69</v>
      </c>
      <c r="U34" s="11" t="s">
        <v>69</v>
      </c>
      <c r="V34" s="12" t="s">
        <v>69</v>
      </c>
    </row>
    <row r="35" ht="18" customHeight="1" spans="1:22">
      <c r="A35" s="19" t="s">
        <v>1048</v>
      </c>
      <c r="B35" s="20" t="s">
        <v>1049</v>
      </c>
      <c r="C35" s="20"/>
      <c r="D35" s="20"/>
      <c r="E35" s="6" t="s">
        <v>69</v>
      </c>
      <c r="F35" s="11" t="s">
        <v>1008</v>
      </c>
      <c r="G35" s="11" t="s">
        <v>63</v>
      </c>
      <c r="H35" s="11" t="s">
        <v>63</v>
      </c>
      <c r="I35" s="11" t="s">
        <v>63</v>
      </c>
      <c r="J35" s="11" t="s">
        <v>63</v>
      </c>
      <c r="K35" s="11" t="s">
        <v>63</v>
      </c>
      <c r="L35" s="11" t="s">
        <v>63</v>
      </c>
      <c r="M35" s="11" t="s">
        <v>69</v>
      </c>
      <c r="N35" s="11" t="s">
        <v>69</v>
      </c>
      <c r="O35" s="11" t="s">
        <v>69</v>
      </c>
      <c r="P35" s="11" t="s">
        <v>69</v>
      </c>
      <c r="Q35" s="11" t="s">
        <v>69</v>
      </c>
      <c r="R35" s="11" t="s">
        <v>69</v>
      </c>
      <c r="S35" s="11" t="s">
        <v>69</v>
      </c>
      <c r="T35" s="11" t="s">
        <v>69</v>
      </c>
      <c r="U35" s="11" t="s">
        <v>69</v>
      </c>
      <c r="V35" s="12" t="s">
        <v>69</v>
      </c>
    </row>
    <row r="36" ht="18" customHeight="1" spans="1:22">
      <c r="A36" s="19"/>
      <c r="B36" s="20" t="s">
        <v>1050</v>
      </c>
      <c r="C36" s="20"/>
      <c r="D36" s="20"/>
      <c r="E36" s="6" t="s">
        <v>69</v>
      </c>
      <c r="F36" s="11" t="s">
        <v>1051</v>
      </c>
      <c r="G36" s="11" t="s">
        <v>1051</v>
      </c>
      <c r="H36" s="11" t="s">
        <v>1051</v>
      </c>
      <c r="I36" s="11" t="s">
        <v>1051</v>
      </c>
      <c r="J36" s="11" t="s">
        <v>1051</v>
      </c>
      <c r="K36" s="11" t="s">
        <v>1051</v>
      </c>
      <c r="L36" s="11" t="s">
        <v>1051</v>
      </c>
      <c r="M36" s="11" t="s">
        <v>69</v>
      </c>
      <c r="N36" s="11" t="s">
        <v>69</v>
      </c>
      <c r="O36" s="11" t="s">
        <v>69</v>
      </c>
      <c r="P36" s="11" t="s">
        <v>69</v>
      </c>
      <c r="Q36" s="11" t="s">
        <v>69</v>
      </c>
      <c r="R36" s="11" t="s">
        <v>69</v>
      </c>
      <c r="S36" s="11" t="s">
        <v>69</v>
      </c>
      <c r="T36" s="11" t="s">
        <v>69</v>
      </c>
      <c r="U36" s="11" t="s">
        <v>69</v>
      </c>
      <c r="V36" s="12" t="s">
        <v>69</v>
      </c>
    </row>
    <row r="37" ht="18" customHeight="1" spans="1:22">
      <c r="A37" s="19"/>
      <c r="B37" s="20" t="s">
        <v>1052</v>
      </c>
      <c r="C37" s="20"/>
      <c r="D37" s="20"/>
      <c r="E37" s="6" t="s">
        <v>69</v>
      </c>
      <c r="F37" s="6" t="s">
        <v>69</v>
      </c>
      <c r="G37" s="6" t="s">
        <v>69</v>
      </c>
      <c r="H37" s="6" t="s">
        <v>69</v>
      </c>
      <c r="I37" s="6" t="s">
        <v>69</v>
      </c>
      <c r="J37" s="6" t="s">
        <v>69</v>
      </c>
      <c r="K37" s="6" t="s">
        <v>69</v>
      </c>
      <c r="L37" s="6" t="s">
        <v>69</v>
      </c>
      <c r="M37" s="6" t="s">
        <v>69</v>
      </c>
      <c r="N37" s="6" t="s">
        <v>69</v>
      </c>
      <c r="O37" s="6" t="s">
        <v>69</v>
      </c>
      <c r="P37" s="6" t="s">
        <v>69</v>
      </c>
      <c r="Q37" s="6" t="s">
        <v>69</v>
      </c>
      <c r="R37" s="6" t="s">
        <v>69</v>
      </c>
      <c r="S37" s="6" t="s">
        <v>69</v>
      </c>
      <c r="T37" s="6" t="s">
        <v>69</v>
      </c>
      <c r="U37" s="6" t="s">
        <v>69</v>
      </c>
      <c r="V37" s="8" t="s">
        <v>69</v>
      </c>
    </row>
    <row r="38" ht="18" customHeight="1" spans="1:22">
      <c r="A38" s="19"/>
      <c r="B38" s="21" t="s">
        <v>1053</v>
      </c>
      <c r="C38" s="21"/>
      <c r="D38" s="21"/>
      <c r="E38" s="22" t="s">
        <v>69</v>
      </c>
      <c r="F38" s="22" t="s">
        <v>69</v>
      </c>
      <c r="G38" s="22" t="s">
        <v>69</v>
      </c>
      <c r="H38" s="22" t="s">
        <v>69</v>
      </c>
      <c r="I38" s="22" t="s">
        <v>69</v>
      </c>
      <c r="J38" s="22" t="s">
        <v>69</v>
      </c>
      <c r="K38" s="22" t="s">
        <v>69</v>
      </c>
      <c r="L38" s="22" t="s">
        <v>69</v>
      </c>
      <c r="M38" s="22" t="s">
        <v>69</v>
      </c>
      <c r="N38" s="22" t="s">
        <v>69</v>
      </c>
      <c r="O38" s="22" t="s">
        <v>69</v>
      </c>
      <c r="P38" s="22" t="s">
        <v>69</v>
      </c>
      <c r="Q38" s="22" t="s">
        <v>69</v>
      </c>
      <c r="R38" s="22" t="s">
        <v>69</v>
      </c>
      <c r="S38" s="22" t="s">
        <v>69</v>
      </c>
      <c r="T38" s="22" t="s">
        <v>69</v>
      </c>
      <c r="U38" s="22" t="s">
        <v>69</v>
      </c>
      <c r="V3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35:D35"/>
    <mergeCell ref="B36:D36"/>
    <mergeCell ref="B37:D37"/>
    <mergeCell ref="B38:D38"/>
    <mergeCell ref="A7:A23"/>
    <mergeCell ref="A24:A34"/>
    <mergeCell ref="A35:A38"/>
  </mergeCells>
  <dataValidations count="3">
    <dataValidation type="list" allowBlank="1" sqref="F8:V8 F23:V23 F10:V11 F20:V21 F13:V14 F16:V18 F25:V27 F29:V34">
      <formula1>"O,-"</formula1>
    </dataValidation>
    <dataValidation type="list" allowBlank="1" sqref="F35:V35">
      <formula1>"N,A,B"</formula1>
    </dataValidation>
    <dataValidation type="list" allowBlank="1" sqref="F36:V36">
      <formula1>"P,F"</formula1>
    </dataValidation>
  </dataValidations>
  <pageMargins left="0.7" right="0.7" top="0.75" bottom="0.75" header="0.3" footer="0.3"/>
  <pageSetup paperSize="1" orientation="portrait" useFirstPageNumber="1"/>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387</v>
      </c>
      <c r="C1" s="2"/>
      <c r="D1" s="2"/>
      <c r="E1" s="2"/>
      <c r="F1" s="3" t="s">
        <v>1019</v>
      </c>
      <c r="G1" s="3"/>
      <c r="H1" s="3"/>
      <c r="I1" s="3"/>
      <c r="J1" s="3"/>
      <c r="K1" s="3"/>
      <c r="L1" s="4" t="s">
        <v>398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1644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5</v>
      </c>
      <c r="M5" s="11">
        <v>1</v>
      </c>
      <c r="N5" s="11">
        <v>0</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1645</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1646</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1647</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1648</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1649</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1650</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65.5" customHeight="1" spans="1:22">
      <c r="A15" s="16"/>
      <c r="B15" s="6" t="s">
        <v>69</v>
      </c>
      <c r="C15" s="6" t="s">
        <v>69</v>
      </c>
      <c r="D15" s="18" t="s">
        <v>1651</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1652</v>
      </c>
      <c r="E16" s="6" t="s">
        <v>69</v>
      </c>
      <c r="F16" s="11" t="s">
        <v>1036</v>
      </c>
      <c r="G16" s="11" t="s">
        <v>1032</v>
      </c>
      <c r="H16" s="11" t="s">
        <v>1036</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28" customHeight="1" spans="1:22">
      <c r="A17" s="16"/>
      <c r="B17" s="6" t="s">
        <v>69</v>
      </c>
      <c r="C17" s="6" t="s">
        <v>69</v>
      </c>
      <c r="D17" s="18" t="s">
        <v>1653</v>
      </c>
      <c r="E17" s="6" t="s">
        <v>69</v>
      </c>
      <c r="F17" s="11" t="s">
        <v>1036</v>
      </c>
      <c r="G17" s="11" t="s">
        <v>1036</v>
      </c>
      <c r="H17" s="11" t="s">
        <v>1032</v>
      </c>
      <c r="I17" s="11" t="s">
        <v>1036</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65.5" customHeight="1" spans="1:22">
      <c r="A18" s="16"/>
      <c r="B18" s="6" t="s">
        <v>69</v>
      </c>
      <c r="C18" s="6" t="s">
        <v>69</v>
      </c>
      <c r="D18" s="18" t="s">
        <v>1654</v>
      </c>
      <c r="E18" s="6" t="s">
        <v>69</v>
      </c>
      <c r="F18" s="11" t="s">
        <v>1036</v>
      </c>
      <c r="G18" s="11" t="s">
        <v>1036</v>
      </c>
      <c r="H18" s="11" t="s">
        <v>1036</v>
      </c>
      <c r="I18" s="11" t="s">
        <v>1032</v>
      </c>
      <c r="J18" s="11" t="s">
        <v>1036</v>
      </c>
      <c r="K18" s="11" t="s">
        <v>1036</v>
      </c>
      <c r="L18" s="11" t="s">
        <v>69</v>
      </c>
      <c r="M18" s="11" t="s">
        <v>69</v>
      </c>
      <c r="N18" s="11" t="s">
        <v>69</v>
      </c>
      <c r="O18" s="11" t="s">
        <v>69</v>
      </c>
      <c r="P18" s="11" t="s">
        <v>69</v>
      </c>
      <c r="Q18" s="11" t="s">
        <v>69</v>
      </c>
      <c r="R18" s="11" t="s">
        <v>69</v>
      </c>
      <c r="S18" s="11" t="s">
        <v>69</v>
      </c>
      <c r="T18" s="11" t="s">
        <v>69</v>
      </c>
      <c r="U18" s="11" t="s">
        <v>69</v>
      </c>
      <c r="V18" s="12" t="s">
        <v>69</v>
      </c>
    </row>
    <row r="19" ht="90.5" customHeight="1" spans="1:22">
      <c r="A19" s="16"/>
      <c r="B19" s="6" t="s">
        <v>69</v>
      </c>
      <c r="C19" s="6" t="s">
        <v>69</v>
      </c>
      <c r="D19" s="18" t="s">
        <v>1655</v>
      </c>
      <c r="E19" s="6" t="s">
        <v>69</v>
      </c>
      <c r="F19" s="11" t="s">
        <v>1036</v>
      </c>
      <c r="G19" s="11" t="s">
        <v>1036</v>
      </c>
      <c r="H19" s="11" t="s">
        <v>1036</v>
      </c>
      <c r="I19" s="11" t="s">
        <v>1036</v>
      </c>
      <c r="J19" s="11" t="s">
        <v>1032</v>
      </c>
      <c r="K19" s="11" t="s">
        <v>1036</v>
      </c>
      <c r="L19" s="11" t="s">
        <v>69</v>
      </c>
      <c r="M19" s="11" t="s">
        <v>69</v>
      </c>
      <c r="N19" s="11" t="s">
        <v>69</v>
      </c>
      <c r="O19" s="11" t="s">
        <v>69</v>
      </c>
      <c r="P19" s="11" t="s">
        <v>69</v>
      </c>
      <c r="Q19" s="11" t="s">
        <v>69</v>
      </c>
      <c r="R19" s="11" t="s">
        <v>69</v>
      </c>
      <c r="S19" s="11" t="s">
        <v>69</v>
      </c>
      <c r="T19" s="11" t="s">
        <v>69</v>
      </c>
      <c r="U19" s="11" t="s">
        <v>69</v>
      </c>
      <c r="V19" s="12" t="s">
        <v>69</v>
      </c>
    </row>
    <row r="20" ht="53" customHeight="1" spans="1:22">
      <c r="A20" s="16"/>
      <c r="B20" s="6" t="s">
        <v>69</v>
      </c>
      <c r="C20" s="6" t="s">
        <v>69</v>
      </c>
      <c r="D20" s="18" t="s">
        <v>1656</v>
      </c>
      <c r="E20" s="6" t="s">
        <v>69</v>
      </c>
      <c r="F20" s="11" t="s">
        <v>1036</v>
      </c>
      <c r="G20" s="11" t="s">
        <v>1036</v>
      </c>
      <c r="H20" s="11" t="s">
        <v>1036</v>
      </c>
      <c r="I20" s="11" t="s">
        <v>1036</v>
      </c>
      <c r="J20" s="11" t="s">
        <v>1036</v>
      </c>
      <c r="K20" s="11" t="s">
        <v>1032</v>
      </c>
      <c r="L20" s="11" t="s">
        <v>69</v>
      </c>
      <c r="M20" s="11" t="s">
        <v>69</v>
      </c>
      <c r="N20" s="11" t="s">
        <v>69</v>
      </c>
      <c r="O20" s="11" t="s">
        <v>69</v>
      </c>
      <c r="P20" s="11" t="s">
        <v>69</v>
      </c>
      <c r="Q20" s="11" t="s">
        <v>69</v>
      </c>
      <c r="R20" s="11" t="s">
        <v>69</v>
      </c>
      <c r="S20" s="11" t="s">
        <v>69</v>
      </c>
      <c r="T20" s="11" t="s">
        <v>69</v>
      </c>
      <c r="U20" s="11" t="s">
        <v>69</v>
      </c>
      <c r="V20" s="12" t="s">
        <v>69</v>
      </c>
    </row>
    <row r="21" ht="15.5" customHeight="1" spans="1:22">
      <c r="A21" s="16"/>
      <c r="B21" s="17" t="s">
        <v>1064</v>
      </c>
      <c r="C21" s="6" t="s">
        <v>69</v>
      </c>
      <c r="D21" s="6" t="s">
        <v>69</v>
      </c>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65.5" customHeight="1" spans="1:22">
      <c r="A22" s="16"/>
      <c r="B22" s="6" t="s">
        <v>69</v>
      </c>
      <c r="C22" s="6" t="s">
        <v>69</v>
      </c>
      <c r="D22" s="18" t="s">
        <v>1657</v>
      </c>
      <c r="E22" s="6" t="s">
        <v>69</v>
      </c>
      <c r="F22" s="11" t="s">
        <v>1036</v>
      </c>
      <c r="G22" s="11" t="s">
        <v>1036</v>
      </c>
      <c r="H22" s="11" t="s">
        <v>1032</v>
      </c>
      <c r="I22" s="11" t="s">
        <v>1036</v>
      </c>
      <c r="J22" s="11" t="s">
        <v>1036</v>
      </c>
      <c r="K22" s="11" t="s">
        <v>1036</v>
      </c>
      <c r="L22" s="11" t="s">
        <v>69</v>
      </c>
      <c r="M22" s="11" t="s">
        <v>69</v>
      </c>
      <c r="N22" s="11" t="s">
        <v>69</v>
      </c>
      <c r="O22" s="11" t="s">
        <v>69</v>
      </c>
      <c r="P22" s="11" t="s">
        <v>69</v>
      </c>
      <c r="Q22" s="11" t="s">
        <v>69</v>
      </c>
      <c r="R22" s="11" t="s">
        <v>69</v>
      </c>
      <c r="S22" s="11" t="s">
        <v>69</v>
      </c>
      <c r="T22" s="11" t="s">
        <v>69</v>
      </c>
      <c r="U22" s="11" t="s">
        <v>69</v>
      </c>
      <c r="V22" s="12" t="s">
        <v>69</v>
      </c>
    </row>
    <row r="23" ht="18" customHeight="1" spans="1:22">
      <c r="A23" s="19" t="s">
        <v>1048</v>
      </c>
      <c r="B23" s="20" t="s">
        <v>1049</v>
      </c>
      <c r="C23" s="20"/>
      <c r="D23" s="20"/>
      <c r="E23" s="6" t="s">
        <v>69</v>
      </c>
      <c r="F23" s="11" t="s">
        <v>1008</v>
      </c>
      <c r="G23" s="11" t="s">
        <v>1008</v>
      </c>
      <c r="H23" s="11" t="s">
        <v>63</v>
      </c>
      <c r="I23" s="11" t="s">
        <v>1008</v>
      </c>
      <c r="J23" s="11" t="s">
        <v>1008</v>
      </c>
      <c r="K23" s="11" t="s">
        <v>1008</v>
      </c>
      <c r="L23" s="11" t="s">
        <v>69</v>
      </c>
      <c r="M23" s="11" t="s">
        <v>69</v>
      </c>
      <c r="N23" s="11" t="s">
        <v>69</v>
      </c>
      <c r="O23" s="11" t="s">
        <v>69</v>
      </c>
      <c r="P23" s="11" t="s">
        <v>69</v>
      </c>
      <c r="Q23" s="11" t="s">
        <v>69</v>
      </c>
      <c r="R23" s="11" t="s">
        <v>69</v>
      </c>
      <c r="S23" s="11" t="s">
        <v>69</v>
      </c>
      <c r="T23" s="11" t="s">
        <v>69</v>
      </c>
      <c r="U23" s="11" t="s">
        <v>69</v>
      </c>
      <c r="V23" s="12" t="s">
        <v>69</v>
      </c>
    </row>
    <row r="24" ht="18" customHeight="1" spans="1:22">
      <c r="A24" s="19"/>
      <c r="B24" s="20" t="s">
        <v>1050</v>
      </c>
      <c r="C24" s="20"/>
      <c r="D24" s="20"/>
      <c r="E24" s="6" t="s">
        <v>69</v>
      </c>
      <c r="F24" s="11" t="s">
        <v>1051</v>
      </c>
      <c r="G24" s="11" t="s">
        <v>1051</v>
      </c>
      <c r="H24" s="11" t="s">
        <v>1051</v>
      </c>
      <c r="I24" s="11" t="s">
        <v>1051</v>
      </c>
      <c r="J24" s="11" t="s">
        <v>1051</v>
      </c>
      <c r="K24" s="11" t="s">
        <v>1051</v>
      </c>
      <c r="L24" s="11" t="s">
        <v>69</v>
      </c>
      <c r="M24" s="11" t="s">
        <v>69</v>
      </c>
      <c r="N24" s="11" t="s">
        <v>69</v>
      </c>
      <c r="O24" s="11" t="s">
        <v>69</v>
      </c>
      <c r="P24" s="11" t="s">
        <v>69</v>
      </c>
      <c r="Q24" s="11" t="s">
        <v>69</v>
      </c>
      <c r="R24" s="11" t="s">
        <v>69</v>
      </c>
      <c r="S24" s="11" t="s">
        <v>69</v>
      </c>
      <c r="T24" s="11" t="s">
        <v>69</v>
      </c>
      <c r="U24" s="11" t="s">
        <v>69</v>
      </c>
      <c r="V24" s="12" t="s">
        <v>69</v>
      </c>
    </row>
    <row r="25" ht="18" customHeight="1" spans="1:22">
      <c r="A25" s="19"/>
      <c r="B25" s="20" t="s">
        <v>1052</v>
      </c>
      <c r="C25" s="20"/>
      <c r="D25" s="20"/>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18" customHeight="1" spans="1:22">
      <c r="A26" s="19"/>
      <c r="B26" s="21" t="s">
        <v>1053</v>
      </c>
      <c r="C26" s="21"/>
      <c r="D26" s="21"/>
      <c r="E26" s="22" t="s">
        <v>69</v>
      </c>
      <c r="F26" s="22" t="s">
        <v>69</v>
      </c>
      <c r="G26" s="22" t="s">
        <v>69</v>
      </c>
      <c r="H26" s="22" t="s">
        <v>69</v>
      </c>
      <c r="I26" s="22" t="s">
        <v>69</v>
      </c>
      <c r="J26" s="22" t="s">
        <v>69</v>
      </c>
      <c r="K26" s="22" t="s">
        <v>69</v>
      </c>
      <c r="L26" s="22" t="s">
        <v>69</v>
      </c>
      <c r="M26" s="22" t="s">
        <v>69</v>
      </c>
      <c r="N26" s="22" t="s">
        <v>69</v>
      </c>
      <c r="O26" s="22" t="s">
        <v>69</v>
      </c>
      <c r="P26" s="22" t="s">
        <v>69</v>
      </c>
      <c r="Q26" s="22" t="s">
        <v>69</v>
      </c>
      <c r="R26" s="22" t="s">
        <v>69</v>
      </c>
      <c r="S26" s="22" t="s">
        <v>69</v>
      </c>
      <c r="T26" s="22" t="s">
        <v>69</v>
      </c>
      <c r="U26" s="22" t="s">
        <v>69</v>
      </c>
      <c r="V2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3:D23"/>
    <mergeCell ref="B24:D24"/>
    <mergeCell ref="B25:D25"/>
    <mergeCell ref="B26:D26"/>
    <mergeCell ref="A7:A13"/>
    <mergeCell ref="A14:A22"/>
    <mergeCell ref="A23:A26"/>
  </mergeCells>
  <dataValidations count="3">
    <dataValidation type="list" allowBlank="1" sqref="F22:V22 F10:V13 F15:V20 F8:V9">
      <formula1>"O,-"</formula1>
    </dataValidation>
    <dataValidation type="list" allowBlank="1" sqref="F23:V23">
      <formula1>"N,A,B"</formula1>
    </dataValidation>
    <dataValidation type="list" allowBlank="1" sqref="F24:V24">
      <formula1>"P,F"</formula1>
    </dataValidation>
  </dataValidations>
  <pageMargins left="0.7" right="0.7" top="0.75" bottom="0.75" header="0.3" footer="0.3"/>
  <pageSetup paperSize="1" orientation="portrait" useFirstPageNumber="1"/>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387</v>
      </c>
      <c r="C1" s="2"/>
      <c r="D1" s="2"/>
      <c r="E1" s="2"/>
      <c r="F1" s="3" t="s">
        <v>1019</v>
      </c>
      <c r="G1" s="3"/>
      <c r="H1" s="3"/>
      <c r="I1" s="3"/>
      <c r="J1" s="3"/>
      <c r="K1" s="3"/>
      <c r="L1" s="4" t="s">
        <v>402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1658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2</v>
      </c>
      <c r="M5" s="11">
        <v>6</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28" customHeight="1" spans="1:22">
      <c r="A7" s="16" t="s">
        <v>1029</v>
      </c>
      <c r="B7" s="17" t="s">
        <v>1660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1610</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1661</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1662</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28" customHeight="1" spans="1:22">
      <c r="A11" s="16"/>
      <c r="B11" s="17" t="s">
        <v>1663</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1664</v>
      </c>
      <c r="E12" s="6" t="s">
        <v>69</v>
      </c>
      <c r="F12" s="11" t="s">
        <v>1036</v>
      </c>
      <c r="G12" s="11" t="s">
        <v>1036</v>
      </c>
      <c r="H12" s="11" t="s">
        <v>1036</v>
      </c>
      <c r="I12" s="11" t="s">
        <v>1032</v>
      </c>
      <c r="J12" s="11" t="s">
        <v>1036</v>
      </c>
      <c r="K12" s="11" t="s">
        <v>1036</v>
      </c>
      <c r="L12" s="11" t="s">
        <v>1036</v>
      </c>
      <c r="M12" s="11" t="s">
        <v>1036</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1665</v>
      </c>
      <c r="E13" s="6" t="s">
        <v>69</v>
      </c>
      <c r="F13" s="11" t="s">
        <v>1036</v>
      </c>
      <c r="G13" s="11" t="s">
        <v>1036</v>
      </c>
      <c r="H13" s="11" t="s">
        <v>1036</v>
      </c>
      <c r="I13" s="11" t="s">
        <v>1036</v>
      </c>
      <c r="J13" s="11" t="s">
        <v>1032</v>
      </c>
      <c r="K13" s="11" t="s">
        <v>1036</v>
      </c>
      <c r="L13" s="11" t="s">
        <v>1036</v>
      </c>
      <c r="M13" s="11" t="s">
        <v>1036</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1666</v>
      </c>
      <c r="E14" s="6" t="s">
        <v>69</v>
      </c>
      <c r="F14" s="11" t="s">
        <v>1036</v>
      </c>
      <c r="G14" s="11" t="s">
        <v>1036</v>
      </c>
      <c r="H14" s="11" t="s">
        <v>1036</v>
      </c>
      <c r="I14" s="11" t="s">
        <v>1036</v>
      </c>
      <c r="J14" s="11" t="s">
        <v>1036</v>
      </c>
      <c r="K14" s="11" t="s">
        <v>1032</v>
      </c>
      <c r="L14" s="11" t="s">
        <v>1036</v>
      </c>
      <c r="M14" s="11" t="s">
        <v>1036</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1667</v>
      </c>
      <c r="E15" s="6" t="s">
        <v>69</v>
      </c>
      <c r="F15" s="11" t="s">
        <v>1036</v>
      </c>
      <c r="G15" s="11" t="s">
        <v>1036</v>
      </c>
      <c r="H15" s="11" t="s">
        <v>1036</v>
      </c>
      <c r="I15" s="11" t="s">
        <v>1036</v>
      </c>
      <c r="J15" s="11" t="s">
        <v>1036</v>
      </c>
      <c r="K15" s="11" t="s">
        <v>1036</v>
      </c>
      <c r="L15" s="11" t="s">
        <v>1032</v>
      </c>
      <c r="M15" s="11" t="s">
        <v>1036</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1668</v>
      </c>
      <c r="E16" s="6" t="s">
        <v>69</v>
      </c>
      <c r="F16" s="11" t="s">
        <v>1036</v>
      </c>
      <c r="G16" s="11" t="s">
        <v>1036</v>
      </c>
      <c r="H16" s="11" t="s">
        <v>1036</v>
      </c>
      <c r="I16" s="11" t="s">
        <v>1036</v>
      </c>
      <c r="J16" s="11" t="s">
        <v>1036</v>
      </c>
      <c r="K16" s="11" t="s">
        <v>1036</v>
      </c>
      <c r="L16" s="11" t="s">
        <v>1036</v>
      </c>
      <c r="M16" s="11" t="s">
        <v>1032</v>
      </c>
      <c r="N16" s="11" t="s">
        <v>69</v>
      </c>
      <c r="O16" s="11" t="s">
        <v>69</v>
      </c>
      <c r="P16" s="11" t="s">
        <v>69</v>
      </c>
      <c r="Q16" s="11" t="s">
        <v>69</v>
      </c>
      <c r="R16" s="11" t="s">
        <v>69</v>
      </c>
      <c r="S16" s="11" t="s">
        <v>69</v>
      </c>
      <c r="T16" s="11" t="s">
        <v>69</v>
      </c>
      <c r="U16" s="11" t="s">
        <v>69</v>
      </c>
      <c r="V16" s="12" t="s">
        <v>69</v>
      </c>
    </row>
    <row r="17" ht="15.5"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28" customHeight="1" spans="1:22">
      <c r="A18" s="16"/>
      <c r="B18" s="6" t="s">
        <v>69</v>
      </c>
      <c r="C18" s="6" t="s">
        <v>69</v>
      </c>
      <c r="D18" s="18" t="s">
        <v>1669</v>
      </c>
      <c r="E18" s="6" t="s">
        <v>69</v>
      </c>
      <c r="F18" s="11" t="s">
        <v>1032</v>
      </c>
      <c r="G18" s="11" t="s">
        <v>1036</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40.5" customHeight="1" spans="1:22">
      <c r="A19" s="16"/>
      <c r="B19" s="6" t="s">
        <v>69</v>
      </c>
      <c r="C19" s="6" t="s">
        <v>69</v>
      </c>
      <c r="D19" s="18" t="s">
        <v>1670</v>
      </c>
      <c r="E19" s="6" t="s">
        <v>69</v>
      </c>
      <c r="F19" s="11" t="s">
        <v>1036</v>
      </c>
      <c r="G19" s="11" t="s">
        <v>1032</v>
      </c>
      <c r="H19" s="11" t="s">
        <v>1036</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90.5" customHeight="1" spans="1:22">
      <c r="A20" s="16"/>
      <c r="B20" s="6" t="s">
        <v>69</v>
      </c>
      <c r="C20" s="6" t="s">
        <v>69</v>
      </c>
      <c r="D20" s="18" t="s">
        <v>1671</v>
      </c>
      <c r="E20" s="6" t="s">
        <v>69</v>
      </c>
      <c r="F20" s="11" t="s">
        <v>1036</v>
      </c>
      <c r="G20" s="11" t="s">
        <v>1036</v>
      </c>
      <c r="H20" s="11" t="s">
        <v>1032</v>
      </c>
      <c r="I20" s="11" t="s">
        <v>1036</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90.5" customHeight="1" spans="1:22">
      <c r="A21" s="16"/>
      <c r="B21" s="6" t="s">
        <v>69</v>
      </c>
      <c r="C21" s="6" t="s">
        <v>69</v>
      </c>
      <c r="D21" s="18" t="s">
        <v>1672</v>
      </c>
      <c r="E21" s="6" t="s">
        <v>69</v>
      </c>
      <c r="F21" s="11" t="s">
        <v>1036</v>
      </c>
      <c r="G21" s="11" t="s">
        <v>1036</v>
      </c>
      <c r="H21" s="11" t="s">
        <v>1036</v>
      </c>
      <c r="I21" s="11" t="s">
        <v>1032</v>
      </c>
      <c r="J21" s="11" t="s">
        <v>1032</v>
      </c>
      <c r="K21" s="11" t="s">
        <v>1036</v>
      </c>
      <c r="L21" s="11" t="s">
        <v>1036</v>
      </c>
      <c r="M21" s="11" t="s">
        <v>1036</v>
      </c>
      <c r="N21" s="11" t="s">
        <v>69</v>
      </c>
      <c r="O21" s="11" t="s">
        <v>69</v>
      </c>
      <c r="P21" s="11" t="s">
        <v>69</v>
      </c>
      <c r="Q21" s="11" t="s">
        <v>69</v>
      </c>
      <c r="R21" s="11" t="s">
        <v>69</v>
      </c>
      <c r="S21" s="11" t="s">
        <v>69</v>
      </c>
      <c r="T21" s="11" t="s">
        <v>69</v>
      </c>
      <c r="U21" s="11" t="s">
        <v>69</v>
      </c>
      <c r="V21" s="12" t="s">
        <v>69</v>
      </c>
    </row>
    <row r="22" ht="40.5" customHeight="1" spans="1:22">
      <c r="A22" s="16"/>
      <c r="B22" s="6" t="s">
        <v>69</v>
      </c>
      <c r="C22" s="6" t="s">
        <v>69</v>
      </c>
      <c r="D22" s="18" t="s">
        <v>1673</v>
      </c>
      <c r="E22" s="6" t="s">
        <v>69</v>
      </c>
      <c r="F22" s="11" t="s">
        <v>1036</v>
      </c>
      <c r="G22" s="11" t="s">
        <v>1036</v>
      </c>
      <c r="H22" s="11" t="s">
        <v>1036</v>
      </c>
      <c r="I22" s="11" t="s">
        <v>1036</v>
      </c>
      <c r="J22" s="11" t="s">
        <v>1036</v>
      </c>
      <c r="K22" s="11" t="s">
        <v>1032</v>
      </c>
      <c r="L22" s="11" t="s">
        <v>1036</v>
      </c>
      <c r="M22" s="11" t="s">
        <v>1036</v>
      </c>
      <c r="N22" s="11" t="s">
        <v>69</v>
      </c>
      <c r="O22" s="11" t="s">
        <v>69</v>
      </c>
      <c r="P22" s="11" t="s">
        <v>69</v>
      </c>
      <c r="Q22" s="11" t="s">
        <v>69</v>
      </c>
      <c r="R22" s="11" t="s">
        <v>69</v>
      </c>
      <c r="S22" s="11" t="s">
        <v>69</v>
      </c>
      <c r="T22" s="11" t="s">
        <v>69</v>
      </c>
      <c r="U22" s="11" t="s">
        <v>69</v>
      </c>
      <c r="V22" s="12" t="s">
        <v>69</v>
      </c>
    </row>
    <row r="23" ht="28" customHeight="1" spans="1:22">
      <c r="A23" s="16"/>
      <c r="B23" s="6" t="s">
        <v>69</v>
      </c>
      <c r="C23" s="6" t="s">
        <v>69</v>
      </c>
      <c r="D23" s="18" t="s">
        <v>1674</v>
      </c>
      <c r="E23" s="6" t="s">
        <v>69</v>
      </c>
      <c r="F23" s="11" t="s">
        <v>1036</v>
      </c>
      <c r="G23" s="11" t="s">
        <v>1036</v>
      </c>
      <c r="H23" s="11" t="s">
        <v>1036</v>
      </c>
      <c r="I23" s="11" t="s">
        <v>1036</v>
      </c>
      <c r="J23" s="11" t="s">
        <v>1036</v>
      </c>
      <c r="K23" s="11" t="s">
        <v>1036</v>
      </c>
      <c r="L23" s="11" t="s">
        <v>1032</v>
      </c>
      <c r="M23" s="11" t="s">
        <v>1036</v>
      </c>
      <c r="N23" s="11" t="s">
        <v>69</v>
      </c>
      <c r="O23" s="11" t="s">
        <v>69</v>
      </c>
      <c r="P23" s="11" t="s">
        <v>69</v>
      </c>
      <c r="Q23" s="11" t="s">
        <v>69</v>
      </c>
      <c r="R23" s="11" t="s">
        <v>69</v>
      </c>
      <c r="S23" s="11" t="s">
        <v>69</v>
      </c>
      <c r="T23" s="11" t="s">
        <v>69</v>
      </c>
      <c r="U23" s="11" t="s">
        <v>69</v>
      </c>
      <c r="V23" s="12" t="s">
        <v>69</v>
      </c>
    </row>
    <row r="24" ht="90.5" customHeight="1" spans="1:22">
      <c r="A24" s="16"/>
      <c r="B24" s="6" t="s">
        <v>69</v>
      </c>
      <c r="C24" s="6" t="s">
        <v>69</v>
      </c>
      <c r="D24" s="18" t="s">
        <v>1675</v>
      </c>
      <c r="E24" s="6" t="s">
        <v>69</v>
      </c>
      <c r="F24" s="11" t="s">
        <v>1036</v>
      </c>
      <c r="G24" s="11" t="s">
        <v>1036</v>
      </c>
      <c r="H24" s="11" t="s">
        <v>1036</v>
      </c>
      <c r="I24" s="11" t="s">
        <v>1036</v>
      </c>
      <c r="J24" s="11" t="s">
        <v>1036</v>
      </c>
      <c r="K24" s="11" t="s">
        <v>1036</v>
      </c>
      <c r="L24" s="11" t="s">
        <v>1036</v>
      </c>
      <c r="M24" s="11" t="s">
        <v>1032</v>
      </c>
      <c r="N24" s="11" t="s">
        <v>69</v>
      </c>
      <c r="O24" s="11" t="s">
        <v>69</v>
      </c>
      <c r="P24" s="11" t="s">
        <v>69</v>
      </c>
      <c r="Q24" s="11" t="s">
        <v>69</v>
      </c>
      <c r="R24" s="11" t="s">
        <v>69</v>
      </c>
      <c r="S24" s="11" t="s">
        <v>69</v>
      </c>
      <c r="T24" s="11" t="s">
        <v>69</v>
      </c>
      <c r="U24" s="11" t="s">
        <v>69</v>
      </c>
      <c r="V24" s="12" t="s">
        <v>69</v>
      </c>
    </row>
    <row r="25" ht="18" customHeight="1" spans="1:22">
      <c r="A25" s="19" t="s">
        <v>1048</v>
      </c>
      <c r="B25" s="20" t="s">
        <v>1049</v>
      </c>
      <c r="C25" s="20"/>
      <c r="D25" s="20"/>
      <c r="E25" s="6" t="s">
        <v>69</v>
      </c>
      <c r="F25" s="11" t="s">
        <v>63</v>
      </c>
      <c r="G25" s="11" t="s">
        <v>63</v>
      </c>
      <c r="H25" s="11" t="s">
        <v>1008</v>
      </c>
      <c r="I25" s="11" t="s">
        <v>63</v>
      </c>
      <c r="J25" s="11" t="s">
        <v>63</v>
      </c>
      <c r="K25" s="11" t="s">
        <v>63</v>
      </c>
      <c r="L25" s="11" t="s">
        <v>63</v>
      </c>
      <c r="M25" s="11" t="s">
        <v>1008</v>
      </c>
      <c r="N25" s="11" t="s">
        <v>69</v>
      </c>
      <c r="O25" s="11" t="s">
        <v>69</v>
      </c>
      <c r="P25" s="11" t="s">
        <v>69</v>
      </c>
      <c r="Q25" s="11" t="s">
        <v>69</v>
      </c>
      <c r="R25" s="11" t="s">
        <v>69</v>
      </c>
      <c r="S25" s="11" t="s">
        <v>69</v>
      </c>
      <c r="T25" s="11" t="s">
        <v>69</v>
      </c>
      <c r="U25" s="11" t="s">
        <v>69</v>
      </c>
      <c r="V25" s="12" t="s">
        <v>69</v>
      </c>
    </row>
    <row r="26" ht="18" customHeight="1" spans="1:22">
      <c r="A26" s="19"/>
      <c r="B26" s="20" t="s">
        <v>1050</v>
      </c>
      <c r="C26" s="20"/>
      <c r="D26" s="20"/>
      <c r="E26" s="6" t="s">
        <v>69</v>
      </c>
      <c r="F26" s="11" t="s">
        <v>1051</v>
      </c>
      <c r="G26" s="11" t="s">
        <v>1051</v>
      </c>
      <c r="H26" s="11" t="s">
        <v>1051</v>
      </c>
      <c r="I26" s="11" t="s">
        <v>1051</v>
      </c>
      <c r="J26" s="11" t="s">
        <v>1051</v>
      </c>
      <c r="K26" s="11" t="s">
        <v>1051</v>
      </c>
      <c r="L26" s="11" t="s">
        <v>1051</v>
      </c>
      <c r="M26" s="11" t="s">
        <v>1051</v>
      </c>
      <c r="N26" s="11" t="s">
        <v>69</v>
      </c>
      <c r="O26" s="11" t="s">
        <v>69</v>
      </c>
      <c r="P26" s="11" t="s">
        <v>69</v>
      </c>
      <c r="Q26" s="11" t="s">
        <v>69</v>
      </c>
      <c r="R26" s="11" t="s">
        <v>69</v>
      </c>
      <c r="S26" s="11" t="s">
        <v>69</v>
      </c>
      <c r="T26" s="11" t="s">
        <v>69</v>
      </c>
      <c r="U26" s="11" t="s">
        <v>69</v>
      </c>
      <c r="V26" s="12" t="s">
        <v>69</v>
      </c>
    </row>
    <row r="27" ht="18" customHeight="1" spans="1:22">
      <c r="A27" s="19"/>
      <c r="B27" s="20" t="s">
        <v>1052</v>
      </c>
      <c r="C27" s="20"/>
      <c r="D27" s="20"/>
      <c r="E27" s="6" t="s">
        <v>69</v>
      </c>
      <c r="F27" s="6" t="s">
        <v>69</v>
      </c>
      <c r="G27" s="6" t="s">
        <v>69</v>
      </c>
      <c r="H27" s="6" t="s">
        <v>69</v>
      </c>
      <c r="I27" s="6" t="s">
        <v>69</v>
      </c>
      <c r="J27" s="6" t="s">
        <v>69</v>
      </c>
      <c r="K27" s="6" t="s">
        <v>69</v>
      </c>
      <c r="L27" s="6" t="s">
        <v>69</v>
      </c>
      <c r="M27" s="6" t="s">
        <v>69</v>
      </c>
      <c r="N27" s="6" t="s">
        <v>69</v>
      </c>
      <c r="O27" s="6" t="s">
        <v>69</v>
      </c>
      <c r="P27" s="6" t="s">
        <v>69</v>
      </c>
      <c r="Q27" s="6" t="s">
        <v>69</v>
      </c>
      <c r="R27" s="6" t="s">
        <v>69</v>
      </c>
      <c r="S27" s="6" t="s">
        <v>69</v>
      </c>
      <c r="T27" s="6" t="s">
        <v>69</v>
      </c>
      <c r="U27" s="6" t="s">
        <v>69</v>
      </c>
      <c r="V27" s="8" t="s">
        <v>69</v>
      </c>
    </row>
    <row r="28" ht="18" customHeight="1" spans="1:22">
      <c r="A28" s="19"/>
      <c r="B28" s="21" t="s">
        <v>1053</v>
      </c>
      <c r="C28" s="21"/>
      <c r="D28" s="21"/>
      <c r="E28" s="22" t="s">
        <v>69</v>
      </c>
      <c r="F28" s="22" t="s">
        <v>69</v>
      </c>
      <c r="G28" s="22" t="s">
        <v>69</v>
      </c>
      <c r="H28" s="22" t="s">
        <v>69</v>
      </c>
      <c r="I28" s="22" t="s">
        <v>69</v>
      </c>
      <c r="J28" s="22" t="s">
        <v>69</v>
      </c>
      <c r="K28" s="22" t="s">
        <v>69</v>
      </c>
      <c r="L28" s="22" t="s">
        <v>69</v>
      </c>
      <c r="M28" s="22" t="s">
        <v>69</v>
      </c>
      <c r="N28" s="22" t="s">
        <v>69</v>
      </c>
      <c r="O28" s="22" t="s">
        <v>69</v>
      </c>
      <c r="P28" s="22" t="s">
        <v>69</v>
      </c>
      <c r="Q28" s="22" t="s">
        <v>69</v>
      </c>
      <c r="R28" s="22" t="s">
        <v>69</v>
      </c>
      <c r="S28" s="22" t="s">
        <v>69</v>
      </c>
      <c r="T28" s="22" t="s">
        <v>69</v>
      </c>
      <c r="U28" s="22" t="s">
        <v>69</v>
      </c>
      <c r="V2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5:D25"/>
    <mergeCell ref="B26:D26"/>
    <mergeCell ref="B27:D27"/>
    <mergeCell ref="B28:D28"/>
    <mergeCell ref="A7:A16"/>
    <mergeCell ref="A17:A24"/>
    <mergeCell ref="A25:A28"/>
  </mergeCells>
  <dataValidations count="3">
    <dataValidation type="list" allowBlank="1" sqref="F10:V10 F12:V16 F18:V24 F8:V9">
      <formula1>"O,-"</formula1>
    </dataValidation>
    <dataValidation type="list" allowBlank="1" sqref="F25:V25">
      <formula1>"N,A,B"</formula1>
    </dataValidation>
    <dataValidation type="list" allowBlank="1" sqref="F26:V26">
      <formula1>"P,F"</formula1>
    </dataValidation>
  </dataValidations>
  <pageMargins left="0.7" right="0.7" top="0.75" bottom="0.75" header="0.3" footer="0.3"/>
  <pageSetup paperSize="1" orientation="portrait" useFirstPageNumber="1"/>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407</v>
      </c>
      <c r="C1" s="2"/>
      <c r="D1" s="2"/>
      <c r="E1" s="2"/>
      <c r="F1" s="3" t="s">
        <v>1019</v>
      </c>
      <c r="G1" s="3"/>
      <c r="H1" s="3"/>
      <c r="I1" s="3"/>
      <c r="J1" s="3"/>
      <c r="K1" s="3"/>
      <c r="L1" s="4" t="s">
        <v>408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1676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5</v>
      </c>
      <c r="M5" s="11">
        <v>1</v>
      </c>
      <c r="N5" s="11">
        <v>0</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1677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1678</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1679</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1680</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1681</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1682</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1683</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0.5" customHeight="1" spans="1:22">
      <c r="A15" s="16"/>
      <c r="B15" s="6" t="s">
        <v>69</v>
      </c>
      <c r="C15" s="6" t="s">
        <v>69</v>
      </c>
      <c r="D15" s="18" t="s">
        <v>1684</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78" customHeight="1" spans="1:22">
      <c r="A16" s="16"/>
      <c r="B16" s="6" t="s">
        <v>69</v>
      </c>
      <c r="C16" s="6" t="s">
        <v>69</v>
      </c>
      <c r="D16" s="18" t="s">
        <v>1685</v>
      </c>
      <c r="E16" s="6" t="s">
        <v>69</v>
      </c>
      <c r="F16" s="11" t="s">
        <v>1036</v>
      </c>
      <c r="G16" s="11" t="s">
        <v>1032</v>
      </c>
      <c r="H16" s="11" t="s">
        <v>1036</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78" customHeight="1" spans="1:22">
      <c r="A17" s="16"/>
      <c r="B17" s="6" t="s">
        <v>69</v>
      </c>
      <c r="C17" s="6" t="s">
        <v>69</v>
      </c>
      <c r="D17" s="18" t="s">
        <v>1686</v>
      </c>
      <c r="E17" s="6" t="s">
        <v>69</v>
      </c>
      <c r="F17" s="11" t="s">
        <v>1036</v>
      </c>
      <c r="G17" s="11" t="s">
        <v>1036</v>
      </c>
      <c r="H17" s="11" t="s">
        <v>1032</v>
      </c>
      <c r="I17" s="11" t="s">
        <v>1036</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40.5" customHeight="1" spans="1:22">
      <c r="A18" s="16"/>
      <c r="B18" s="6" t="s">
        <v>69</v>
      </c>
      <c r="C18" s="6" t="s">
        <v>69</v>
      </c>
      <c r="D18" s="18" t="s">
        <v>1687</v>
      </c>
      <c r="E18" s="6" t="s">
        <v>69</v>
      </c>
      <c r="F18" s="11" t="s">
        <v>1036</v>
      </c>
      <c r="G18" s="11" t="s">
        <v>1036</v>
      </c>
      <c r="H18" s="11" t="s">
        <v>1036</v>
      </c>
      <c r="I18" s="11" t="s">
        <v>1032</v>
      </c>
      <c r="J18" s="11" t="s">
        <v>1036</v>
      </c>
      <c r="K18" s="11" t="s">
        <v>1036</v>
      </c>
      <c r="L18" s="11" t="s">
        <v>69</v>
      </c>
      <c r="M18" s="11" t="s">
        <v>69</v>
      </c>
      <c r="N18" s="11" t="s">
        <v>69</v>
      </c>
      <c r="O18" s="11" t="s">
        <v>69</v>
      </c>
      <c r="P18" s="11" t="s">
        <v>69</v>
      </c>
      <c r="Q18" s="11" t="s">
        <v>69</v>
      </c>
      <c r="R18" s="11" t="s">
        <v>69</v>
      </c>
      <c r="S18" s="11" t="s">
        <v>69</v>
      </c>
      <c r="T18" s="11" t="s">
        <v>69</v>
      </c>
      <c r="U18" s="11" t="s">
        <v>69</v>
      </c>
      <c r="V18" s="12" t="s">
        <v>69</v>
      </c>
    </row>
    <row r="19" ht="65.5" customHeight="1" spans="1:22">
      <c r="A19" s="16"/>
      <c r="B19" s="6" t="s">
        <v>69</v>
      </c>
      <c r="C19" s="6" t="s">
        <v>69</v>
      </c>
      <c r="D19" s="18" t="s">
        <v>1688</v>
      </c>
      <c r="E19" s="6" t="s">
        <v>69</v>
      </c>
      <c r="F19" s="11" t="s">
        <v>1036</v>
      </c>
      <c r="G19" s="11" t="s">
        <v>1036</v>
      </c>
      <c r="H19" s="11" t="s">
        <v>1036</v>
      </c>
      <c r="I19" s="11" t="s">
        <v>1036</v>
      </c>
      <c r="J19" s="11" t="s">
        <v>1032</v>
      </c>
      <c r="K19" s="11" t="s">
        <v>1036</v>
      </c>
      <c r="L19" s="11" t="s">
        <v>69</v>
      </c>
      <c r="M19" s="11" t="s">
        <v>69</v>
      </c>
      <c r="N19" s="11" t="s">
        <v>69</v>
      </c>
      <c r="O19" s="11" t="s">
        <v>69</v>
      </c>
      <c r="P19" s="11" t="s">
        <v>69</v>
      </c>
      <c r="Q19" s="11" t="s">
        <v>69</v>
      </c>
      <c r="R19" s="11" t="s">
        <v>69</v>
      </c>
      <c r="S19" s="11" t="s">
        <v>69</v>
      </c>
      <c r="T19" s="11" t="s">
        <v>69</v>
      </c>
      <c r="U19" s="11" t="s">
        <v>69</v>
      </c>
      <c r="V19" s="12" t="s">
        <v>69</v>
      </c>
    </row>
    <row r="20" ht="15.5" customHeight="1" spans="1:22">
      <c r="A20" s="16"/>
      <c r="B20" s="17" t="s">
        <v>1064</v>
      </c>
      <c r="C20" s="6" t="s">
        <v>69</v>
      </c>
      <c r="D20" s="6" t="s">
        <v>69</v>
      </c>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03" customHeight="1" spans="1:22">
      <c r="A21" s="16"/>
      <c r="B21" s="6" t="s">
        <v>69</v>
      </c>
      <c r="C21" s="6" t="s">
        <v>69</v>
      </c>
      <c r="D21" s="18" t="s">
        <v>1689</v>
      </c>
      <c r="E21" s="6" t="s">
        <v>69</v>
      </c>
      <c r="F21" s="11" t="s">
        <v>1036</v>
      </c>
      <c r="G21" s="11" t="s">
        <v>1036</v>
      </c>
      <c r="H21" s="11" t="s">
        <v>1036</v>
      </c>
      <c r="I21" s="11" t="s">
        <v>1036</v>
      </c>
      <c r="J21" s="11" t="s">
        <v>1036</v>
      </c>
      <c r="K21" s="11" t="s">
        <v>1032</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t="s">
        <v>1048</v>
      </c>
      <c r="B22" s="20" t="s">
        <v>1049</v>
      </c>
      <c r="C22" s="20"/>
      <c r="D22" s="20"/>
      <c r="E22" s="6" t="s">
        <v>69</v>
      </c>
      <c r="F22" s="11" t="s">
        <v>1008</v>
      </c>
      <c r="G22" s="11" t="s">
        <v>1008</v>
      </c>
      <c r="H22" s="11" t="s">
        <v>1008</v>
      </c>
      <c r="I22" s="11" t="s">
        <v>1008</v>
      </c>
      <c r="J22" s="11" t="s">
        <v>1008</v>
      </c>
      <c r="K22" s="11" t="s">
        <v>63</v>
      </c>
      <c r="L22" s="11" t="s">
        <v>69</v>
      </c>
      <c r="M22" s="11" t="s">
        <v>69</v>
      </c>
      <c r="N22" s="11" t="s">
        <v>69</v>
      </c>
      <c r="O22" s="11" t="s">
        <v>69</v>
      </c>
      <c r="P22" s="11" t="s">
        <v>69</v>
      </c>
      <c r="Q22" s="11" t="s">
        <v>69</v>
      </c>
      <c r="R22" s="11" t="s">
        <v>69</v>
      </c>
      <c r="S22" s="11" t="s">
        <v>69</v>
      </c>
      <c r="T22" s="11" t="s">
        <v>69</v>
      </c>
      <c r="U22" s="11" t="s">
        <v>69</v>
      </c>
      <c r="V22" s="12" t="s">
        <v>69</v>
      </c>
    </row>
    <row r="23" ht="18" customHeight="1" spans="1:22">
      <c r="A23" s="19"/>
      <c r="B23" s="20" t="s">
        <v>1050</v>
      </c>
      <c r="C23" s="20"/>
      <c r="D23" s="20"/>
      <c r="E23" s="6" t="s">
        <v>69</v>
      </c>
      <c r="F23" s="11" t="s">
        <v>1051</v>
      </c>
      <c r="G23" s="11" t="s">
        <v>1051</v>
      </c>
      <c r="H23" s="11" t="s">
        <v>1051</v>
      </c>
      <c r="I23" s="11" t="s">
        <v>1051</v>
      </c>
      <c r="J23" s="11" t="s">
        <v>1051</v>
      </c>
      <c r="K23" s="11" t="s">
        <v>1051</v>
      </c>
      <c r="L23" s="11" t="s">
        <v>69</v>
      </c>
      <c r="M23" s="11" t="s">
        <v>69</v>
      </c>
      <c r="N23" s="11" t="s">
        <v>69</v>
      </c>
      <c r="O23" s="11" t="s">
        <v>69</v>
      </c>
      <c r="P23" s="11" t="s">
        <v>69</v>
      </c>
      <c r="Q23" s="11" t="s">
        <v>69</v>
      </c>
      <c r="R23" s="11" t="s">
        <v>69</v>
      </c>
      <c r="S23" s="11" t="s">
        <v>69</v>
      </c>
      <c r="T23" s="11" t="s">
        <v>69</v>
      </c>
      <c r="U23" s="11" t="s">
        <v>69</v>
      </c>
      <c r="V23" s="12" t="s">
        <v>69</v>
      </c>
    </row>
    <row r="24" ht="18"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18"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3"/>
    <mergeCell ref="A14:A21"/>
    <mergeCell ref="A22:A25"/>
  </mergeCells>
  <dataValidations count="3">
    <dataValidation type="list" allowBlank="1" sqref="F21:V21 F10:V13 F15:V19 F8:V9">
      <formula1>"O,-"</formula1>
    </dataValidation>
    <dataValidation type="list" allowBlank="1" sqref="F22:V22">
      <formula1>"N,A,B"</formula1>
    </dataValidation>
    <dataValidation type="list" allowBlank="1" sqref="F23:V23">
      <formula1>"P,F"</formula1>
    </dataValidation>
  </dataValidations>
  <pageMargins left="0.7" right="0.7" top="0.75" bottom="0.75" header="0.3" footer="0.3"/>
  <pageSetup paperSize="1" orientation="portrait" useFirstPageNumber="1"/>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413</v>
      </c>
      <c r="C1" s="2"/>
      <c r="D1" s="2"/>
      <c r="E1" s="2"/>
      <c r="F1" s="3" t="s">
        <v>1019</v>
      </c>
      <c r="G1" s="3"/>
      <c r="H1" s="3"/>
      <c r="I1" s="3"/>
      <c r="J1" s="3"/>
      <c r="K1" s="3"/>
      <c r="L1" s="4" t="s">
        <v>414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1690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4</v>
      </c>
      <c r="M5" s="11">
        <v>4</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1691</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1692</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1693</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1694</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1695</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1696</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1697</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1698</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65.5" customHeight="1" spans="1:22">
      <c r="A17" s="16"/>
      <c r="B17" s="6" t="s">
        <v>69</v>
      </c>
      <c r="C17" s="6" t="s">
        <v>69</v>
      </c>
      <c r="D17" s="18" t="s">
        <v>1699</v>
      </c>
      <c r="E17" s="6" t="s">
        <v>69</v>
      </c>
      <c r="F17" s="11" t="s">
        <v>1032</v>
      </c>
      <c r="G17" s="11" t="s">
        <v>1036</v>
      </c>
      <c r="H17" s="11" t="s">
        <v>1036</v>
      </c>
      <c r="I17" s="11" t="s">
        <v>1036</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65.5" customHeight="1" spans="1:22">
      <c r="A18" s="16"/>
      <c r="B18" s="6" t="s">
        <v>69</v>
      </c>
      <c r="C18" s="6" t="s">
        <v>69</v>
      </c>
      <c r="D18" s="18" t="s">
        <v>1700</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53" customHeight="1" spans="1:22">
      <c r="A19" s="16"/>
      <c r="B19" s="6" t="s">
        <v>69</v>
      </c>
      <c r="C19" s="6" t="s">
        <v>69</v>
      </c>
      <c r="D19" s="18" t="s">
        <v>1701</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53" customHeight="1" spans="1:22">
      <c r="A20" s="16"/>
      <c r="B20" s="6" t="s">
        <v>69</v>
      </c>
      <c r="C20" s="6" t="s">
        <v>69</v>
      </c>
      <c r="D20" s="18" t="s">
        <v>1702</v>
      </c>
      <c r="E20" s="6" t="s">
        <v>69</v>
      </c>
      <c r="F20" s="11" t="s">
        <v>1036</v>
      </c>
      <c r="G20" s="11" t="s">
        <v>1036</v>
      </c>
      <c r="H20" s="11" t="s">
        <v>1036</v>
      </c>
      <c r="I20" s="11" t="s">
        <v>1032</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40.5" customHeight="1" spans="1:22">
      <c r="A21" s="16"/>
      <c r="B21" s="6" t="s">
        <v>69</v>
      </c>
      <c r="C21" s="6" t="s">
        <v>69</v>
      </c>
      <c r="D21" s="18" t="s">
        <v>1703</v>
      </c>
      <c r="E21" s="6" t="s">
        <v>69</v>
      </c>
      <c r="F21" s="11" t="s">
        <v>1036</v>
      </c>
      <c r="G21" s="11" t="s">
        <v>1036</v>
      </c>
      <c r="H21" s="11" t="s">
        <v>1036</v>
      </c>
      <c r="I21" s="11" t="s">
        <v>1036</v>
      </c>
      <c r="J21" s="11" t="s">
        <v>1032</v>
      </c>
      <c r="K21" s="11" t="s">
        <v>1036</v>
      </c>
      <c r="L21" s="11" t="s">
        <v>1036</v>
      </c>
      <c r="M21" s="11" t="s">
        <v>1036</v>
      </c>
      <c r="N21" s="11" t="s">
        <v>69</v>
      </c>
      <c r="O21" s="11" t="s">
        <v>69</v>
      </c>
      <c r="P21" s="11" t="s">
        <v>69</v>
      </c>
      <c r="Q21" s="11" t="s">
        <v>69</v>
      </c>
      <c r="R21" s="11" t="s">
        <v>69</v>
      </c>
      <c r="S21" s="11" t="s">
        <v>69</v>
      </c>
      <c r="T21" s="11" t="s">
        <v>69</v>
      </c>
      <c r="U21" s="11" t="s">
        <v>69</v>
      </c>
      <c r="V21" s="12" t="s">
        <v>69</v>
      </c>
    </row>
    <row r="22" ht="65.5" customHeight="1" spans="1:22">
      <c r="A22" s="16"/>
      <c r="B22" s="6" t="s">
        <v>69</v>
      </c>
      <c r="C22" s="6" t="s">
        <v>69</v>
      </c>
      <c r="D22" s="18" t="s">
        <v>1704</v>
      </c>
      <c r="E22" s="6" t="s">
        <v>69</v>
      </c>
      <c r="F22" s="11" t="s">
        <v>1036</v>
      </c>
      <c r="G22" s="11" t="s">
        <v>1036</v>
      </c>
      <c r="H22" s="11" t="s">
        <v>1036</v>
      </c>
      <c r="I22" s="11" t="s">
        <v>1036</v>
      </c>
      <c r="J22" s="11" t="s">
        <v>1036</v>
      </c>
      <c r="K22" s="11" t="s">
        <v>1032</v>
      </c>
      <c r="L22" s="11" t="s">
        <v>1036</v>
      </c>
      <c r="M22" s="11" t="s">
        <v>1036</v>
      </c>
      <c r="N22" s="11" t="s">
        <v>69</v>
      </c>
      <c r="O22" s="11" t="s">
        <v>69</v>
      </c>
      <c r="P22" s="11" t="s">
        <v>69</v>
      </c>
      <c r="Q22" s="11" t="s">
        <v>69</v>
      </c>
      <c r="R22" s="11" t="s">
        <v>69</v>
      </c>
      <c r="S22" s="11" t="s">
        <v>69</v>
      </c>
      <c r="T22" s="11" t="s">
        <v>69</v>
      </c>
      <c r="U22" s="11" t="s">
        <v>69</v>
      </c>
      <c r="V22" s="12" t="s">
        <v>69</v>
      </c>
    </row>
    <row r="23" ht="65.5" customHeight="1" spans="1:22">
      <c r="A23" s="16"/>
      <c r="B23" s="6" t="s">
        <v>69</v>
      </c>
      <c r="C23" s="6" t="s">
        <v>69</v>
      </c>
      <c r="D23" s="18" t="s">
        <v>1705</v>
      </c>
      <c r="E23" s="6" t="s">
        <v>69</v>
      </c>
      <c r="F23" s="11" t="s">
        <v>1036</v>
      </c>
      <c r="G23" s="11" t="s">
        <v>1036</v>
      </c>
      <c r="H23" s="11" t="s">
        <v>1036</v>
      </c>
      <c r="I23" s="11" t="s">
        <v>1036</v>
      </c>
      <c r="J23" s="11" t="s">
        <v>1036</v>
      </c>
      <c r="K23" s="11" t="s">
        <v>1036</v>
      </c>
      <c r="L23" s="11" t="s">
        <v>1032</v>
      </c>
      <c r="M23" s="11" t="s">
        <v>1036</v>
      </c>
      <c r="N23" s="11" t="s">
        <v>69</v>
      </c>
      <c r="O23" s="11" t="s">
        <v>69</v>
      </c>
      <c r="P23" s="11" t="s">
        <v>69</v>
      </c>
      <c r="Q23" s="11" t="s">
        <v>69</v>
      </c>
      <c r="R23" s="11" t="s">
        <v>69</v>
      </c>
      <c r="S23" s="11" t="s">
        <v>69</v>
      </c>
      <c r="T23" s="11" t="s">
        <v>69</v>
      </c>
      <c r="U23" s="11" t="s">
        <v>69</v>
      </c>
      <c r="V23" s="12" t="s">
        <v>69</v>
      </c>
    </row>
    <row r="24" ht="53" customHeight="1" spans="1:22">
      <c r="A24" s="16"/>
      <c r="B24" s="6" t="s">
        <v>69</v>
      </c>
      <c r="C24" s="6" t="s">
        <v>69</v>
      </c>
      <c r="D24" s="18" t="s">
        <v>1706</v>
      </c>
      <c r="E24" s="6" t="s">
        <v>69</v>
      </c>
      <c r="F24" s="11" t="s">
        <v>1036</v>
      </c>
      <c r="G24" s="11" t="s">
        <v>1036</v>
      </c>
      <c r="H24" s="11" t="s">
        <v>1036</v>
      </c>
      <c r="I24" s="11" t="s">
        <v>1036</v>
      </c>
      <c r="J24" s="11" t="s">
        <v>1036</v>
      </c>
      <c r="K24" s="11" t="s">
        <v>1036</v>
      </c>
      <c r="L24" s="11" t="s">
        <v>1036</v>
      </c>
      <c r="M24" s="11" t="s">
        <v>1032</v>
      </c>
      <c r="N24" s="11" t="s">
        <v>69</v>
      </c>
      <c r="O24" s="11" t="s">
        <v>69</v>
      </c>
      <c r="P24" s="11" t="s">
        <v>69</v>
      </c>
      <c r="Q24" s="11" t="s">
        <v>69</v>
      </c>
      <c r="R24" s="11" t="s">
        <v>69</v>
      </c>
      <c r="S24" s="11" t="s">
        <v>69</v>
      </c>
      <c r="T24" s="11" t="s">
        <v>69</v>
      </c>
      <c r="U24" s="11" t="s">
        <v>69</v>
      </c>
      <c r="V24" s="12" t="s">
        <v>69</v>
      </c>
    </row>
    <row r="25" ht="18" customHeight="1" spans="1:22">
      <c r="A25" s="19" t="s">
        <v>1048</v>
      </c>
      <c r="B25" s="20" t="s">
        <v>1049</v>
      </c>
      <c r="C25" s="20"/>
      <c r="D25" s="20"/>
      <c r="E25" s="6" t="s">
        <v>69</v>
      </c>
      <c r="F25" s="11" t="s">
        <v>63</v>
      </c>
      <c r="G25" s="11" t="s">
        <v>63</v>
      </c>
      <c r="H25" s="11" t="s">
        <v>1008</v>
      </c>
      <c r="I25" s="11" t="s">
        <v>63</v>
      </c>
      <c r="J25" s="11" t="s">
        <v>63</v>
      </c>
      <c r="K25" s="11" t="s">
        <v>1008</v>
      </c>
      <c r="L25" s="11" t="s">
        <v>1008</v>
      </c>
      <c r="M25" s="11" t="s">
        <v>1008</v>
      </c>
      <c r="N25" s="11" t="s">
        <v>69</v>
      </c>
      <c r="O25" s="11" t="s">
        <v>69</v>
      </c>
      <c r="P25" s="11" t="s">
        <v>69</v>
      </c>
      <c r="Q25" s="11" t="s">
        <v>69</v>
      </c>
      <c r="R25" s="11" t="s">
        <v>69</v>
      </c>
      <c r="S25" s="11" t="s">
        <v>69</v>
      </c>
      <c r="T25" s="11" t="s">
        <v>69</v>
      </c>
      <c r="U25" s="11" t="s">
        <v>69</v>
      </c>
      <c r="V25" s="12" t="s">
        <v>69</v>
      </c>
    </row>
    <row r="26" ht="18" customHeight="1" spans="1:22">
      <c r="A26" s="19"/>
      <c r="B26" s="20" t="s">
        <v>1050</v>
      </c>
      <c r="C26" s="20"/>
      <c r="D26" s="20"/>
      <c r="E26" s="6" t="s">
        <v>69</v>
      </c>
      <c r="F26" s="11" t="s">
        <v>1051</v>
      </c>
      <c r="G26" s="11" t="s">
        <v>1051</v>
      </c>
      <c r="H26" s="11" t="s">
        <v>1051</v>
      </c>
      <c r="I26" s="11" t="s">
        <v>1051</v>
      </c>
      <c r="J26" s="11" t="s">
        <v>1051</v>
      </c>
      <c r="K26" s="11" t="s">
        <v>1051</v>
      </c>
      <c r="L26" s="11" t="s">
        <v>1051</v>
      </c>
      <c r="M26" s="11" t="s">
        <v>1051</v>
      </c>
      <c r="N26" s="11" t="s">
        <v>69</v>
      </c>
      <c r="O26" s="11" t="s">
        <v>69</v>
      </c>
      <c r="P26" s="11" t="s">
        <v>69</v>
      </c>
      <c r="Q26" s="11" t="s">
        <v>69</v>
      </c>
      <c r="R26" s="11" t="s">
        <v>69</v>
      </c>
      <c r="S26" s="11" t="s">
        <v>69</v>
      </c>
      <c r="T26" s="11" t="s">
        <v>69</v>
      </c>
      <c r="U26" s="11" t="s">
        <v>69</v>
      </c>
      <c r="V26" s="12" t="s">
        <v>69</v>
      </c>
    </row>
    <row r="27" ht="18" customHeight="1" spans="1:22">
      <c r="A27" s="19"/>
      <c r="B27" s="20" t="s">
        <v>1052</v>
      </c>
      <c r="C27" s="20"/>
      <c r="D27" s="20"/>
      <c r="E27" s="6" t="s">
        <v>69</v>
      </c>
      <c r="F27" s="6" t="s">
        <v>69</v>
      </c>
      <c r="G27" s="6" t="s">
        <v>69</v>
      </c>
      <c r="H27" s="6" t="s">
        <v>69</v>
      </c>
      <c r="I27" s="6" t="s">
        <v>69</v>
      </c>
      <c r="J27" s="6" t="s">
        <v>69</v>
      </c>
      <c r="K27" s="6" t="s">
        <v>69</v>
      </c>
      <c r="L27" s="6" t="s">
        <v>69</v>
      </c>
      <c r="M27" s="6" t="s">
        <v>69</v>
      </c>
      <c r="N27" s="6" t="s">
        <v>69</v>
      </c>
      <c r="O27" s="6" t="s">
        <v>69</v>
      </c>
      <c r="P27" s="6" t="s">
        <v>69</v>
      </c>
      <c r="Q27" s="6" t="s">
        <v>69</v>
      </c>
      <c r="R27" s="6" t="s">
        <v>69</v>
      </c>
      <c r="S27" s="6" t="s">
        <v>69</v>
      </c>
      <c r="T27" s="6" t="s">
        <v>69</v>
      </c>
      <c r="U27" s="6" t="s">
        <v>69</v>
      </c>
      <c r="V27" s="8" t="s">
        <v>69</v>
      </c>
    </row>
    <row r="28" ht="18" customHeight="1" spans="1:22">
      <c r="A28" s="19"/>
      <c r="B28" s="21" t="s">
        <v>1053</v>
      </c>
      <c r="C28" s="21"/>
      <c r="D28" s="21"/>
      <c r="E28" s="22" t="s">
        <v>69</v>
      </c>
      <c r="F28" s="22" t="s">
        <v>69</v>
      </c>
      <c r="G28" s="22" t="s">
        <v>69</v>
      </c>
      <c r="H28" s="22" t="s">
        <v>69</v>
      </c>
      <c r="I28" s="22" t="s">
        <v>69</v>
      </c>
      <c r="J28" s="22" t="s">
        <v>69</v>
      </c>
      <c r="K28" s="22" t="s">
        <v>69</v>
      </c>
      <c r="L28" s="22" t="s">
        <v>69</v>
      </c>
      <c r="M28" s="22" t="s">
        <v>69</v>
      </c>
      <c r="N28" s="22" t="s">
        <v>69</v>
      </c>
      <c r="O28" s="22" t="s">
        <v>69</v>
      </c>
      <c r="P28" s="22" t="s">
        <v>69</v>
      </c>
      <c r="Q28" s="22" t="s">
        <v>69</v>
      </c>
      <c r="R28" s="22" t="s">
        <v>69</v>
      </c>
      <c r="S28" s="22" t="s">
        <v>69</v>
      </c>
      <c r="T28" s="22" t="s">
        <v>69</v>
      </c>
      <c r="U28" s="22" t="s">
        <v>69</v>
      </c>
      <c r="V2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5:D25"/>
    <mergeCell ref="B26:D26"/>
    <mergeCell ref="B27:D27"/>
    <mergeCell ref="B28:D28"/>
    <mergeCell ref="A7:A15"/>
    <mergeCell ref="A16:A24"/>
    <mergeCell ref="A25:A28"/>
  </mergeCells>
  <dataValidations count="3">
    <dataValidation type="list" allowBlank="1" sqref="F25:V25">
      <formula1>"N,A,B"</formula1>
    </dataValidation>
    <dataValidation type="list" allowBlank="1" sqref="F26:V26">
      <formula1>"P,F"</formula1>
    </dataValidation>
    <dataValidation type="list" allowBlank="1" sqref="F10:V15 F17:V24 F8:V9">
      <formula1>"O,-"</formula1>
    </dataValidation>
  </dataValidations>
  <pageMargins left="0.7" right="0.7" top="0.75" bottom="0.75" header="0.3" footer="0.3"/>
  <pageSetup paperSize="1" orientation="portrait" useFirstPageNumber="1"/>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419</v>
      </c>
      <c r="C1" s="2"/>
      <c r="D1" s="2"/>
      <c r="E1" s="2"/>
      <c r="F1" s="3" t="s">
        <v>1019</v>
      </c>
      <c r="G1" s="3"/>
      <c r="H1" s="3"/>
      <c r="I1" s="3"/>
      <c r="J1" s="3"/>
      <c r="K1" s="3"/>
      <c r="L1" s="4" t="s">
        <v>420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1707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12</v>
      </c>
      <c r="B5" s="11"/>
      <c r="C5" s="11">
        <v>0</v>
      </c>
      <c r="D5" s="11"/>
      <c r="E5" s="11"/>
      <c r="F5" s="11">
        <v>0</v>
      </c>
      <c r="G5" s="11"/>
      <c r="H5" s="11"/>
      <c r="I5" s="11"/>
      <c r="J5" s="11"/>
      <c r="K5" s="11"/>
      <c r="L5" s="11">
        <v>10</v>
      </c>
      <c r="M5" s="11">
        <v>1</v>
      </c>
      <c r="N5" s="11">
        <v>1</v>
      </c>
      <c r="O5" s="12">
        <v>12</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1709</v>
      </c>
      <c r="P6" s="14" t="s">
        <v>1710</v>
      </c>
      <c r="Q6" s="14" t="s">
        <v>1711</v>
      </c>
      <c r="R6" s="14" t="s">
        <v>69</v>
      </c>
      <c r="S6" s="14" t="s">
        <v>69</v>
      </c>
      <c r="T6" s="14" t="s">
        <v>69</v>
      </c>
      <c r="U6" s="14" t="s">
        <v>69</v>
      </c>
      <c r="V6" s="15" t="s">
        <v>69</v>
      </c>
    </row>
    <row r="7" ht="15.5" customHeight="1" spans="1:22">
      <c r="A7" s="16" t="s">
        <v>1029</v>
      </c>
      <c r="B7" s="17" t="s">
        <v>1061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1712</v>
      </c>
      <c r="E8" s="6" t="s">
        <v>69</v>
      </c>
      <c r="F8" s="11" t="s">
        <v>1032</v>
      </c>
      <c r="G8" s="11" t="s">
        <v>1036</v>
      </c>
      <c r="H8" s="11" t="s">
        <v>1036</v>
      </c>
      <c r="I8" s="11" t="s">
        <v>1036</v>
      </c>
      <c r="J8" s="11" t="s">
        <v>1036</v>
      </c>
      <c r="K8" s="11" t="s">
        <v>1036</v>
      </c>
      <c r="L8" s="11" t="s">
        <v>1036</v>
      </c>
      <c r="M8" s="11" t="s">
        <v>1036</v>
      </c>
      <c r="N8" s="11" t="s">
        <v>1036</v>
      </c>
      <c r="O8" s="11" t="s">
        <v>1036</v>
      </c>
      <c r="P8" s="11" t="s">
        <v>1036</v>
      </c>
      <c r="Q8" s="11" t="s">
        <v>1036</v>
      </c>
      <c r="R8" s="11" t="s">
        <v>69</v>
      </c>
      <c r="S8" s="11" t="s">
        <v>69</v>
      </c>
      <c r="T8" s="11" t="s">
        <v>69</v>
      </c>
      <c r="U8" s="11" t="s">
        <v>69</v>
      </c>
      <c r="V8" s="12" t="s">
        <v>69</v>
      </c>
    </row>
    <row r="9" ht="28" customHeight="1" spans="1:22">
      <c r="A9" s="16"/>
      <c r="B9" s="6" t="s">
        <v>69</v>
      </c>
      <c r="C9" s="6" t="s">
        <v>69</v>
      </c>
      <c r="D9" s="18" t="s">
        <v>1713</v>
      </c>
      <c r="E9" s="6" t="s">
        <v>69</v>
      </c>
      <c r="F9" s="11" t="s">
        <v>1036</v>
      </c>
      <c r="G9" s="11" t="s">
        <v>1032</v>
      </c>
      <c r="H9" s="11" t="s">
        <v>1036</v>
      </c>
      <c r="I9" s="11" t="s">
        <v>1036</v>
      </c>
      <c r="J9" s="11" t="s">
        <v>1036</v>
      </c>
      <c r="K9" s="11" t="s">
        <v>1036</v>
      </c>
      <c r="L9" s="11" t="s">
        <v>1036</v>
      </c>
      <c r="M9" s="11" t="s">
        <v>1036</v>
      </c>
      <c r="N9" s="11" t="s">
        <v>1036</v>
      </c>
      <c r="O9" s="11" t="s">
        <v>1036</v>
      </c>
      <c r="P9" s="11" t="s">
        <v>1036</v>
      </c>
      <c r="Q9" s="11" t="s">
        <v>1036</v>
      </c>
      <c r="R9" s="11" t="s">
        <v>69</v>
      </c>
      <c r="S9" s="11" t="s">
        <v>69</v>
      </c>
      <c r="T9" s="11" t="s">
        <v>69</v>
      </c>
      <c r="U9" s="11" t="s">
        <v>69</v>
      </c>
      <c r="V9" s="12" t="s">
        <v>69</v>
      </c>
    </row>
    <row r="10" ht="40.5" customHeight="1" spans="1:22">
      <c r="A10" s="16"/>
      <c r="B10" s="6" t="s">
        <v>69</v>
      </c>
      <c r="C10" s="6" t="s">
        <v>69</v>
      </c>
      <c r="D10" s="18" t="s">
        <v>1714</v>
      </c>
      <c r="E10" s="6" t="s">
        <v>69</v>
      </c>
      <c r="F10" s="11" t="s">
        <v>1036</v>
      </c>
      <c r="G10" s="11" t="s">
        <v>1036</v>
      </c>
      <c r="H10" s="11" t="s">
        <v>1032</v>
      </c>
      <c r="I10" s="11" t="s">
        <v>1036</v>
      </c>
      <c r="J10" s="11" t="s">
        <v>1036</v>
      </c>
      <c r="K10" s="11" t="s">
        <v>1036</v>
      </c>
      <c r="L10" s="11" t="s">
        <v>1036</v>
      </c>
      <c r="M10" s="11" t="s">
        <v>1036</v>
      </c>
      <c r="N10" s="11" t="s">
        <v>1036</v>
      </c>
      <c r="O10" s="11" t="s">
        <v>1036</v>
      </c>
      <c r="P10" s="11" t="s">
        <v>1036</v>
      </c>
      <c r="Q10" s="11" t="s">
        <v>1036</v>
      </c>
      <c r="R10" s="11" t="s">
        <v>69</v>
      </c>
      <c r="S10" s="11" t="s">
        <v>69</v>
      </c>
      <c r="T10" s="11" t="s">
        <v>69</v>
      </c>
      <c r="U10" s="11" t="s">
        <v>69</v>
      </c>
      <c r="V10" s="12" t="s">
        <v>69</v>
      </c>
    </row>
    <row r="11" ht="65.5" customHeight="1" spans="1:22">
      <c r="A11" s="16"/>
      <c r="B11" s="6" t="s">
        <v>69</v>
      </c>
      <c r="C11" s="6" t="s">
        <v>69</v>
      </c>
      <c r="D11" s="18" t="s">
        <v>1715</v>
      </c>
      <c r="E11" s="6" t="s">
        <v>69</v>
      </c>
      <c r="F11" s="11" t="s">
        <v>1036</v>
      </c>
      <c r="G11" s="11" t="s">
        <v>1036</v>
      </c>
      <c r="H11" s="11" t="s">
        <v>1036</v>
      </c>
      <c r="I11" s="11" t="s">
        <v>1032</v>
      </c>
      <c r="J11" s="11" t="s">
        <v>1036</v>
      </c>
      <c r="K11" s="11" t="s">
        <v>1036</v>
      </c>
      <c r="L11" s="11" t="s">
        <v>1036</v>
      </c>
      <c r="M11" s="11" t="s">
        <v>1036</v>
      </c>
      <c r="N11" s="11" t="s">
        <v>1036</v>
      </c>
      <c r="O11" s="11" t="s">
        <v>1036</v>
      </c>
      <c r="P11" s="11" t="s">
        <v>1036</v>
      </c>
      <c r="Q11" s="11" t="s">
        <v>1036</v>
      </c>
      <c r="R11" s="11" t="s">
        <v>69</v>
      </c>
      <c r="S11" s="11" t="s">
        <v>69</v>
      </c>
      <c r="T11" s="11" t="s">
        <v>69</v>
      </c>
      <c r="U11" s="11" t="s">
        <v>69</v>
      </c>
      <c r="V11" s="12" t="s">
        <v>69</v>
      </c>
    </row>
    <row r="12" ht="53" customHeight="1" spans="1:22">
      <c r="A12" s="16"/>
      <c r="B12" s="6" t="s">
        <v>69</v>
      </c>
      <c r="C12" s="6" t="s">
        <v>69</v>
      </c>
      <c r="D12" s="18" t="s">
        <v>1716</v>
      </c>
      <c r="E12" s="6" t="s">
        <v>69</v>
      </c>
      <c r="F12" s="11" t="s">
        <v>1036</v>
      </c>
      <c r="G12" s="11" t="s">
        <v>1036</v>
      </c>
      <c r="H12" s="11" t="s">
        <v>1036</v>
      </c>
      <c r="I12" s="11" t="s">
        <v>1036</v>
      </c>
      <c r="J12" s="11" t="s">
        <v>1032</v>
      </c>
      <c r="K12" s="11" t="s">
        <v>1036</v>
      </c>
      <c r="L12" s="11" t="s">
        <v>1036</v>
      </c>
      <c r="M12" s="11" t="s">
        <v>1036</v>
      </c>
      <c r="N12" s="11" t="s">
        <v>1036</v>
      </c>
      <c r="O12" s="11" t="s">
        <v>1036</v>
      </c>
      <c r="P12" s="11" t="s">
        <v>1036</v>
      </c>
      <c r="Q12" s="11" t="s">
        <v>1036</v>
      </c>
      <c r="R12" s="11" t="s">
        <v>69</v>
      </c>
      <c r="S12" s="11" t="s">
        <v>69</v>
      </c>
      <c r="T12" s="11" t="s">
        <v>69</v>
      </c>
      <c r="U12" s="11" t="s">
        <v>69</v>
      </c>
      <c r="V12" s="12" t="s">
        <v>69</v>
      </c>
    </row>
    <row r="13" ht="65.5" customHeight="1" spans="1:22">
      <c r="A13" s="16"/>
      <c r="B13" s="6" t="s">
        <v>69</v>
      </c>
      <c r="C13" s="6" t="s">
        <v>69</v>
      </c>
      <c r="D13" s="18" t="s">
        <v>1717</v>
      </c>
      <c r="E13" s="6" t="s">
        <v>69</v>
      </c>
      <c r="F13" s="11" t="s">
        <v>1036</v>
      </c>
      <c r="G13" s="11" t="s">
        <v>1036</v>
      </c>
      <c r="H13" s="11" t="s">
        <v>1036</v>
      </c>
      <c r="I13" s="11" t="s">
        <v>1036</v>
      </c>
      <c r="J13" s="11" t="s">
        <v>1036</v>
      </c>
      <c r="K13" s="11" t="s">
        <v>1032</v>
      </c>
      <c r="L13" s="11" t="s">
        <v>1036</v>
      </c>
      <c r="M13" s="11" t="s">
        <v>1036</v>
      </c>
      <c r="N13" s="11" t="s">
        <v>1036</v>
      </c>
      <c r="O13" s="11" t="s">
        <v>1036</v>
      </c>
      <c r="P13" s="11" t="s">
        <v>1036</v>
      </c>
      <c r="Q13" s="11" t="s">
        <v>1036</v>
      </c>
      <c r="R13" s="11" t="s">
        <v>69</v>
      </c>
      <c r="S13" s="11" t="s">
        <v>69</v>
      </c>
      <c r="T13" s="11" t="s">
        <v>69</v>
      </c>
      <c r="U13" s="11" t="s">
        <v>69</v>
      </c>
      <c r="V13" s="12" t="s">
        <v>69</v>
      </c>
    </row>
    <row r="14" ht="78" customHeight="1" spans="1:22">
      <c r="A14" s="16"/>
      <c r="B14" s="6" t="s">
        <v>69</v>
      </c>
      <c r="C14" s="6" t="s">
        <v>69</v>
      </c>
      <c r="D14" s="18" t="s">
        <v>1718</v>
      </c>
      <c r="E14" s="6" t="s">
        <v>69</v>
      </c>
      <c r="F14" s="11" t="s">
        <v>1036</v>
      </c>
      <c r="G14" s="11" t="s">
        <v>1036</v>
      </c>
      <c r="H14" s="11" t="s">
        <v>1036</v>
      </c>
      <c r="I14" s="11" t="s">
        <v>1036</v>
      </c>
      <c r="J14" s="11" t="s">
        <v>1036</v>
      </c>
      <c r="K14" s="11" t="s">
        <v>1036</v>
      </c>
      <c r="L14" s="11" t="s">
        <v>1032</v>
      </c>
      <c r="M14" s="11" t="s">
        <v>1036</v>
      </c>
      <c r="N14" s="11" t="s">
        <v>1036</v>
      </c>
      <c r="O14" s="11" t="s">
        <v>1036</v>
      </c>
      <c r="P14" s="11" t="s">
        <v>1036</v>
      </c>
      <c r="Q14" s="11" t="s">
        <v>1036</v>
      </c>
      <c r="R14" s="11" t="s">
        <v>69</v>
      </c>
      <c r="S14" s="11" t="s">
        <v>69</v>
      </c>
      <c r="T14" s="11" t="s">
        <v>69</v>
      </c>
      <c r="U14" s="11" t="s">
        <v>69</v>
      </c>
      <c r="V14" s="12" t="s">
        <v>69</v>
      </c>
    </row>
    <row r="15" ht="53" customHeight="1" spans="1:22">
      <c r="A15" s="16"/>
      <c r="B15" s="6" t="s">
        <v>69</v>
      </c>
      <c r="C15" s="6" t="s">
        <v>69</v>
      </c>
      <c r="D15" s="18" t="s">
        <v>1719</v>
      </c>
      <c r="E15" s="6" t="s">
        <v>69</v>
      </c>
      <c r="F15" s="11" t="s">
        <v>1036</v>
      </c>
      <c r="G15" s="11" t="s">
        <v>1036</v>
      </c>
      <c r="H15" s="11" t="s">
        <v>1036</v>
      </c>
      <c r="I15" s="11" t="s">
        <v>1036</v>
      </c>
      <c r="J15" s="11" t="s">
        <v>1036</v>
      </c>
      <c r="K15" s="11" t="s">
        <v>1036</v>
      </c>
      <c r="L15" s="11" t="s">
        <v>1036</v>
      </c>
      <c r="M15" s="11" t="s">
        <v>1032</v>
      </c>
      <c r="N15" s="11" t="s">
        <v>1036</v>
      </c>
      <c r="O15" s="11" t="s">
        <v>1036</v>
      </c>
      <c r="P15" s="11" t="s">
        <v>1036</v>
      </c>
      <c r="Q15" s="11" t="s">
        <v>1036</v>
      </c>
      <c r="R15" s="11" t="s">
        <v>69</v>
      </c>
      <c r="S15" s="11" t="s">
        <v>69</v>
      </c>
      <c r="T15" s="11" t="s">
        <v>69</v>
      </c>
      <c r="U15" s="11" t="s">
        <v>69</v>
      </c>
      <c r="V15" s="12" t="s">
        <v>69</v>
      </c>
    </row>
    <row r="16" ht="53" customHeight="1" spans="1:22">
      <c r="A16" s="16"/>
      <c r="B16" s="6" t="s">
        <v>69</v>
      </c>
      <c r="C16" s="6" t="s">
        <v>69</v>
      </c>
      <c r="D16" s="18" t="s">
        <v>1720</v>
      </c>
      <c r="E16" s="6" t="s">
        <v>69</v>
      </c>
      <c r="F16" s="11" t="s">
        <v>1036</v>
      </c>
      <c r="G16" s="11" t="s">
        <v>1036</v>
      </c>
      <c r="H16" s="11" t="s">
        <v>1036</v>
      </c>
      <c r="I16" s="11" t="s">
        <v>1036</v>
      </c>
      <c r="J16" s="11" t="s">
        <v>1036</v>
      </c>
      <c r="K16" s="11" t="s">
        <v>1036</v>
      </c>
      <c r="L16" s="11" t="s">
        <v>1036</v>
      </c>
      <c r="M16" s="11" t="s">
        <v>1036</v>
      </c>
      <c r="N16" s="11" t="s">
        <v>1032</v>
      </c>
      <c r="O16" s="11" t="s">
        <v>1036</v>
      </c>
      <c r="P16" s="11" t="s">
        <v>1036</v>
      </c>
      <c r="Q16" s="11" t="s">
        <v>1036</v>
      </c>
      <c r="R16" s="11" t="s">
        <v>69</v>
      </c>
      <c r="S16" s="11" t="s">
        <v>69</v>
      </c>
      <c r="T16" s="11" t="s">
        <v>69</v>
      </c>
      <c r="U16" s="11" t="s">
        <v>69</v>
      </c>
      <c r="V16" s="12" t="s">
        <v>69</v>
      </c>
    </row>
    <row r="17" ht="53" customHeight="1" spans="1:22">
      <c r="A17" s="16"/>
      <c r="B17" s="6" t="s">
        <v>69</v>
      </c>
      <c r="C17" s="6" t="s">
        <v>69</v>
      </c>
      <c r="D17" s="18" t="s">
        <v>1721</v>
      </c>
      <c r="E17" s="6" t="s">
        <v>69</v>
      </c>
      <c r="F17" s="11" t="s">
        <v>1036</v>
      </c>
      <c r="G17" s="11" t="s">
        <v>1036</v>
      </c>
      <c r="H17" s="11" t="s">
        <v>1036</v>
      </c>
      <c r="I17" s="11" t="s">
        <v>1036</v>
      </c>
      <c r="J17" s="11" t="s">
        <v>1036</v>
      </c>
      <c r="K17" s="11" t="s">
        <v>1036</v>
      </c>
      <c r="L17" s="11" t="s">
        <v>1036</v>
      </c>
      <c r="M17" s="11" t="s">
        <v>1036</v>
      </c>
      <c r="N17" s="11" t="s">
        <v>1036</v>
      </c>
      <c r="O17" s="11" t="s">
        <v>1032</v>
      </c>
      <c r="P17" s="11" t="s">
        <v>1036</v>
      </c>
      <c r="Q17" s="11" t="s">
        <v>1036</v>
      </c>
      <c r="R17" s="11" t="s">
        <v>69</v>
      </c>
      <c r="S17" s="11" t="s">
        <v>69</v>
      </c>
      <c r="T17" s="11" t="s">
        <v>69</v>
      </c>
      <c r="U17" s="11" t="s">
        <v>69</v>
      </c>
      <c r="V17" s="12" t="s">
        <v>69</v>
      </c>
    </row>
    <row r="18" ht="53" customHeight="1" spans="1:22">
      <c r="A18" s="16"/>
      <c r="B18" s="6" t="s">
        <v>69</v>
      </c>
      <c r="C18" s="6" t="s">
        <v>69</v>
      </c>
      <c r="D18" s="18" t="s">
        <v>1722</v>
      </c>
      <c r="E18" s="6" t="s">
        <v>69</v>
      </c>
      <c r="F18" s="11" t="s">
        <v>1036</v>
      </c>
      <c r="G18" s="11" t="s">
        <v>1036</v>
      </c>
      <c r="H18" s="11" t="s">
        <v>1036</v>
      </c>
      <c r="I18" s="11" t="s">
        <v>1036</v>
      </c>
      <c r="J18" s="11" t="s">
        <v>1036</v>
      </c>
      <c r="K18" s="11" t="s">
        <v>1036</v>
      </c>
      <c r="L18" s="11" t="s">
        <v>1036</v>
      </c>
      <c r="M18" s="11" t="s">
        <v>1036</v>
      </c>
      <c r="N18" s="11" t="s">
        <v>1036</v>
      </c>
      <c r="O18" s="11" t="s">
        <v>1036</v>
      </c>
      <c r="P18" s="11" t="s">
        <v>1032</v>
      </c>
      <c r="Q18" s="11" t="s">
        <v>1036</v>
      </c>
      <c r="R18" s="11" t="s">
        <v>69</v>
      </c>
      <c r="S18" s="11" t="s">
        <v>69</v>
      </c>
      <c r="T18" s="11" t="s">
        <v>69</v>
      </c>
      <c r="U18" s="11" t="s">
        <v>69</v>
      </c>
      <c r="V18" s="12" t="s">
        <v>69</v>
      </c>
    </row>
    <row r="19" ht="40.5" customHeight="1" spans="1:22">
      <c r="A19" s="16"/>
      <c r="B19" s="6" t="s">
        <v>69</v>
      </c>
      <c r="C19" s="6" t="s">
        <v>69</v>
      </c>
      <c r="D19" s="18" t="s">
        <v>1723</v>
      </c>
      <c r="E19" s="6" t="s">
        <v>69</v>
      </c>
      <c r="F19" s="11" t="s">
        <v>1036</v>
      </c>
      <c r="G19" s="11" t="s">
        <v>1036</v>
      </c>
      <c r="H19" s="11" t="s">
        <v>1036</v>
      </c>
      <c r="I19" s="11" t="s">
        <v>1036</v>
      </c>
      <c r="J19" s="11" t="s">
        <v>1036</v>
      </c>
      <c r="K19" s="11" t="s">
        <v>1036</v>
      </c>
      <c r="L19" s="11" t="s">
        <v>1036</v>
      </c>
      <c r="M19" s="11" t="s">
        <v>1036</v>
      </c>
      <c r="N19" s="11" t="s">
        <v>1036</v>
      </c>
      <c r="O19" s="11" t="s">
        <v>1036</v>
      </c>
      <c r="P19" s="11" t="s">
        <v>1036</v>
      </c>
      <c r="Q19" s="11" t="s">
        <v>1032</v>
      </c>
      <c r="R19" s="11" t="s">
        <v>69</v>
      </c>
      <c r="S19" s="11" t="s">
        <v>69</v>
      </c>
      <c r="T19" s="11" t="s">
        <v>69</v>
      </c>
      <c r="U19" s="11" t="s">
        <v>69</v>
      </c>
      <c r="V19" s="12" t="s">
        <v>69</v>
      </c>
    </row>
    <row r="20" ht="15.5" customHeight="1" spans="1:22">
      <c r="A20" s="16" t="s">
        <v>1039</v>
      </c>
      <c r="B20" s="17" t="s">
        <v>1040</v>
      </c>
      <c r="C20" s="6" t="s">
        <v>69</v>
      </c>
      <c r="D20" s="6" t="s">
        <v>69</v>
      </c>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53" customHeight="1" spans="1:22">
      <c r="A21" s="16"/>
      <c r="B21" s="6" t="s">
        <v>69</v>
      </c>
      <c r="C21" s="6" t="s">
        <v>69</v>
      </c>
      <c r="D21" s="18" t="s">
        <v>1724</v>
      </c>
      <c r="E21" s="6" t="s">
        <v>69</v>
      </c>
      <c r="F21" s="11" t="s">
        <v>1032</v>
      </c>
      <c r="G21" s="11" t="s">
        <v>1036</v>
      </c>
      <c r="H21" s="11" t="s">
        <v>1036</v>
      </c>
      <c r="I21" s="11" t="s">
        <v>1036</v>
      </c>
      <c r="J21" s="11" t="s">
        <v>1036</v>
      </c>
      <c r="K21" s="11" t="s">
        <v>1036</v>
      </c>
      <c r="L21" s="11" t="s">
        <v>1036</v>
      </c>
      <c r="M21" s="11" t="s">
        <v>1036</v>
      </c>
      <c r="N21" s="11" t="s">
        <v>1036</v>
      </c>
      <c r="O21" s="11" t="s">
        <v>1036</v>
      </c>
      <c r="P21" s="11" t="s">
        <v>1036</v>
      </c>
      <c r="Q21" s="11" t="s">
        <v>1036</v>
      </c>
      <c r="R21" s="11" t="s">
        <v>69</v>
      </c>
      <c r="S21" s="11" t="s">
        <v>69</v>
      </c>
      <c r="T21" s="11" t="s">
        <v>69</v>
      </c>
      <c r="U21" s="11" t="s">
        <v>69</v>
      </c>
      <c r="V21" s="12" t="s">
        <v>69</v>
      </c>
    </row>
    <row r="22" ht="53" customHeight="1" spans="1:22">
      <c r="A22" s="16"/>
      <c r="B22" s="6" t="s">
        <v>69</v>
      </c>
      <c r="C22" s="6" t="s">
        <v>69</v>
      </c>
      <c r="D22" s="18" t="s">
        <v>1725</v>
      </c>
      <c r="E22" s="6" t="s">
        <v>69</v>
      </c>
      <c r="F22" s="11" t="s">
        <v>1036</v>
      </c>
      <c r="G22" s="11" t="s">
        <v>1032</v>
      </c>
      <c r="H22" s="11" t="s">
        <v>1036</v>
      </c>
      <c r="I22" s="11" t="s">
        <v>1036</v>
      </c>
      <c r="J22" s="11" t="s">
        <v>1036</v>
      </c>
      <c r="K22" s="11" t="s">
        <v>1036</v>
      </c>
      <c r="L22" s="11" t="s">
        <v>1036</v>
      </c>
      <c r="M22" s="11" t="s">
        <v>1036</v>
      </c>
      <c r="N22" s="11" t="s">
        <v>1036</v>
      </c>
      <c r="O22" s="11" t="s">
        <v>1036</v>
      </c>
      <c r="P22" s="11" t="s">
        <v>1036</v>
      </c>
      <c r="Q22" s="11" t="s">
        <v>1036</v>
      </c>
      <c r="R22" s="11" t="s">
        <v>69</v>
      </c>
      <c r="S22" s="11" t="s">
        <v>69</v>
      </c>
      <c r="T22" s="11" t="s">
        <v>69</v>
      </c>
      <c r="U22" s="11" t="s">
        <v>69</v>
      </c>
      <c r="V22" s="12" t="s">
        <v>69</v>
      </c>
    </row>
    <row r="23" ht="53" customHeight="1" spans="1:22">
      <c r="A23" s="16"/>
      <c r="B23" s="6" t="s">
        <v>69</v>
      </c>
      <c r="C23" s="6" t="s">
        <v>69</v>
      </c>
      <c r="D23" s="18" t="s">
        <v>1726</v>
      </c>
      <c r="E23" s="6" t="s">
        <v>69</v>
      </c>
      <c r="F23" s="11" t="s">
        <v>1036</v>
      </c>
      <c r="G23" s="11" t="s">
        <v>1036</v>
      </c>
      <c r="H23" s="11" t="s">
        <v>1032</v>
      </c>
      <c r="I23" s="11" t="s">
        <v>1036</v>
      </c>
      <c r="J23" s="11" t="s">
        <v>1036</v>
      </c>
      <c r="K23" s="11" t="s">
        <v>1036</v>
      </c>
      <c r="L23" s="11" t="s">
        <v>1036</v>
      </c>
      <c r="M23" s="11" t="s">
        <v>1036</v>
      </c>
      <c r="N23" s="11" t="s">
        <v>1036</v>
      </c>
      <c r="O23" s="11" t="s">
        <v>1036</v>
      </c>
      <c r="P23" s="11" t="s">
        <v>1036</v>
      </c>
      <c r="Q23" s="11" t="s">
        <v>1036</v>
      </c>
      <c r="R23" s="11" t="s">
        <v>69</v>
      </c>
      <c r="S23" s="11" t="s">
        <v>69</v>
      </c>
      <c r="T23" s="11" t="s">
        <v>69</v>
      </c>
      <c r="U23" s="11" t="s">
        <v>69</v>
      </c>
      <c r="V23" s="12" t="s">
        <v>69</v>
      </c>
    </row>
    <row r="24" ht="53" customHeight="1" spans="1:22">
      <c r="A24" s="16"/>
      <c r="B24" s="6" t="s">
        <v>69</v>
      </c>
      <c r="C24" s="6" t="s">
        <v>69</v>
      </c>
      <c r="D24" s="18" t="s">
        <v>1727</v>
      </c>
      <c r="E24" s="6" t="s">
        <v>69</v>
      </c>
      <c r="F24" s="11" t="s">
        <v>1036</v>
      </c>
      <c r="G24" s="11" t="s">
        <v>1036</v>
      </c>
      <c r="H24" s="11" t="s">
        <v>1036</v>
      </c>
      <c r="I24" s="11" t="s">
        <v>1032</v>
      </c>
      <c r="J24" s="11" t="s">
        <v>1036</v>
      </c>
      <c r="K24" s="11" t="s">
        <v>1036</v>
      </c>
      <c r="L24" s="11" t="s">
        <v>1036</v>
      </c>
      <c r="M24" s="11" t="s">
        <v>1036</v>
      </c>
      <c r="N24" s="11" t="s">
        <v>1036</v>
      </c>
      <c r="O24" s="11" t="s">
        <v>1036</v>
      </c>
      <c r="P24" s="11" t="s">
        <v>1036</v>
      </c>
      <c r="Q24" s="11" t="s">
        <v>1036</v>
      </c>
      <c r="R24" s="11" t="s">
        <v>69</v>
      </c>
      <c r="S24" s="11" t="s">
        <v>69</v>
      </c>
      <c r="T24" s="11" t="s">
        <v>69</v>
      </c>
      <c r="U24" s="11" t="s">
        <v>69</v>
      </c>
      <c r="V24" s="12" t="s">
        <v>69</v>
      </c>
    </row>
    <row r="25" ht="65.5" customHeight="1" spans="1:22">
      <c r="A25" s="16"/>
      <c r="B25" s="6" t="s">
        <v>69</v>
      </c>
      <c r="C25" s="6" t="s">
        <v>69</v>
      </c>
      <c r="D25" s="18" t="s">
        <v>1728</v>
      </c>
      <c r="E25" s="6" t="s">
        <v>69</v>
      </c>
      <c r="F25" s="11" t="s">
        <v>1036</v>
      </c>
      <c r="G25" s="11" t="s">
        <v>1036</v>
      </c>
      <c r="H25" s="11" t="s">
        <v>1036</v>
      </c>
      <c r="I25" s="11" t="s">
        <v>1036</v>
      </c>
      <c r="J25" s="11" t="s">
        <v>1032</v>
      </c>
      <c r="K25" s="11" t="s">
        <v>1036</v>
      </c>
      <c r="L25" s="11" t="s">
        <v>1036</v>
      </c>
      <c r="M25" s="11" t="s">
        <v>1036</v>
      </c>
      <c r="N25" s="11" t="s">
        <v>1036</v>
      </c>
      <c r="O25" s="11" t="s">
        <v>1036</v>
      </c>
      <c r="P25" s="11" t="s">
        <v>1036</v>
      </c>
      <c r="Q25" s="11" t="s">
        <v>1036</v>
      </c>
      <c r="R25" s="11" t="s">
        <v>69</v>
      </c>
      <c r="S25" s="11" t="s">
        <v>69</v>
      </c>
      <c r="T25" s="11" t="s">
        <v>69</v>
      </c>
      <c r="U25" s="11" t="s">
        <v>69</v>
      </c>
      <c r="V25" s="12" t="s">
        <v>69</v>
      </c>
    </row>
    <row r="26" ht="115.5" customHeight="1" spans="1:22">
      <c r="A26" s="16"/>
      <c r="B26" s="6" t="s">
        <v>69</v>
      </c>
      <c r="C26" s="6" t="s">
        <v>69</v>
      </c>
      <c r="D26" s="18" t="s">
        <v>1729</v>
      </c>
      <c r="E26" s="6" t="s">
        <v>69</v>
      </c>
      <c r="F26" s="11" t="s">
        <v>1036</v>
      </c>
      <c r="G26" s="11" t="s">
        <v>1036</v>
      </c>
      <c r="H26" s="11" t="s">
        <v>1036</v>
      </c>
      <c r="I26" s="11" t="s">
        <v>1036</v>
      </c>
      <c r="J26" s="11" t="s">
        <v>1036</v>
      </c>
      <c r="K26" s="11" t="s">
        <v>1032</v>
      </c>
      <c r="L26" s="11" t="s">
        <v>1036</v>
      </c>
      <c r="M26" s="11" t="s">
        <v>1036</v>
      </c>
      <c r="N26" s="11" t="s">
        <v>1036</v>
      </c>
      <c r="O26" s="11" t="s">
        <v>1036</v>
      </c>
      <c r="P26" s="11" t="s">
        <v>1036</v>
      </c>
      <c r="Q26" s="11" t="s">
        <v>1036</v>
      </c>
      <c r="R26" s="11" t="s">
        <v>69</v>
      </c>
      <c r="S26" s="11" t="s">
        <v>69</v>
      </c>
      <c r="T26" s="11" t="s">
        <v>69</v>
      </c>
      <c r="U26" s="11" t="s">
        <v>69</v>
      </c>
      <c r="V26" s="12" t="s">
        <v>69</v>
      </c>
    </row>
    <row r="27" ht="128" customHeight="1" spans="1:22">
      <c r="A27" s="16"/>
      <c r="B27" s="6" t="s">
        <v>69</v>
      </c>
      <c r="C27" s="6" t="s">
        <v>69</v>
      </c>
      <c r="D27" s="18" t="s">
        <v>1730</v>
      </c>
      <c r="E27" s="6" t="s">
        <v>69</v>
      </c>
      <c r="F27" s="11" t="s">
        <v>1036</v>
      </c>
      <c r="G27" s="11" t="s">
        <v>1036</v>
      </c>
      <c r="H27" s="11" t="s">
        <v>1036</v>
      </c>
      <c r="I27" s="11" t="s">
        <v>1036</v>
      </c>
      <c r="J27" s="11" t="s">
        <v>1036</v>
      </c>
      <c r="K27" s="11" t="s">
        <v>1036</v>
      </c>
      <c r="L27" s="11" t="s">
        <v>1032</v>
      </c>
      <c r="M27" s="11" t="s">
        <v>1036</v>
      </c>
      <c r="N27" s="11" t="s">
        <v>1036</v>
      </c>
      <c r="O27" s="11" t="s">
        <v>1036</v>
      </c>
      <c r="P27" s="11" t="s">
        <v>1036</v>
      </c>
      <c r="Q27" s="11" t="s">
        <v>1036</v>
      </c>
      <c r="R27" s="11" t="s">
        <v>69</v>
      </c>
      <c r="S27" s="11" t="s">
        <v>69</v>
      </c>
      <c r="T27" s="11" t="s">
        <v>69</v>
      </c>
      <c r="U27" s="11" t="s">
        <v>69</v>
      </c>
      <c r="V27" s="12" t="s">
        <v>69</v>
      </c>
    </row>
    <row r="28" ht="53" customHeight="1" spans="1:22">
      <c r="A28" s="16"/>
      <c r="B28" s="6" t="s">
        <v>69</v>
      </c>
      <c r="C28" s="6" t="s">
        <v>69</v>
      </c>
      <c r="D28" s="18" t="s">
        <v>1731</v>
      </c>
      <c r="E28" s="6" t="s">
        <v>69</v>
      </c>
      <c r="F28" s="11" t="s">
        <v>1036</v>
      </c>
      <c r="G28" s="11" t="s">
        <v>1036</v>
      </c>
      <c r="H28" s="11" t="s">
        <v>1036</v>
      </c>
      <c r="I28" s="11" t="s">
        <v>1036</v>
      </c>
      <c r="J28" s="11" t="s">
        <v>1036</v>
      </c>
      <c r="K28" s="11" t="s">
        <v>1036</v>
      </c>
      <c r="L28" s="11" t="s">
        <v>1036</v>
      </c>
      <c r="M28" s="11" t="s">
        <v>1032</v>
      </c>
      <c r="N28" s="11" t="s">
        <v>1036</v>
      </c>
      <c r="O28" s="11" t="s">
        <v>1036</v>
      </c>
      <c r="P28" s="11" t="s">
        <v>1036</v>
      </c>
      <c r="Q28" s="11" t="s">
        <v>1036</v>
      </c>
      <c r="R28" s="11" t="s">
        <v>69</v>
      </c>
      <c r="S28" s="11" t="s">
        <v>69</v>
      </c>
      <c r="T28" s="11" t="s">
        <v>69</v>
      </c>
      <c r="U28" s="11" t="s">
        <v>69</v>
      </c>
      <c r="V28" s="12" t="s">
        <v>69</v>
      </c>
    </row>
    <row r="29" ht="53" customHeight="1" spans="1:22">
      <c r="A29" s="16"/>
      <c r="B29" s="6" t="s">
        <v>69</v>
      </c>
      <c r="C29" s="6" t="s">
        <v>69</v>
      </c>
      <c r="D29" s="18" t="s">
        <v>1732</v>
      </c>
      <c r="E29" s="6" t="s">
        <v>69</v>
      </c>
      <c r="F29" s="11" t="s">
        <v>1036</v>
      </c>
      <c r="G29" s="11" t="s">
        <v>1036</v>
      </c>
      <c r="H29" s="11" t="s">
        <v>1036</v>
      </c>
      <c r="I29" s="11" t="s">
        <v>1036</v>
      </c>
      <c r="J29" s="11" t="s">
        <v>1036</v>
      </c>
      <c r="K29" s="11" t="s">
        <v>1036</v>
      </c>
      <c r="L29" s="11" t="s">
        <v>1036</v>
      </c>
      <c r="M29" s="11" t="s">
        <v>1036</v>
      </c>
      <c r="N29" s="11" t="s">
        <v>1032</v>
      </c>
      <c r="O29" s="11" t="s">
        <v>1036</v>
      </c>
      <c r="P29" s="11" t="s">
        <v>1036</v>
      </c>
      <c r="Q29" s="11" t="s">
        <v>1036</v>
      </c>
      <c r="R29" s="11" t="s">
        <v>69</v>
      </c>
      <c r="S29" s="11" t="s">
        <v>69</v>
      </c>
      <c r="T29" s="11" t="s">
        <v>69</v>
      </c>
      <c r="U29" s="11" t="s">
        <v>69</v>
      </c>
      <c r="V29" s="12" t="s">
        <v>69</v>
      </c>
    </row>
    <row r="30" ht="65.5" customHeight="1" spans="1:22">
      <c r="A30" s="16"/>
      <c r="B30" s="6" t="s">
        <v>69</v>
      </c>
      <c r="C30" s="6" t="s">
        <v>69</v>
      </c>
      <c r="D30" s="18" t="s">
        <v>1733</v>
      </c>
      <c r="E30" s="6" t="s">
        <v>69</v>
      </c>
      <c r="F30" s="11" t="s">
        <v>1036</v>
      </c>
      <c r="G30" s="11" t="s">
        <v>1036</v>
      </c>
      <c r="H30" s="11" t="s">
        <v>1036</v>
      </c>
      <c r="I30" s="11" t="s">
        <v>1036</v>
      </c>
      <c r="J30" s="11" t="s">
        <v>1036</v>
      </c>
      <c r="K30" s="11" t="s">
        <v>1036</v>
      </c>
      <c r="L30" s="11" t="s">
        <v>1036</v>
      </c>
      <c r="M30" s="11" t="s">
        <v>1036</v>
      </c>
      <c r="N30" s="11" t="s">
        <v>1036</v>
      </c>
      <c r="O30" s="11" t="s">
        <v>1032</v>
      </c>
      <c r="P30" s="11" t="s">
        <v>1036</v>
      </c>
      <c r="Q30" s="11" t="s">
        <v>1036</v>
      </c>
      <c r="R30" s="11" t="s">
        <v>69</v>
      </c>
      <c r="S30" s="11" t="s">
        <v>69</v>
      </c>
      <c r="T30" s="11" t="s">
        <v>69</v>
      </c>
      <c r="U30" s="11" t="s">
        <v>69</v>
      </c>
      <c r="V30" s="12" t="s">
        <v>69</v>
      </c>
    </row>
    <row r="31" ht="40.5" customHeight="1" spans="1:22">
      <c r="A31" s="16"/>
      <c r="B31" s="6" t="s">
        <v>69</v>
      </c>
      <c r="C31" s="6" t="s">
        <v>69</v>
      </c>
      <c r="D31" s="18" t="s">
        <v>1734</v>
      </c>
      <c r="E31" s="6" t="s">
        <v>69</v>
      </c>
      <c r="F31" s="11" t="s">
        <v>1036</v>
      </c>
      <c r="G31" s="11" t="s">
        <v>1036</v>
      </c>
      <c r="H31" s="11" t="s">
        <v>1036</v>
      </c>
      <c r="I31" s="11" t="s">
        <v>1036</v>
      </c>
      <c r="J31" s="11" t="s">
        <v>1036</v>
      </c>
      <c r="K31" s="11" t="s">
        <v>1036</v>
      </c>
      <c r="L31" s="11" t="s">
        <v>1036</v>
      </c>
      <c r="M31" s="11" t="s">
        <v>1036</v>
      </c>
      <c r="N31" s="11" t="s">
        <v>1036</v>
      </c>
      <c r="O31" s="11" t="s">
        <v>1036</v>
      </c>
      <c r="P31" s="11" t="s">
        <v>1032</v>
      </c>
      <c r="Q31" s="11" t="s">
        <v>1036</v>
      </c>
      <c r="R31" s="11" t="s">
        <v>69</v>
      </c>
      <c r="S31" s="11" t="s">
        <v>69</v>
      </c>
      <c r="T31" s="11" t="s">
        <v>69</v>
      </c>
      <c r="U31" s="11" t="s">
        <v>69</v>
      </c>
      <c r="V31" s="12" t="s">
        <v>69</v>
      </c>
    </row>
    <row r="32" ht="65.5" customHeight="1" spans="1:22">
      <c r="A32" s="16"/>
      <c r="B32" s="6" t="s">
        <v>69</v>
      </c>
      <c r="C32" s="6" t="s">
        <v>69</v>
      </c>
      <c r="D32" s="18" t="s">
        <v>1735</v>
      </c>
      <c r="E32" s="6" t="s">
        <v>69</v>
      </c>
      <c r="F32" s="11" t="s">
        <v>1036</v>
      </c>
      <c r="G32" s="11" t="s">
        <v>1036</v>
      </c>
      <c r="H32" s="11" t="s">
        <v>1036</v>
      </c>
      <c r="I32" s="11" t="s">
        <v>1036</v>
      </c>
      <c r="J32" s="11" t="s">
        <v>1036</v>
      </c>
      <c r="K32" s="11" t="s">
        <v>1036</v>
      </c>
      <c r="L32" s="11" t="s">
        <v>1036</v>
      </c>
      <c r="M32" s="11" t="s">
        <v>1036</v>
      </c>
      <c r="N32" s="11" t="s">
        <v>1036</v>
      </c>
      <c r="O32" s="11" t="s">
        <v>1036</v>
      </c>
      <c r="P32" s="11" t="s">
        <v>1036</v>
      </c>
      <c r="Q32" s="11" t="s">
        <v>1032</v>
      </c>
      <c r="R32" s="11" t="s">
        <v>69</v>
      </c>
      <c r="S32" s="11" t="s">
        <v>69</v>
      </c>
      <c r="T32" s="11" t="s">
        <v>69</v>
      </c>
      <c r="U32" s="11" t="s">
        <v>69</v>
      </c>
      <c r="V32" s="12" t="s">
        <v>69</v>
      </c>
    </row>
    <row r="33" ht="15.5" customHeight="1" spans="1:22">
      <c r="A33" s="16"/>
      <c r="B33" s="17" t="s">
        <v>1064</v>
      </c>
      <c r="C33" s="6" t="s">
        <v>69</v>
      </c>
      <c r="D33" s="6" t="s">
        <v>69</v>
      </c>
      <c r="E33" s="6" t="s">
        <v>69</v>
      </c>
      <c r="F33" s="6" t="s">
        <v>69</v>
      </c>
      <c r="G33" s="6" t="s">
        <v>69</v>
      </c>
      <c r="H33" s="6" t="s">
        <v>69</v>
      </c>
      <c r="I33" s="6" t="s">
        <v>69</v>
      </c>
      <c r="J33" s="6" t="s">
        <v>69</v>
      </c>
      <c r="K33" s="6" t="s">
        <v>69</v>
      </c>
      <c r="L33" s="6" t="s">
        <v>69</v>
      </c>
      <c r="M33" s="6" t="s">
        <v>69</v>
      </c>
      <c r="N33" s="6" t="s">
        <v>69</v>
      </c>
      <c r="O33" s="6" t="s">
        <v>69</v>
      </c>
      <c r="P33" s="6" t="s">
        <v>69</v>
      </c>
      <c r="Q33" s="6" t="s">
        <v>69</v>
      </c>
      <c r="R33" s="6" t="s">
        <v>69</v>
      </c>
      <c r="S33" s="6" t="s">
        <v>69</v>
      </c>
      <c r="T33" s="6" t="s">
        <v>69</v>
      </c>
      <c r="U33" s="6" t="s">
        <v>69</v>
      </c>
      <c r="V33" s="8" t="s">
        <v>69</v>
      </c>
    </row>
    <row r="34" ht="78" customHeight="1" spans="1:22">
      <c r="A34" s="16"/>
      <c r="B34" s="6" t="s">
        <v>69</v>
      </c>
      <c r="C34" s="6" t="s">
        <v>69</v>
      </c>
      <c r="D34" s="18" t="s">
        <v>1736</v>
      </c>
      <c r="E34" s="6" t="s">
        <v>69</v>
      </c>
      <c r="F34" s="11" t="s">
        <v>1036</v>
      </c>
      <c r="G34" s="11" t="s">
        <v>1036</v>
      </c>
      <c r="H34" s="11" t="s">
        <v>1036</v>
      </c>
      <c r="I34" s="11" t="s">
        <v>1036</v>
      </c>
      <c r="J34" s="11" t="s">
        <v>1036</v>
      </c>
      <c r="K34" s="11" t="s">
        <v>1036</v>
      </c>
      <c r="L34" s="11" t="s">
        <v>1036</v>
      </c>
      <c r="M34" s="11" t="s">
        <v>1036</v>
      </c>
      <c r="N34" s="11" t="s">
        <v>1036</v>
      </c>
      <c r="O34" s="11" t="s">
        <v>1036</v>
      </c>
      <c r="P34" s="11" t="s">
        <v>1036</v>
      </c>
      <c r="Q34" s="11" t="s">
        <v>1036</v>
      </c>
      <c r="R34" s="11" t="s">
        <v>69</v>
      </c>
      <c r="S34" s="11" t="s">
        <v>69</v>
      </c>
      <c r="T34" s="11" t="s">
        <v>69</v>
      </c>
      <c r="U34" s="11" t="s">
        <v>69</v>
      </c>
      <c r="V34" s="12" t="s">
        <v>69</v>
      </c>
    </row>
    <row r="35" ht="90.5" customHeight="1" spans="1:22">
      <c r="A35" s="16"/>
      <c r="B35" s="6" t="s">
        <v>69</v>
      </c>
      <c r="C35" s="6" t="s">
        <v>69</v>
      </c>
      <c r="D35" s="18" t="s">
        <v>1737</v>
      </c>
      <c r="E35" s="6" t="s">
        <v>69</v>
      </c>
      <c r="F35" s="11" t="s">
        <v>1036</v>
      </c>
      <c r="G35" s="11" t="s">
        <v>1036</v>
      </c>
      <c r="H35" s="11" t="s">
        <v>1036</v>
      </c>
      <c r="I35" s="11" t="s">
        <v>1036</v>
      </c>
      <c r="J35" s="11" t="s">
        <v>1036</v>
      </c>
      <c r="K35" s="11" t="s">
        <v>1036</v>
      </c>
      <c r="L35" s="11" t="s">
        <v>1036</v>
      </c>
      <c r="M35" s="11" t="s">
        <v>1036</v>
      </c>
      <c r="N35" s="11" t="s">
        <v>1036</v>
      </c>
      <c r="O35" s="11" t="s">
        <v>1032</v>
      </c>
      <c r="P35" s="11" t="s">
        <v>1032</v>
      </c>
      <c r="Q35" s="11" t="s">
        <v>1036</v>
      </c>
      <c r="R35" s="11" t="s">
        <v>69</v>
      </c>
      <c r="S35" s="11" t="s">
        <v>69</v>
      </c>
      <c r="T35" s="11" t="s">
        <v>69</v>
      </c>
      <c r="U35" s="11" t="s">
        <v>69</v>
      </c>
      <c r="V35" s="12" t="s">
        <v>69</v>
      </c>
    </row>
    <row r="36" ht="18" customHeight="1" spans="1:22">
      <c r="A36" s="19" t="s">
        <v>1048</v>
      </c>
      <c r="B36" s="20" t="s">
        <v>1049</v>
      </c>
      <c r="C36" s="20"/>
      <c r="D36" s="20"/>
      <c r="E36" s="6" t="s">
        <v>69</v>
      </c>
      <c r="F36" s="11" t="s">
        <v>1008</v>
      </c>
      <c r="G36" s="11" t="s">
        <v>1008</v>
      </c>
      <c r="H36" s="11" t="s">
        <v>1008</v>
      </c>
      <c r="I36" s="11" t="s">
        <v>1008</v>
      </c>
      <c r="J36" s="11" t="s">
        <v>1008</v>
      </c>
      <c r="K36" s="11" t="s">
        <v>1008</v>
      </c>
      <c r="L36" s="11" t="s">
        <v>1009</v>
      </c>
      <c r="M36" s="11" t="s">
        <v>1008</v>
      </c>
      <c r="N36" s="11" t="s">
        <v>1008</v>
      </c>
      <c r="O36" s="11" t="s">
        <v>1008</v>
      </c>
      <c r="P36" s="11" t="s">
        <v>1008</v>
      </c>
      <c r="Q36" s="11" t="s">
        <v>63</v>
      </c>
      <c r="R36" s="11" t="s">
        <v>69</v>
      </c>
      <c r="S36" s="11" t="s">
        <v>69</v>
      </c>
      <c r="T36" s="11" t="s">
        <v>69</v>
      </c>
      <c r="U36" s="11" t="s">
        <v>69</v>
      </c>
      <c r="V36" s="12" t="s">
        <v>69</v>
      </c>
    </row>
    <row r="37" ht="18" customHeight="1" spans="1:22">
      <c r="A37" s="19"/>
      <c r="B37" s="20" t="s">
        <v>1050</v>
      </c>
      <c r="C37" s="20"/>
      <c r="D37" s="20"/>
      <c r="E37" s="6" t="s">
        <v>69</v>
      </c>
      <c r="F37" s="11" t="s">
        <v>1051</v>
      </c>
      <c r="G37" s="11" t="s">
        <v>1051</v>
      </c>
      <c r="H37" s="11" t="s">
        <v>1051</v>
      </c>
      <c r="I37" s="11" t="s">
        <v>1051</v>
      </c>
      <c r="J37" s="11" t="s">
        <v>1051</v>
      </c>
      <c r="K37" s="11" t="s">
        <v>1051</v>
      </c>
      <c r="L37" s="11" t="s">
        <v>1051</v>
      </c>
      <c r="M37" s="11" t="s">
        <v>1051</v>
      </c>
      <c r="N37" s="11" t="s">
        <v>1051</v>
      </c>
      <c r="O37" s="11" t="s">
        <v>1051</v>
      </c>
      <c r="P37" s="11" t="s">
        <v>1051</v>
      </c>
      <c r="Q37" s="11" t="s">
        <v>1051</v>
      </c>
      <c r="R37" s="11" t="s">
        <v>69</v>
      </c>
      <c r="S37" s="11" t="s">
        <v>69</v>
      </c>
      <c r="T37" s="11" t="s">
        <v>69</v>
      </c>
      <c r="U37" s="11" t="s">
        <v>69</v>
      </c>
      <c r="V37" s="12" t="s">
        <v>69</v>
      </c>
    </row>
    <row r="38" ht="18" customHeight="1" spans="1:22">
      <c r="A38" s="19"/>
      <c r="B38" s="20" t="s">
        <v>1052</v>
      </c>
      <c r="C38" s="20"/>
      <c r="D38" s="20"/>
      <c r="E38" s="6" t="s">
        <v>69</v>
      </c>
      <c r="F38" s="6" t="s">
        <v>69</v>
      </c>
      <c r="G38" s="6" t="s">
        <v>69</v>
      </c>
      <c r="H38" s="6" t="s">
        <v>69</v>
      </c>
      <c r="I38" s="6" t="s">
        <v>69</v>
      </c>
      <c r="J38" s="6" t="s">
        <v>69</v>
      </c>
      <c r="K38" s="6" t="s">
        <v>69</v>
      </c>
      <c r="L38" s="6" t="s">
        <v>69</v>
      </c>
      <c r="M38" s="6" t="s">
        <v>69</v>
      </c>
      <c r="N38" s="6" t="s">
        <v>69</v>
      </c>
      <c r="O38" s="6" t="s">
        <v>69</v>
      </c>
      <c r="P38" s="6" t="s">
        <v>69</v>
      </c>
      <c r="Q38" s="6" t="s">
        <v>69</v>
      </c>
      <c r="R38" s="6" t="s">
        <v>69</v>
      </c>
      <c r="S38" s="6" t="s">
        <v>69</v>
      </c>
      <c r="T38" s="6" t="s">
        <v>69</v>
      </c>
      <c r="U38" s="6" t="s">
        <v>69</v>
      </c>
      <c r="V38" s="8" t="s">
        <v>69</v>
      </c>
    </row>
    <row r="39" ht="18" customHeight="1" spans="1:22">
      <c r="A39" s="19"/>
      <c r="B39" s="21" t="s">
        <v>1053</v>
      </c>
      <c r="C39" s="21"/>
      <c r="D39" s="21"/>
      <c r="E39" s="22" t="s">
        <v>69</v>
      </c>
      <c r="F39" s="22" t="s">
        <v>69</v>
      </c>
      <c r="G39" s="22" t="s">
        <v>69</v>
      </c>
      <c r="H39" s="22" t="s">
        <v>69</v>
      </c>
      <c r="I39" s="22" t="s">
        <v>69</v>
      </c>
      <c r="J39" s="22" t="s">
        <v>69</v>
      </c>
      <c r="K39" s="22" t="s">
        <v>69</v>
      </c>
      <c r="L39" s="22" t="s">
        <v>69</v>
      </c>
      <c r="M39" s="22" t="s">
        <v>69</v>
      </c>
      <c r="N39" s="22" t="s">
        <v>69</v>
      </c>
      <c r="O39" s="22" t="s">
        <v>69</v>
      </c>
      <c r="P39" s="22" t="s">
        <v>69</v>
      </c>
      <c r="Q39" s="22" t="s">
        <v>69</v>
      </c>
      <c r="R39" s="22" t="s">
        <v>69</v>
      </c>
      <c r="S39" s="22" t="s">
        <v>69</v>
      </c>
      <c r="T39" s="22" t="s">
        <v>69</v>
      </c>
      <c r="U39" s="22" t="s">
        <v>69</v>
      </c>
      <c r="V3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36:D36"/>
    <mergeCell ref="B37:D37"/>
    <mergeCell ref="B38:D38"/>
    <mergeCell ref="B39:D39"/>
    <mergeCell ref="A7:A19"/>
    <mergeCell ref="A20:A35"/>
    <mergeCell ref="A36:A39"/>
  </mergeCells>
  <dataValidations count="3">
    <dataValidation type="list" allowBlank="1" sqref="F36:V36">
      <formula1>"N,A,B"</formula1>
    </dataValidation>
    <dataValidation type="list" allowBlank="1" sqref="F37:V37">
      <formula1>"P,F"</formula1>
    </dataValidation>
    <dataValidation type="list" allowBlank="1" sqref="F10:V19 F21:V32 F8:V9 F34:V35">
      <formula1>"O,-"</formula1>
    </dataValidation>
  </dataValidations>
  <pageMargins left="0.7" right="0.7" top="0.75" bottom="0.75" header="0.3" footer="0.3"/>
  <pageSetup paperSize="1" orientation="portrait" useFirstPageNumber="1"/>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426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1738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9</v>
      </c>
      <c r="B5" s="11"/>
      <c r="C5" s="11">
        <v>0</v>
      </c>
      <c r="D5" s="11"/>
      <c r="E5" s="11"/>
      <c r="F5" s="11">
        <v>0</v>
      </c>
      <c r="G5" s="11"/>
      <c r="H5" s="11"/>
      <c r="I5" s="11"/>
      <c r="J5" s="11"/>
      <c r="K5" s="11"/>
      <c r="L5" s="11">
        <v>6</v>
      </c>
      <c r="M5" s="11">
        <v>0</v>
      </c>
      <c r="N5" s="11">
        <v>3</v>
      </c>
      <c r="O5" s="12">
        <v>9</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69</v>
      </c>
      <c r="P6" s="14" t="s">
        <v>69</v>
      </c>
      <c r="Q6" s="14" t="s">
        <v>69</v>
      </c>
      <c r="R6" s="14" t="s">
        <v>69</v>
      </c>
      <c r="S6" s="14" t="s">
        <v>69</v>
      </c>
      <c r="T6" s="14" t="s">
        <v>69</v>
      </c>
      <c r="U6" s="14" t="s">
        <v>69</v>
      </c>
      <c r="V6" s="15" t="s">
        <v>69</v>
      </c>
    </row>
    <row r="7" ht="15.5" customHeight="1" spans="1:22">
      <c r="A7" s="16" t="s">
        <v>1029</v>
      </c>
      <c r="B7" s="17" t="s">
        <v>1739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1740</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28" customHeight="1" spans="1:22">
      <c r="A9" s="16"/>
      <c r="B9" s="6" t="s">
        <v>69</v>
      </c>
      <c r="C9" s="6" t="s">
        <v>69</v>
      </c>
      <c r="D9" s="18" t="s">
        <v>1741</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15.5" customHeight="1" spans="1:22">
      <c r="A10" s="16"/>
      <c r="B10" s="6" t="s">
        <v>69</v>
      </c>
      <c r="C10" s="6" t="s">
        <v>69</v>
      </c>
      <c r="D10" s="18" t="s">
        <v>1742</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28" customHeight="1" spans="1:22">
      <c r="A11" s="16"/>
      <c r="B11" s="6" t="s">
        <v>69</v>
      </c>
      <c r="C11" s="6" t="s">
        <v>69</v>
      </c>
      <c r="D11" s="18" t="s">
        <v>1743</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28" customHeight="1" spans="1:22">
      <c r="A12" s="16"/>
      <c r="B12" s="6" t="s">
        <v>69</v>
      </c>
      <c r="C12" s="6" t="s">
        <v>69</v>
      </c>
      <c r="D12" s="18" t="s">
        <v>1744</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28" customHeight="1" spans="1:22">
      <c r="A13" s="16"/>
      <c r="B13" s="6" t="s">
        <v>69</v>
      </c>
      <c r="C13" s="6" t="s">
        <v>69</v>
      </c>
      <c r="D13" s="18" t="s">
        <v>1745</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28" customHeight="1" spans="1:22">
      <c r="A14" s="16"/>
      <c r="B14" s="6" t="s">
        <v>69</v>
      </c>
      <c r="C14" s="6" t="s">
        <v>69</v>
      </c>
      <c r="D14" s="18" t="s">
        <v>1746</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15.5" customHeight="1" spans="1:22">
      <c r="A15" s="16"/>
      <c r="B15" s="6" t="s">
        <v>69</v>
      </c>
      <c r="C15" s="6" t="s">
        <v>69</v>
      </c>
      <c r="D15" s="18" t="s">
        <v>1747</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1748</v>
      </c>
      <c r="E16" s="6" t="s">
        <v>69</v>
      </c>
      <c r="F16" s="11" t="s">
        <v>1036</v>
      </c>
      <c r="G16" s="11" t="s">
        <v>1036</v>
      </c>
      <c r="H16" s="11" t="s">
        <v>1036</v>
      </c>
      <c r="I16" s="11" t="s">
        <v>1036</v>
      </c>
      <c r="J16" s="11" t="s">
        <v>1036</v>
      </c>
      <c r="K16" s="11" t="s">
        <v>1036</v>
      </c>
      <c r="L16" s="11" t="s">
        <v>1036</v>
      </c>
      <c r="M16" s="11" t="s">
        <v>1036</v>
      </c>
      <c r="N16" s="11" t="s">
        <v>1032</v>
      </c>
      <c r="O16" s="11" t="s">
        <v>69</v>
      </c>
      <c r="P16" s="11" t="s">
        <v>69</v>
      </c>
      <c r="Q16" s="11" t="s">
        <v>69</v>
      </c>
      <c r="R16" s="11" t="s">
        <v>69</v>
      </c>
      <c r="S16" s="11" t="s">
        <v>69</v>
      </c>
      <c r="T16" s="11" t="s">
        <v>69</v>
      </c>
      <c r="U16" s="11" t="s">
        <v>69</v>
      </c>
      <c r="V16" s="12" t="s">
        <v>69</v>
      </c>
    </row>
    <row r="17" ht="15.5"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5.5" customHeight="1" spans="1:22">
      <c r="A18" s="16"/>
      <c r="B18" s="6" t="s">
        <v>69</v>
      </c>
      <c r="C18" s="6" t="s">
        <v>69</v>
      </c>
      <c r="D18" s="18" t="s">
        <v>1749</v>
      </c>
      <c r="E18" s="6" t="s">
        <v>69</v>
      </c>
      <c r="F18" s="11" t="s">
        <v>1032</v>
      </c>
      <c r="G18" s="11" t="s">
        <v>1032</v>
      </c>
      <c r="H18" s="11" t="s">
        <v>1036</v>
      </c>
      <c r="I18" s="11" t="s">
        <v>1036</v>
      </c>
      <c r="J18" s="11" t="s">
        <v>1036</v>
      </c>
      <c r="K18" s="11" t="s">
        <v>1036</v>
      </c>
      <c r="L18" s="11" t="s">
        <v>1036</v>
      </c>
      <c r="M18" s="11" t="s">
        <v>1036</v>
      </c>
      <c r="N18" s="11" t="s">
        <v>1036</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1750</v>
      </c>
      <c r="E19" s="6" t="s">
        <v>69</v>
      </c>
      <c r="F19" s="11" t="s">
        <v>1036</v>
      </c>
      <c r="G19" s="11" t="s">
        <v>1036</v>
      </c>
      <c r="H19" s="11" t="s">
        <v>1032</v>
      </c>
      <c r="I19" s="11" t="s">
        <v>1032</v>
      </c>
      <c r="J19" s="11" t="s">
        <v>1036</v>
      </c>
      <c r="K19" s="11" t="s">
        <v>1036</v>
      </c>
      <c r="L19" s="11" t="s">
        <v>1036</v>
      </c>
      <c r="M19" s="11" t="s">
        <v>1036</v>
      </c>
      <c r="N19" s="11" t="s">
        <v>1036</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1751</v>
      </c>
      <c r="E20" s="6" t="s">
        <v>69</v>
      </c>
      <c r="F20" s="11" t="s">
        <v>1036</v>
      </c>
      <c r="G20" s="11" t="s">
        <v>1036</v>
      </c>
      <c r="H20" s="11" t="s">
        <v>1036</v>
      </c>
      <c r="I20" s="11" t="s">
        <v>1036</v>
      </c>
      <c r="J20" s="11" t="s">
        <v>1032</v>
      </c>
      <c r="K20" s="11" t="s">
        <v>1032</v>
      </c>
      <c r="L20" s="11" t="s">
        <v>1036</v>
      </c>
      <c r="M20" s="11" t="s">
        <v>1036</v>
      </c>
      <c r="N20" s="11" t="s">
        <v>1036</v>
      </c>
      <c r="O20" s="11" t="s">
        <v>69</v>
      </c>
      <c r="P20" s="11" t="s">
        <v>69</v>
      </c>
      <c r="Q20" s="11" t="s">
        <v>69</v>
      </c>
      <c r="R20" s="11" t="s">
        <v>69</v>
      </c>
      <c r="S20" s="11" t="s">
        <v>69</v>
      </c>
      <c r="T20" s="11" t="s">
        <v>69</v>
      </c>
      <c r="U20" s="11" t="s">
        <v>69</v>
      </c>
      <c r="V20" s="12" t="s">
        <v>69</v>
      </c>
    </row>
    <row r="21" ht="15.5" customHeight="1" spans="1:22">
      <c r="A21" s="16"/>
      <c r="B21" s="6" t="s">
        <v>69</v>
      </c>
      <c r="C21" s="6" t="s">
        <v>69</v>
      </c>
      <c r="D21" s="18" t="s">
        <v>1752</v>
      </c>
      <c r="E21" s="6" t="s">
        <v>69</v>
      </c>
      <c r="F21" s="11" t="s">
        <v>1036</v>
      </c>
      <c r="G21" s="11" t="s">
        <v>1036</v>
      </c>
      <c r="H21" s="11" t="s">
        <v>1036</v>
      </c>
      <c r="I21" s="11" t="s">
        <v>1036</v>
      </c>
      <c r="J21" s="11" t="s">
        <v>1036</v>
      </c>
      <c r="K21" s="11" t="s">
        <v>1036</v>
      </c>
      <c r="L21" s="11" t="s">
        <v>1032</v>
      </c>
      <c r="M21" s="11" t="s">
        <v>1032</v>
      </c>
      <c r="N21" s="11" t="s">
        <v>1032</v>
      </c>
      <c r="O21" s="11" t="s">
        <v>69</v>
      </c>
      <c r="P21" s="11" t="s">
        <v>69</v>
      </c>
      <c r="Q21" s="11" t="s">
        <v>69</v>
      </c>
      <c r="R21" s="11" t="s">
        <v>69</v>
      </c>
      <c r="S21" s="11" t="s">
        <v>69</v>
      </c>
      <c r="T21" s="11" t="s">
        <v>69</v>
      </c>
      <c r="U21" s="11" t="s">
        <v>69</v>
      </c>
      <c r="V21" s="12" t="s">
        <v>69</v>
      </c>
    </row>
    <row r="22" ht="18" customHeight="1" spans="1:22">
      <c r="A22" s="19" t="s">
        <v>1048</v>
      </c>
      <c r="B22" s="20" t="s">
        <v>1049</v>
      </c>
      <c r="C22" s="20"/>
      <c r="D22" s="20"/>
      <c r="E22" s="6" t="s">
        <v>69</v>
      </c>
      <c r="F22" s="11" t="s">
        <v>1008</v>
      </c>
      <c r="G22" s="11" t="s">
        <v>1008</v>
      </c>
      <c r="H22" s="11" t="s">
        <v>1008</v>
      </c>
      <c r="I22" s="11" t="s">
        <v>1009</v>
      </c>
      <c r="J22" s="11" t="s">
        <v>1008</v>
      </c>
      <c r="K22" s="11" t="s">
        <v>1008</v>
      </c>
      <c r="L22" s="11" t="s">
        <v>1008</v>
      </c>
      <c r="M22" s="11" t="s">
        <v>1009</v>
      </c>
      <c r="N22" s="11" t="s">
        <v>1009</v>
      </c>
      <c r="O22" s="11" t="s">
        <v>69</v>
      </c>
      <c r="P22" s="11" t="s">
        <v>69</v>
      </c>
      <c r="Q22" s="11" t="s">
        <v>69</v>
      </c>
      <c r="R22" s="11" t="s">
        <v>69</v>
      </c>
      <c r="S22" s="11" t="s">
        <v>69</v>
      </c>
      <c r="T22" s="11" t="s">
        <v>69</v>
      </c>
      <c r="U22" s="11" t="s">
        <v>69</v>
      </c>
      <c r="V22" s="12" t="s">
        <v>69</v>
      </c>
    </row>
    <row r="23" ht="18" customHeight="1" spans="1:22">
      <c r="A23" s="19"/>
      <c r="B23" s="20" t="s">
        <v>1050</v>
      </c>
      <c r="C23" s="20"/>
      <c r="D23" s="20"/>
      <c r="E23" s="6" t="s">
        <v>69</v>
      </c>
      <c r="F23" s="11" t="s">
        <v>1051</v>
      </c>
      <c r="G23" s="11" t="s">
        <v>1051</v>
      </c>
      <c r="H23" s="11" t="s">
        <v>1051</v>
      </c>
      <c r="I23" s="11" t="s">
        <v>1051</v>
      </c>
      <c r="J23" s="11" t="s">
        <v>1051</v>
      </c>
      <c r="K23" s="11" t="s">
        <v>1051</v>
      </c>
      <c r="L23" s="11" t="s">
        <v>1051</v>
      </c>
      <c r="M23" s="11" t="s">
        <v>1051</v>
      </c>
      <c r="N23" s="11" t="s">
        <v>1051</v>
      </c>
      <c r="O23" s="11" t="s">
        <v>69</v>
      </c>
      <c r="P23" s="11" t="s">
        <v>69</v>
      </c>
      <c r="Q23" s="11" t="s">
        <v>69</v>
      </c>
      <c r="R23" s="11" t="s">
        <v>69</v>
      </c>
      <c r="S23" s="11" t="s">
        <v>69</v>
      </c>
      <c r="T23" s="11" t="s">
        <v>69</v>
      </c>
      <c r="U23" s="11" t="s">
        <v>69</v>
      </c>
      <c r="V23" s="12" t="s">
        <v>69</v>
      </c>
    </row>
    <row r="24" ht="18"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18"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6"/>
    <mergeCell ref="A17:A21"/>
    <mergeCell ref="A22:A25"/>
  </mergeCells>
  <dataValidations count="3">
    <dataValidation type="list" allowBlank="1" sqref="F22:V22">
      <formula1>"N,A,B"</formula1>
    </dataValidation>
    <dataValidation type="list" allowBlank="1" sqref="F23:V23">
      <formula1>"P,F"</formula1>
    </dataValidation>
    <dataValidation type="list" allowBlank="1" sqref="F10:V16 F18:V21 F8:V9">
      <formula1>"O,-"</formula1>
    </dataValidation>
  </dataValidations>
  <pageMargins left="0.7" right="0.7" top="0.75" bottom="0.75" header="0.3" footer="0.3"/>
  <pageSetup paperSize="1" orientation="portrait" useFirstPageNumber="1"/>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430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1753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1754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1755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1756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28" customHeight="1" spans="1:22">
      <c r="A11" s="16"/>
      <c r="B11" s="6" t="s">
        <v>69</v>
      </c>
      <c r="C11" s="6" t="s">
        <v>69</v>
      </c>
      <c r="D11" s="18" t="s">
        <v>1757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1758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434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1759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1760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1761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1762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28" customHeight="1" spans="1:22">
      <c r="A11" s="16"/>
      <c r="B11" s="6" t="s">
        <v>69</v>
      </c>
      <c r="C11" s="6" t="s">
        <v>69</v>
      </c>
      <c r="D11" s="18" t="s">
        <v>1763</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t="s">
        <v>1048</v>
      </c>
      <c r="B12" s="20" t="s">
        <v>1049</v>
      </c>
      <c r="C12" s="20"/>
      <c r="D12" s="20"/>
      <c r="E12" s="6" t="s">
        <v>69</v>
      </c>
      <c r="F12" s="11" t="s">
        <v>63</v>
      </c>
      <c r="G12" s="11" t="s">
        <v>63</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1050</v>
      </c>
      <c r="C13" s="20"/>
      <c r="D13" s="20"/>
      <c r="E13" s="6" t="s">
        <v>69</v>
      </c>
      <c r="F13" s="11" t="s">
        <v>1051</v>
      </c>
      <c r="G13" s="11" t="s">
        <v>1051</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8"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9"/>
    <mergeCell ref="A10:A11"/>
    <mergeCell ref="A12:A15"/>
  </mergeCells>
  <dataValidations count="3">
    <dataValidation type="list" allowBlank="1" sqref="F11:V11 F8:V9">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438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1764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6</v>
      </c>
      <c r="M5" s="11">
        <v>0</v>
      </c>
      <c r="N5" s="11">
        <v>2</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28" customHeight="1" spans="1:22">
      <c r="A7" s="16" t="s">
        <v>1029</v>
      </c>
      <c r="B7" s="17" t="s">
        <v>1765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1766</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1767</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1768</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1769</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1770</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1771</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1772</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15.5" customHeight="1" spans="1:22">
      <c r="A15" s="16"/>
      <c r="B15" s="6" t="s">
        <v>69</v>
      </c>
      <c r="C15" s="6" t="s">
        <v>69</v>
      </c>
      <c r="D15" s="18" t="s">
        <v>1773</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5.5" customHeight="1" spans="1:22">
      <c r="A17" s="16"/>
      <c r="B17" s="6" t="s">
        <v>69</v>
      </c>
      <c r="C17" s="6" t="s">
        <v>69</v>
      </c>
      <c r="D17" s="18" t="s">
        <v>1774</v>
      </c>
      <c r="E17" s="6" t="s">
        <v>69</v>
      </c>
      <c r="F17" s="11" t="s">
        <v>1032</v>
      </c>
      <c r="G17" s="11" t="s">
        <v>1036</v>
      </c>
      <c r="H17" s="11" t="s">
        <v>1036</v>
      </c>
      <c r="I17" s="11" t="s">
        <v>1036</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1775</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1776</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1777</v>
      </c>
      <c r="E20" s="6" t="s">
        <v>69</v>
      </c>
      <c r="F20" s="11" t="s">
        <v>1036</v>
      </c>
      <c r="G20" s="11" t="s">
        <v>1036</v>
      </c>
      <c r="H20" s="11" t="s">
        <v>1036</v>
      </c>
      <c r="I20" s="11" t="s">
        <v>1032</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15.5" customHeight="1" spans="1:22">
      <c r="A21" s="16"/>
      <c r="B21" s="6" t="s">
        <v>69</v>
      </c>
      <c r="C21" s="6" t="s">
        <v>69</v>
      </c>
      <c r="D21" s="18" t="s">
        <v>1778</v>
      </c>
      <c r="E21" s="6" t="s">
        <v>69</v>
      </c>
      <c r="F21" s="11" t="s">
        <v>1036</v>
      </c>
      <c r="G21" s="11" t="s">
        <v>1036</v>
      </c>
      <c r="H21" s="11" t="s">
        <v>1036</v>
      </c>
      <c r="I21" s="11" t="s">
        <v>1036</v>
      </c>
      <c r="J21" s="11" t="s">
        <v>1032</v>
      </c>
      <c r="K21" s="11" t="s">
        <v>1036</v>
      </c>
      <c r="L21" s="11" t="s">
        <v>1036</v>
      </c>
      <c r="M21" s="11" t="s">
        <v>1036</v>
      </c>
      <c r="N21" s="11" t="s">
        <v>69</v>
      </c>
      <c r="O21" s="11" t="s">
        <v>69</v>
      </c>
      <c r="P21" s="11" t="s">
        <v>69</v>
      </c>
      <c r="Q21" s="11" t="s">
        <v>69</v>
      </c>
      <c r="R21" s="11" t="s">
        <v>69</v>
      </c>
      <c r="S21" s="11" t="s">
        <v>69</v>
      </c>
      <c r="T21" s="11" t="s">
        <v>69</v>
      </c>
      <c r="U21" s="11" t="s">
        <v>69</v>
      </c>
      <c r="V21" s="12" t="s">
        <v>69</v>
      </c>
    </row>
    <row r="22" ht="15.5" customHeight="1" spans="1:22">
      <c r="A22" s="16"/>
      <c r="B22" s="6" t="s">
        <v>69</v>
      </c>
      <c r="C22" s="6" t="s">
        <v>69</v>
      </c>
      <c r="D22" s="18" t="s">
        <v>1779</v>
      </c>
      <c r="E22" s="6" t="s">
        <v>69</v>
      </c>
      <c r="F22" s="11" t="s">
        <v>1036</v>
      </c>
      <c r="G22" s="11" t="s">
        <v>1036</v>
      </c>
      <c r="H22" s="11" t="s">
        <v>1036</v>
      </c>
      <c r="I22" s="11" t="s">
        <v>1036</v>
      </c>
      <c r="J22" s="11" t="s">
        <v>1036</v>
      </c>
      <c r="K22" s="11" t="s">
        <v>1032</v>
      </c>
      <c r="L22" s="11" t="s">
        <v>1036</v>
      </c>
      <c r="M22" s="11" t="s">
        <v>1036</v>
      </c>
      <c r="N22" s="11" t="s">
        <v>69</v>
      </c>
      <c r="O22" s="11" t="s">
        <v>69</v>
      </c>
      <c r="P22" s="11" t="s">
        <v>69</v>
      </c>
      <c r="Q22" s="11" t="s">
        <v>69</v>
      </c>
      <c r="R22" s="11" t="s">
        <v>69</v>
      </c>
      <c r="S22" s="11" t="s">
        <v>69</v>
      </c>
      <c r="T22" s="11" t="s">
        <v>69</v>
      </c>
      <c r="U22" s="11" t="s">
        <v>69</v>
      </c>
      <c r="V22" s="12" t="s">
        <v>69</v>
      </c>
    </row>
    <row r="23" ht="15.5" customHeight="1" spans="1:22">
      <c r="A23" s="16"/>
      <c r="B23" s="6" t="s">
        <v>69</v>
      </c>
      <c r="C23" s="6" t="s">
        <v>69</v>
      </c>
      <c r="D23" s="18" t="s">
        <v>1780</v>
      </c>
      <c r="E23" s="6" t="s">
        <v>69</v>
      </c>
      <c r="F23" s="11" t="s">
        <v>1036</v>
      </c>
      <c r="G23" s="11" t="s">
        <v>1036</v>
      </c>
      <c r="H23" s="11" t="s">
        <v>1036</v>
      </c>
      <c r="I23" s="11" t="s">
        <v>1036</v>
      </c>
      <c r="J23" s="11" t="s">
        <v>1036</v>
      </c>
      <c r="K23" s="11" t="s">
        <v>1036</v>
      </c>
      <c r="L23" s="11" t="s">
        <v>1032</v>
      </c>
      <c r="M23" s="11" t="s">
        <v>1036</v>
      </c>
      <c r="N23" s="11" t="s">
        <v>69</v>
      </c>
      <c r="O23" s="11" t="s">
        <v>69</v>
      </c>
      <c r="P23" s="11" t="s">
        <v>69</v>
      </c>
      <c r="Q23" s="11" t="s">
        <v>69</v>
      </c>
      <c r="R23" s="11" t="s">
        <v>69</v>
      </c>
      <c r="S23" s="11" t="s">
        <v>69</v>
      </c>
      <c r="T23" s="11" t="s">
        <v>69</v>
      </c>
      <c r="U23" s="11" t="s">
        <v>69</v>
      </c>
      <c r="V23" s="12" t="s">
        <v>69</v>
      </c>
    </row>
    <row r="24" ht="15.5" customHeight="1" spans="1:22">
      <c r="A24" s="16"/>
      <c r="B24" s="6" t="s">
        <v>69</v>
      </c>
      <c r="C24" s="6" t="s">
        <v>69</v>
      </c>
      <c r="D24" s="18" t="s">
        <v>1781</v>
      </c>
      <c r="E24" s="6" t="s">
        <v>69</v>
      </c>
      <c r="F24" s="11" t="s">
        <v>1036</v>
      </c>
      <c r="G24" s="11" t="s">
        <v>1036</v>
      </c>
      <c r="H24" s="11" t="s">
        <v>1036</v>
      </c>
      <c r="I24" s="11" t="s">
        <v>1036</v>
      </c>
      <c r="J24" s="11" t="s">
        <v>1036</v>
      </c>
      <c r="K24" s="11" t="s">
        <v>1036</v>
      </c>
      <c r="L24" s="11" t="s">
        <v>1036</v>
      </c>
      <c r="M24" s="11" t="s">
        <v>1032</v>
      </c>
      <c r="N24" s="11" t="s">
        <v>69</v>
      </c>
      <c r="O24" s="11" t="s">
        <v>69</v>
      </c>
      <c r="P24" s="11" t="s">
        <v>69</v>
      </c>
      <c r="Q24" s="11" t="s">
        <v>69</v>
      </c>
      <c r="R24" s="11" t="s">
        <v>69</v>
      </c>
      <c r="S24" s="11" t="s">
        <v>69</v>
      </c>
      <c r="T24" s="11" t="s">
        <v>69</v>
      </c>
      <c r="U24" s="11" t="s">
        <v>69</v>
      </c>
      <c r="V24" s="12" t="s">
        <v>69</v>
      </c>
    </row>
    <row r="25" ht="18" customHeight="1" spans="1:22">
      <c r="A25" s="19" t="s">
        <v>1048</v>
      </c>
      <c r="B25" s="20" t="s">
        <v>1049</v>
      </c>
      <c r="C25" s="20"/>
      <c r="D25" s="20"/>
      <c r="E25" s="6" t="s">
        <v>69</v>
      </c>
      <c r="F25" s="11" t="s">
        <v>1009</v>
      </c>
      <c r="G25" s="11" t="s">
        <v>1009</v>
      </c>
      <c r="H25" s="11" t="s">
        <v>1008</v>
      </c>
      <c r="I25" s="11" t="s">
        <v>1008</v>
      </c>
      <c r="J25" s="11" t="s">
        <v>1008</v>
      </c>
      <c r="K25" s="11" t="s">
        <v>1008</v>
      </c>
      <c r="L25" s="11" t="s">
        <v>1008</v>
      </c>
      <c r="M25" s="11" t="s">
        <v>1008</v>
      </c>
      <c r="N25" s="11" t="s">
        <v>69</v>
      </c>
      <c r="O25" s="11" t="s">
        <v>69</v>
      </c>
      <c r="P25" s="11" t="s">
        <v>69</v>
      </c>
      <c r="Q25" s="11" t="s">
        <v>69</v>
      </c>
      <c r="R25" s="11" t="s">
        <v>69</v>
      </c>
      <c r="S25" s="11" t="s">
        <v>69</v>
      </c>
      <c r="T25" s="11" t="s">
        <v>69</v>
      </c>
      <c r="U25" s="11" t="s">
        <v>69</v>
      </c>
      <c r="V25" s="12" t="s">
        <v>69</v>
      </c>
    </row>
    <row r="26" ht="18" customHeight="1" spans="1:22">
      <c r="A26" s="19"/>
      <c r="B26" s="20" t="s">
        <v>1050</v>
      </c>
      <c r="C26" s="20"/>
      <c r="D26" s="20"/>
      <c r="E26" s="6" t="s">
        <v>69</v>
      </c>
      <c r="F26" s="11" t="s">
        <v>1051</v>
      </c>
      <c r="G26" s="11" t="s">
        <v>1051</v>
      </c>
      <c r="H26" s="11" t="s">
        <v>1051</v>
      </c>
      <c r="I26" s="11" t="s">
        <v>1051</v>
      </c>
      <c r="J26" s="11" t="s">
        <v>1051</v>
      </c>
      <c r="K26" s="11" t="s">
        <v>1051</v>
      </c>
      <c r="L26" s="11" t="s">
        <v>1051</v>
      </c>
      <c r="M26" s="11" t="s">
        <v>1051</v>
      </c>
      <c r="N26" s="11" t="s">
        <v>69</v>
      </c>
      <c r="O26" s="11" t="s">
        <v>69</v>
      </c>
      <c r="P26" s="11" t="s">
        <v>69</v>
      </c>
      <c r="Q26" s="11" t="s">
        <v>69</v>
      </c>
      <c r="R26" s="11" t="s">
        <v>69</v>
      </c>
      <c r="S26" s="11" t="s">
        <v>69</v>
      </c>
      <c r="T26" s="11" t="s">
        <v>69</v>
      </c>
      <c r="U26" s="11" t="s">
        <v>69</v>
      </c>
      <c r="V26" s="12" t="s">
        <v>69</v>
      </c>
    </row>
    <row r="27" ht="18" customHeight="1" spans="1:22">
      <c r="A27" s="19"/>
      <c r="B27" s="20" t="s">
        <v>1052</v>
      </c>
      <c r="C27" s="20"/>
      <c r="D27" s="20"/>
      <c r="E27" s="6" t="s">
        <v>69</v>
      </c>
      <c r="F27" s="6" t="s">
        <v>69</v>
      </c>
      <c r="G27" s="6" t="s">
        <v>69</v>
      </c>
      <c r="H27" s="6" t="s">
        <v>69</v>
      </c>
      <c r="I27" s="6" t="s">
        <v>69</v>
      </c>
      <c r="J27" s="6" t="s">
        <v>69</v>
      </c>
      <c r="K27" s="6" t="s">
        <v>69</v>
      </c>
      <c r="L27" s="6" t="s">
        <v>69</v>
      </c>
      <c r="M27" s="6" t="s">
        <v>69</v>
      </c>
      <c r="N27" s="6" t="s">
        <v>69</v>
      </c>
      <c r="O27" s="6" t="s">
        <v>69</v>
      </c>
      <c r="P27" s="6" t="s">
        <v>69</v>
      </c>
      <c r="Q27" s="6" t="s">
        <v>69</v>
      </c>
      <c r="R27" s="6" t="s">
        <v>69</v>
      </c>
      <c r="S27" s="6" t="s">
        <v>69</v>
      </c>
      <c r="T27" s="6" t="s">
        <v>69</v>
      </c>
      <c r="U27" s="6" t="s">
        <v>69</v>
      </c>
      <c r="V27" s="8" t="s">
        <v>69</v>
      </c>
    </row>
    <row r="28" ht="18" customHeight="1" spans="1:22">
      <c r="A28" s="19"/>
      <c r="B28" s="21" t="s">
        <v>1053</v>
      </c>
      <c r="C28" s="21"/>
      <c r="D28" s="21"/>
      <c r="E28" s="22" t="s">
        <v>69</v>
      </c>
      <c r="F28" s="22" t="s">
        <v>69</v>
      </c>
      <c r="G28" s="22" t="s">
        <v>69</v>
      </c>
      <c r="H28" s="22" t="s">
        <v>69</v>
      </c>
      <c r="I28" s="22" t="s">
        <v>69</v>
      </c>
      <c r="J28" s="22" t="s">
        <v>69</v>
      </c>
      <c r="K28" s="22" t="s">
        <v>69</v>
      </c>
      <c r="L28" s="22" t="s">
        <v>69</v>
      </c>
      <c r="M28" s="22" t="s">
        <v>69</v>
      </c>
      <c r="N28" s="22" t="s">
        <v>69</v>
      </c>
      <c r="O28" s="22" t="s">
        <v>69</v>
      </c>
      <c r="P28" s="22" t="s">
        <v>69</v>
      </c>
      <c r="Q28" s="22" t="s">
        <v>69</v>
      </c>
      <c r="R28" s="22" t="s">
        <v>69</v>
      </c>
      <c r="S28" s="22" t="s">
        <v>69</v>
      </c>
      <c r="T28" s="22" t="s">
        <v>69</v>
      </c>
      <c r="U28" s="22" t="s">
        <v>69</v>
      </c>
      <c r="V2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5:D25"/>
    <mergeCell ref="B26:D26"/>
    <mergeCell ref="B27:D27"/>
    <mergeCell ref="B28:D28"/>
    <mergeCell ref="A7:A15"/>
    <mergeCell ref="A16:A24"/>
    <mergeCell ref="A25:A28"/>
  </mergeCells>
  <dataValidations count="3">
    <dataValidation type="list" allowBlank="1" sqref="F25:V25">
      <formula1>"N,A,B"</formula1>
    </dataValidation>
    <dataValidation type="list" allowBlank="1" sqref="F26:V26">
      <formula1>"P,F"</formula1>
    </dataValidation>
    <dataValidation type="list" allowBlank="1" sqref="F10:V15 F17:V24 F8:V9">
      <formula1>"O,-"</formula1>
    </dataValidation>
  </dataValidations>
  <pageMargins left="0.7" right="0.7" top="0.75" bottom="0.75" header="0.3" footer="0.3"/>
  <pageSetup paperSize="1" orientation="portrait" useFirstPageNumber="1"/>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442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1782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1783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1784</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1785</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1786</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1787</v>
      </c>
      <c r="E12" s="6" t="s">
        <v>69</v>
      </c>
      <c r="F12" s="11" t="s">
        <v>1032</v>
      </c>
      <c r="G12" s="11" t="s">
        <v>1032</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1788</v>
      </c>
      <c r="E13" s="6" t="s">
        <v>69</v>
      </c>
      <c r="F13" s="11" t="s">
        <v>1036</v>
      </c>
      <c r="G13" s="11" t="s">
        <v>1036</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1008</v>
      </c>
      <c r="H14" s="11" t="s">
        <v>1009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446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1789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1790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1791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1792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1793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1794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15.5" customHeight="1" spans="1:22">
      <c r="A13" s="16"/>
      <c r="B13" s="6" t="s">
        <v>69</v>
      </c>
      <c r="C13" s="6" t="s">
        <v>69</v>
      </c>
      <c r="D13" s="18" t="s">
        <v>1795</v>
      </c>
      <c r="E13" s="6" t="s">
        <v>69</v>
      </c>
      <c r="F13" s="11" t="s">
        <v>1032</v>
      </c>
      <c r="G13" s="11" t="s">
        <v>1032</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1796</v>
      </c>
      <c r="E14" s="6" t="s">
        <v>69</v>
      </c>
      <c r="F14" s="11" t="s">
        <v>1036</v>
      </c>
      <c r="G14" s="11" t="s">
        <v>1036</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1009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1051</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1"/>
    <mergeCell ref="A12:A14"/>
    <mergeCell ref="A15:A18"/>
  </mergeCells>
  <dataValidations count="3">
    <dataValidation type="list" allowBlank="1" sqref="F15:V15">
      <formula1>"N,A,B"</formula1>
    </dataValidation>
    <dataValidation type="list" allowBlank="1" sqref="F16:V16">
      <formula1>"P,F"</formula1>
    </dataValidation>
    <dataValidation type="list" allowBlank="1" sqref="F8:V9 F10:V11 F13:V14">
      <formula1>"O,-"</formula1>
    </dataValidation>
  </dataValidations>
  <pageMargins left="0.7" right="0.7" top="0.75" bottom="0.75" header="0.3" footer="0.3"/>
  <pageSetup paperSize="1" orientation="portrait" useFirstPageNumber="1"/>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450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1797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9</v>
      </c>
      <c r="B5" s="11"/>
      <c r="C5" s="11">
        <v>0</v>
      </c>
      <c r="D5" s="11"/>
      <c r="E5" s="11"/>
      <c r="F5" s="11">
        <v>0</v>
      </c>
      <c r="G5" s="11"/>
      <c r="H5" s="11"/>
      <c r="I5" s="11"/>
      <c r="J5" s="11"/>
      <c r="K5" s="11"/>
      <c r="L5" s="11">
        <v>7</v>
      </c>
      <c r="M5" s="11">
        <v>0</v>
      </c>
      <c r="N5" s="11">
        <v>2</v>
      </c>
      <c r="O5" s="12">
        <v>9</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69</v>
      </c>
      <c r="P6" s="14" t="s">
        <v>69</v>
      </c>
      <c r="Q6" s="14" t="s">
        <v>69</v>
      </c>
      <c r="R6" s="14" t="s">
        <v>69</v>
      </c>
      <c r="S6" s="14" t="s">
        <v>69</v>
      </c>
      <c r="T6" s="14" t="s">
        <v>69</v>
      </c>
      <c r="U6" s="14" t="s">
        <v>69</v>
      </c>
      <c r="V6" s="15" t="s">
        <v>69</v>
      </c>
    </row>
    <row r="7" ht="15.5" customHeight="1" spans="1:22">
      <c r="A7" s="16" t="s">
        <v>1029</v>
      </c>
      <c r="B7" s="17" t="s">
        <v>1790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1798</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28" customHeight="1" spans="1:22">
      <c r="A9" s="16"/>
      <c r="B9" s="6" t="s">
        <v>69</v>
      </c>
      <c r="C9" s="6" t="s">
        <v>69</v>
      </c>
      <c r="D9" s="18" t="s">
        <v>1799</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28" customHeight="1" spans="1:22">
      <c r="A10" s="16"/>
      <c r="B10" s="6" t="s">
        <v>69</v>
      </c>
      <c r="C10" s="6" t="s">
        <v>69</v>
      </c>
      <c r="D10" s="18" t="s">
        <v>1800</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1801</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1802</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28" customHeight="1" spans="1:22">
      <c r="A13" s="16"/>
      <c r="B13" s="6" t="s">
        <v>69</v>
      </c>
      <c r="C13" s="6" t="s">
        <v>69</v>
      </c>
      <c r="D13" s="18" t="s">
        <v>1803</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53" customHeight="1" spans="1:22">
      <c r="A14" s="16"/>
      <c r="B14" s="6" t="s">
        <v>69</v>
      </c>
      <c r="C14" s="6" t="s">
        <v>69</v>
      </c>
      <c r="D14" s="18" t="s">
        <v>1804</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53" customHeight="1" spans="1:22">
      <c r="A15" s="16"/>
      <c r="B15" s="6" t="s">
        <v>69</v>
      </c>
      <c r="C15" s="6" t="s">
        <v>69</v>
      </c>
      <c r="D15" s="18" t="s">
        <v>1805</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40.5" customHeight="1" spans="1:22">
      <c r="A16" s="16"/>
      <c r="B16" s="6" t="s">
        <v>69</v>
      </c>
      <c r="C16" s="6" t="s">
        <v>69</v>
      </c>
      <c r="D16" s="18" t="s">
        <v>1806</v>
      </c>
      <c r="E16" s="6" t="s">
        <v>69</v>
      </c>
      <c r="F16" s="11" t="s">
        <v>1036</v>
      </c>
      <c r="G16" s="11" t="s">
        <v>1036</v>
      </c>
      <c r="H16" s="11" t="s">
        <v>1036</v>
      </c>
      <c r="I16" s="11" t="s">
        <v>1036</v>
      </c>
      <c r="J16" s="11" t="s">
        <v>1036</v>
      </c>
      <c r="K16" s="11" t="s">
        <v>1036</v>
      </c>
      <c r="L16" s="11" t="s">
        <v>1036</v>
      </c>
      <c r="M16" s="11" t="s">
        <v>1036</v>
      </c>
      <c r="N16" s="11" t="s">
        <v>1032</v>
      </c>
      <c r="O16" s="11" t="s">
        <v>69</v>
      </c>
      <c r="P16" s="11" t="s">
        <v>69</v>
      </c>
      <c r="Q16" s="11" t="s">
        <v>69</v>
      </c>
      <c r="R16" s="11" t="s">
        <v>69</v>
      </c>
      <c r="S16" s="11" t="s">
        <v>69</v>
      </c>
      <c r="T16" s="11" t="s">
        <v>69</v>
      </c>
      <c r="U16" s="11" t="s">
        <v>69</v>
      </c>
      <c r="V16" s="12" t="s">
        <v>69</v>
      </c>
    </row>
    <row r="17" ht="15.5"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5.5" customHeight="1" spans="1:22">
      <c r="A18" s="16"/>
      <c r="B18" s="6" t="s">
        <v>69</v>
      </c>
      <c r="C18" s="6" t="s">
        <v>69</v>
      </c>
      <c r="D18" s="18" t="s">
        <v>1795</v>
      </c>
      <c r="E18" s="6" t="s">
        <v>69</v>
      </c>
      <c r="F18" s="11" t="s">
        <v>1032</v>
      </c>
      <c r="G18" s="11" t="s">
        <v>1032</v>
      </c>
      <c r="H18" s="11" t="s">
        <v>1032</v>
      </c>
      <c r="I18" s="11" t="s">
        <v>1036</v>
      </c>
      <c r="J18" s="11" t="s">
        <v>1032</v>
      </c>
      <c r="K18" s="11" t="s">
        <v>1032</v>
      </c>
      <c r="L18" s="11" t="s">
        <v>1032</v>
      </c>
      <c r="M18" s="11" t="s">
        <v>1032</v>
      </c>
      <c r="N18" s="11" t="s">
        <v>1036</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1796</v>
      </c>
      <c r="E19" s="6" t="s">
        <v>69</v>
      </c>
      <c r="F19" s="11" t="s">
        <v>1036</v>
      </c>
      <c r="G19" s="11" t="s">
        <v>1036</v>
      </c>
      <c r="H19" s="11" t="s">
        <v>1036</v>
      </c>
      <c r="I19" s="11" t="s">
        <v>1032</v>
      </c>
      <c r="J19" s="11" t="s">
        <v>1036</v>
      </c>
      <c r="K19" s="11" t="s">
        <v>1036</v>
      </c>
      <c r="L19" s="11" t="s">
        <v>1036</v>
      </c>
      <c r="M19" s="11" t="s">
        <v>1036</v>
      </c>
      <c r="N19" s="11" t="s">
        <v>1032</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1008</v>
      </c>
      <c r="G20" s="11" t="s">
        <v>1008</v>
      </c>
      <c r="H20" s="11" t="s">
        <v>1008</v>
      </c>
      <c r="I20" s="11" t="s">
        <v>1009</v>
      </c>
      <c r="J20" s="11" t="s">
        <v>1008</v>
      </c>
      <c r="K20" s="11" t="s">
        <v>1008</v>
      </c>
      <c r="L20" s="11" t="s">
        <v>1008</v>
      </c>
      <c r="M20" s="11" t="s">
        <v>1008</v>
      </c>
      <c r="N20" s="11" t="s">
        <v>1009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1051</v>
      </c>
      <c r="J21" s="11" t="s">
        <v>1051</v>
      </c>
      <c r="K21" s="11" t="s">
        <v>1051</v>
      </c>
      <c r="L21" s="11" t="s">
        <v>1051</v>
      </c>
      <c r="M21" s="11" t="s">
        <v>1051</v>
      </c>
      <c r="N21" s="11" t="s">
        <v>1051</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6"/>
    <mergeCell ref="A17:A19"/>
    <mergeCell ref="A20:A23"/>
  </mergeCells>
  <dataValidations count="3">
    <dataValidation type="list" allowBlank="1" sqref="F20:V20">
      <formula1>"N,A,B"</formula1>
    </dataValidation>
    <dataValidation type="list" allowBlank="1" sqref="F21:V21">
      <formula1>"P,F"</formula1>
    </dataValidation>
    <dataValidation type="list" allowBlank="1" sqref="F10:V16 F8:V9 F18:V19">
      <formula1>"O,-"</formula1>
    </dataValidation>
  </dataValidations>
  <pageMargins left="0.7" right="0.7" top="0.75" bottom="0.75" header="0.3" footer="0.3"/>
  <pageSetup paperSize="1" orientation="portrait" useFirstPageNumber="1"/>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454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1807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2</v>
      </c>
      <c r="M5" s="11">
        <v>2</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1809</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1810</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1811</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1812</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1813</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5.5" customHeight="1" spans="1:22">
      <c r="A14" s="16"/>
      <c r="B14" s="6" t="s">
        <v>69</v>
      </c>
      <c r="C14" s="6" t="s">
        <v>69</v>
      </c>
      <c r="D14" s="18" t="s">
        <v>1814</v>
      </c>
      <c r="E14" s="6" t="s">
        <v>69</v>
      </c>
      <c r="F14" s="11" t="s">
        <v>1032</v>
      </c>
      <c r="G14" s="11" t="s">
        <v>1032</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6" t="s">
        <v>69</v>
      </c>
      <c r="C15" s="6" t="s">
        <v>69</v>
      </c>
      <c r="D15" s="18" t="s">
        <v>1815</v>
      </c>
      <c r="E15" s="6" t="s">
        <v>69</v>
      </c>
      <c r="F15" s="11" t="s">
        <v>1036</v>
      </c>
      <c r="G15" s="11" t="s">
        <v>1036</v>
      </c>
      <c r="H15" s="11" t="s">
        <v>1032</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1816</v>
      </c>
      <c r="E16" s="6" t="s">
        <v>69</v>
      </c>
      <c r="F16" s="11" t="s">
        <v>1036</v>
      </c>
      <c r="G16" s="11" t="s">
        <v>1036</v>
      </c>
      <c r="H16" s="11" t="s">
        <v>1036</v>
      </c>
      <c r="I16" s="11" t="s">
        <v>1032</v>
      </c>
      <c r="J16" s="11" t="s">
        <v>1032</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63</v>
      </c>
      <c r="H17" s="11" t="s">
        <v>1008</v>
      </c>
      <c r="I17" s="11" t="s">
        <v>1008</v>
      </c>
      <c r="J17" s="11" t="s">
        <v>1009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1051</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7:V17">
      <formula1>"N,A,B"</formula1>
    </dataValidation>
    <dataValidation type="list" allowBlank="1" sqref="F18:V18">
      <formula1>"P,F"</formula1>
    </dataValidation>
    <dataValidation type="list" allowBlank="1" sqref="F10:V12 F14:V16 F8:V9">
      <formula1>"O,-"</formula1>
    </dataValidation>
  </dataValidations>
  <pageMargins left="0.7" right="0.7" top="0.75" bottom="0.75" header="0.3" footer="0.3"/>
  <pageSetup paperSize="1" orientation="portrait" useFirstPageNumber="1"/>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458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1817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3</v>
      </c>
      <c r="M5" s="11">
        <v>2</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1818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1819</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1761</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1820</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1821</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1822</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1823</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5.5" customHeight="1" spans="1:22">
      <c r="A15" s="16"/>
      <c r="B15" s="6" t="s">
        <v>69</v>
      </c>
      <c r="C15" s="6" t="s">
        <v>69</v>
      </c>
      <c r="D15" s="18" t="s">
        <v>1819</v>
      </c>
      <c r="E15" s="6" t="s">
        <v>69</v>
      </c>
      <c r="F15" s="11" t="s">
        <v>1032</v>
      </c>
      <c r="G15" s="11" t="s">
        <v>1032</v>
      </c>
      <c r="H15" s="11" t="s">
        <v>1036</v>
      </c>
      <c r="I15" s="11" t="s">
        <v>1036</v>
      </c>
      <c r="J15" s="11" t="s">
        <v>1036</v>
      </c>
      <c r="K15" s="11" t="s">
        <v>1032</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1824</v>
      </c>
      <c r="E16" s="6" t="s">
        <v>69</v>
      </c>
      <c r="F16" s="11" t="s">
        <v>1036</v>
      </c>
      <c r="G16" s="11" t="s">
        <v>1036</v>
      </c>
      <c r="H16" s="11" t="s">
        <v>1032</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1825</v>
      </c>
      <c r="E17" s="6" t="s">
        <v>69</v>
      </c>
      <c r="F17" s="11" t="s">
        <v>1036</v>
      </c>
      <c r="G17" s="11" t="s">
        <v>1036</v>
      </c>
      <c r="H17" s="11" t="s">
        <v>1036</v>
      </c>
      <c r="I17" s="11" t="s">
        <v>1032</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1826</v>
      </c>
      <c r="E18" s="6" t="s">
        <v>69</v>
      </c>
      <c r="F18" s="11" t="s">
        <v>1036</v>
      </c>
      <c r="G18" s="11" t="s">
        <v>1036</v>
      </c>
      <c r="H18" s="11" t="s">
        <v>1036</v>
      </c>
      <c r="I18" s="11" t="s">
        <v>1036</v>
      </c>
      <c r="J18" s="11" t="s">
        <v>1032</v>
      </c>
      <c r="K18" s="11" t="s">
        <v>1036</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63</v>
      </c>
      <c r="G19" s="11" t="s">
        <v>63</v>
      </c>
      <c r="H19" s="11" t="s">
        <v>1008</v>
      </c>
      <c r="I19" s="11" t="s">
        <v>1008</v>
      </c>
      <c r="J19" s="11" t="s">
        <v>1008</v>
      </c>
      <c r="K19" s="11" t="s">
        <v>1009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9:V19">
      <formula1>"N,A,B"</formula1>
    </dataValidation>
    <dataValidation type="list" allowBlank="1" sqref="F20:V20">
      <formula1>"P,F"</formula1>
    </dataValidation>
    <dataValidation type="list" allowBlank="1" sqref="F10:V13 F15:V18 F8:V9">
      <formula1>"O,-"</formula1>
    </dataValidation>
  </dataValidations>
  <pageMargins left="0.7" right="0.7" top="0.75" bottom="0.75" header="0.3" footer="0.3"/>
  <pageSetup paperSize="1" orientation="portrait" useFirstPageNumber="1"/>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462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1827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2</v>
      </c>
      <c r="M5" s="11">
        <v>3</v>
      </c>
      <c r="N5" s="11">
        <v>2</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1809</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1829</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1830</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1831</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1832</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1833</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1834</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5.5" customHeight="1" spans="1:22">
      <c r="A16" s="16"/>
      <c r="B16" s="6" t="s">
        <v>69</v>
      </c>
      <c r="C16" s="6" t="s">
        <v>69</v>
      </c>
      <c r="D16" s="18" t="s">
        <v>1795</v>
      </c>
      <c r="E16" s="6" t="s">
        <v>69</v>
      </c>
      <c r="F16" s="11" t="s">
        <v>1032</v>
      </c>
      <c r="G16" s="11" t="s">
        <v>1032</v>
      </c>
      <c r="H16" s="11" t="s">
        <v>1032</v>
      </c>
      <c r="I16" s="11" t="s">
        <v>1032</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1796</v>
      </c>
      <c r="E17" s="6" t="s">
        <v>69</v>
      </c>
      <c r="F17" s="11" t="s">
        <v>1036</v>
      </c>
      <c r="G17" s="11" t="s">
        <v>1036</v>
      </c>
      <c r="H17" s="11" t="s">
        <v>1036</v>
      </c>
      <c r="I17" s="11" t="s">
        <v>1036</v>
      </c>
      <c r="J17" s="11" t="s">
        <v>1032</v>
      </c>
      <c r="K17" s="11" t="s">
        <v>1032</v>
      </c>
      <c r="L17" s="11" t="s">
        <v>1032</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1009</v>
      </c>
      <c r="G18" s="11" t="s">
        <v>1009</v>
      </c>
      <c r="H18" s="11" t="s">
        <v>1008</v>
      </c>
      <c r="I18" s="11" t="s">
        <v>1008</v>
      </c>
      <c r="J18" s="11" t="s">
        <v>63</v>
      </c>
      <c r="K18" s="11" t="s">
        <v>63</v>
      </c>
      <c r="L18" s="11" t="s">
        <v>63</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1051</v>
      </c>
      <c r="K19" s="11" t="s">
        <v>1051</v>
      </c>
      <c r="L19" s="11" t="s">
        <v>1051</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4"/>
    <mergeCell ref="A15:A17"/>
    <mergeCell ref="A18:A21"/>
  </mergeCells>
  <dataValidations count="3">
    <dataValidation type="list" allowBlank="1" sqref="F18:V18">
      <formula1>"N,A,B"</formula1>
    </dataValidation>
    <dataValidation type="list" allowBlank="1" sqref="F19:V19">
      <formula1>"P,F"</formula1>
    </dataValidation>
    <dataValidation type="list" allowBlank="1" sqref="F10:V14 F8:V9 F16:V17">
      <formula1>"O,-"</formula1>
    </dataValidation>
  </dataValidations>
  <pageMargins left="0.7" right="0.7" top="0.75" bottom="0.75" header="0.3" footer="0.3"/>
  <pageSetup paperSize="1" orientation="portrait" useFirstPageNumber="1"/>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425</v>
      </c>
      <c r="C1" s="2"/>
      <c r="D1" s="2"/>
      <c r="E1" s="2"/>
      <c r="F1" s="3" t="s">
        <v>1019</v>
      </c>
      <c r="G1" s="3"/>
      <c r="H1" s="3"/>
      <c r="I1" s="3"/>
      <c r="J1" s="3"/>
      <c r="K1" s="3"/>
      <c r="L1" s="4" t="s">
        <v>466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1835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1836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1837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1838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1839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1840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1841</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1842</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1843</v>
      </c>
      <c r="E15" s="6" t="s">
        <v>69</v>
      </c>
      <c r="F15" s="11" t="s">
        <v>1036</v>
      </c>
      <c r="G15" s="11" t="s">
        <v>1036</v>
      </c>
      <c r="H15" s="11" t="s">
        <v>1032</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1008</v>
      </c>
      <c r="H16" s="11" t="s">
        <v>63</v>
      </c>
      <c r="I16" s="11" t="s">
        <v>1009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472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1844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1845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1846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1847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1848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477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1849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1850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1851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1852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1853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481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1854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4</v>
      </c>
      <c r="M5" s="11">
        <v>0</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1855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1856</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1857</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1858</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1859</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1819</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1860</v>
      </c>
      <c r="E14" s="6" t="s">
        <v>69</v>
      </c>
      <c r="F14" s="11" t="s">
        <v>1032</v>
      </c>
      <c r="G14" s="11" t="s">
        <v>1032</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6" t="s">
        <v>69</v>
      </c>
      <c r="C15" s="6" t="s">
        <v>69</v>
      </c>
      <c r="D15" s="18" t="s">
        <v>1861</v>
      </c>
      <c r="E15" s="6" t="s">
        <v>69</v>
      </c>
      <c r="F15" s="11" t="s">
        <v>1036</v>
      </c>
      <c r="G15" s="11" t="s">
        <v>1036</v>
      </c>
      <c r="H15" s="11" t="s">
        <v>1032</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1862</v>
      </c>
      <c r="E16" s="6" t="s">
        <v>69</v>
      </c>
      <c r="F16" s="11" t="s">
        <v>1036</v>
      </c>
      <c r="G16" s="11" t="s">
        <v>1036</v>
      </c>
      <c r="H16" s="11" t="s">
        <v>1036</v>
      </c>
      <c r="I16" s="11" t="s">
        <v>1032</v>
      </c>
      <c r="J16" s="11" t="s">
        <v>1032</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1008</v>
      </c>
      <c r="J17" s="11" t="s">
        <v>1009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1051</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2"/>
    <mergeCell ref="A13:A16"/>
    <mergeCell ref="A17:A20"/>
  </mergeCells>
  <dataValidations count="3">
    <dataValidation type="list" allowBlank="1" sqref="F17:V17">
      <formula1>"N,A,B"</formula1>
    </dataValidation>
    <dataValidation type="list" allowBlank="1" sqref="F18:V18">
      <formula1>"P,F"</formula1>
    </dataValidation>
    <dataValidation type="list" allowBlank="1" sqref="F10:V12 F14:V16 F8:V9">
      <formula1>"O,-"</formula1>
    </dataValidation>
  </dataValidations>
  <pageMargins left="0.7" right="0.7" top="0.75" bottom="0.75" header="0.3" footer="0.3"/>
  <pageSetup paperSize="1" orientation="portrait" useFirstPageNumber="1"/>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485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1863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3</v>
      </c>
      <c r="M5" s="11">
        <v>5</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1865</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1866</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1867</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1868</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1869</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1819</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1870</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1871</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5.5" customHeight="1" spans="1:22">
      <c r="A17" s="16"/>
      <c r="B17" s="6" t="s">
        <v>69</v>
      </c>
      <c r="C17" s="6" t="s">
        <v>69</v>
      </c>
      <c r="D17" s="18" t="s">
        <v>1872</v>
      </c>
      <c r="E17" s="6" t="s">
        <v>69</v>
      </c>
      <c r="F17" s="11" t="s">
        <v>1032</v>
      </c>
      <c r="G17" s="11" t="s">
        <v>1036</v>
      </c>
      <c r="H17" s="11" t="s">
        <v>1036</v>
      </c>
      <c r="I17" s="11" t="s">
        <v>1032</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1873</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1874</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1819</v>
      </c>
      <c r="E20" s="6" t="s">
        <v>69</v>
      </c>
      <c r="F20" s="11" t="s">
        <v>1036</v>
      </c>
      <c r="G20" s="11" t="s">
        <v>1036</v>
      </c>
      <c r="H20" s="11" t="s">
        <v>1036</v>
      </c>
      <c r="I20" s="11" t="s">
        <v>1036</v>
      </c>
      <c r="J20" s="11" t="s">
        <v>1032</v>
      </c>
      <c r="K20" s="11" t="s">
        <v>1032</v>
      </c>
      <c r="L20" s="11" t="s">
        <v>1032</v>
      </c>
      <c r="M20" s="11" t="s">
        <v>1032</v>
      </c>
      <c r="N20" s="11" t="s">
        <v>69</v>
      </c>
      <c r="O20" s="11" t="s">
        <v>69</v>
      </c>
      <c r="P20" s="11" t="s">
        <v>69</v>
      </c>
      <c r="Q20" s="11" t="s">
        <v>69</v>
      </c>
      <c r="R20" s="11" t="s">
        <v>69</v>
      </c>
      <c r="S20" s="11" t="s">
        <v>69</v>
      </c>
      <c r="T20" s="11" t="s">
        <v>69</v>
      </c>
      <c r="U20" s="11" t="s">
        <v>69</v>
      </c>
      <c r="V20" s="12" t="s">
        <v>69</v>
      </c>
    </row>
    <row r="21" ht="18" customHeight="1" spans="1:22">
      <c r="A21" s="19" t="s">
        <v>1048</v>
      </c>
      <c r="B21" s="20" t="s">
        <v>1049</v>
      </c>
      <c r="C21" s="20"/>
      <c r="D21" s="20"/>
      <c r="E21" s="6" t="s">
        <v>69</v>
      </c>
      <c r="F21" s="11" t="s">
        <v>1008</v>
      </c>
      <c r="G21" s="11" t="s">
        <v>1008</v>
      </c>
      <c r="H21" s="11" t="s">
        <v>1008</v>
      </c>
      <c r="I21" s="11" t="s">
        <v>63</v>
      </c>
      <c r="J21" s="11" t="s">
        <v>63</v>
      </c>
      <c r="K21" s="11" t="s">
        <v>63</v>
      </c>
      <c r="L21" s="11" t="s">
        <v>63</v>
      </c>
      <c r="M21" s="11" t="s">
        <v>63</v>
      </c>
      <c r="N21" s="11" t="s">
        <v>69</v>
      </c>
      <c r="O21" s="11" t="s">
        <v>69</v>
      </c>
      <c r="P21" s="11" t="s">
        <v>69</v>
      </c>
      <c r="Q21" s="11" t="s">
        <v>69</v>
      </c>
      <c r="R21" s="11" t="s">
        <v>69</v>
      </c>
      <c r="S21" s="11" t="s">
        <v>69</v>
      </c>
      <c r="T21" s="11" t="s">
        <v>69</v>
      </c>
      <c r="U21" s="11" t="s">
        <v>69</v>
      </c>
      <c r="V21" s="12" t="s">
        <v>69</v>
      </c>
    </row>
    <row r="22" ht="18" customHeight="1" spans="1:22">
      <c r="A22" s="19"/>
      <c r="B22" s="20" t="s">
        <v>1050</v>
      </c>
      <c r="C22" s="20"/>
      <c r="D22" s="20"/>
      <c r="E22" s="6" t="s">
        <v>69</v>
      </c>
      <c r="F22" s="11" t="s">
        <v>1051</v>
      </c>
      <c r="G22" s="11" t="s">
        <v>1051</v>
      </c>
      <c r="H22" s="11" t="s">
        <v>1051</v>
      </c>
      <c r="I22" s="11" t="s">
        <v>1051</v>
      </c>
      <c r="J22" s="11" t="s">
        <v>1051</v>
      </c>
      <c r="K22" s="11" t="s">
        <v>1051</v>
      </c>
      <c r="L22" s="11" t="s">
        <v>1051</v>
      </c>
      <c r="M22" s="11" t="s">
        <v>1051</v>
      </c>
      <c r="N22" s="11" t="s">
        <v>69</v>
      </c>
      <c r="O22" s="11" t="s">
        <v>69</v>
      </c>
      <c r="P22" s="11" t="s">
        <v>69</v>
      </c>
      <c r="Q22" s="11" t="s">
        <v>69</v>
      </c>
      <c r="R22" s="11" t="s">
        <v>69</v>
      </c>
      <c r="S22" s="11" t="s">
        <v>69</v>
      </c>
      <c r="T22" s="11" t="s">
        <v>69</v>
      </c>
      <c r="U22" s="11" t="s">
        <v>69</v>
      </c>
      <c r="V22" s="12" t="s">
        <v>69</v>
      </c>
    </row>
    <row r="23" ht="18"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18"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5"/>
    <mergeCell ref="A16:A20"/>
    <mergeCell ref="A21:A24"/>
  </mergeCells>
  <dataValidations count="3">
    <dataValidation type="list" allowBlank="1" sqref="F21:V21">
      <formula1>"N,A,B"</formula1>
    </dataValidation>
    <dataValidation type="list" allowBlank="1" sqref="F22:V22">
      <formula1>"P,F"</formula1>
    </dataValidation>
    <dataValidation type="list" allowBlank="1" sqref="F10:V15 F17:V20 F8:V9">
      <formula1>"O,-"</formula1>
    </dataValidation>
  </dataValidations>
  <pageMargins left="0.7" right="0.7" top="0.75" bottom="0.75" header="0.3" footer="0.3"/>
  <pageSetup paperSize="1" orientation="portrait" useFirstPageNumber="1"/>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489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1875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5</v>
      </c>
      <c r="M5" s="11">
        <v>0</v>
      </c>
      <c r="N5" s="11">
        <v>3</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15.5" customHeight="1" spans="1:22">
      <c r="A7" s="16" t="s">
        <v>1029</v>
      </c>
      <c r="B7" s="17" t="s">
        <v>1876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1877</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1878</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1879</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1880</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1881</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1819</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1761</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15.5" customHeight="1" spans="1:22">
      <c r="A15" s="16"/>
      <c r="B15" s="6" t="s">
        <v>69</v>
      </c>
      <c r="C15" s="6" t="s">
        <v>69</v>
      </c>
      <c r="D15" s="18" t="s">
        <v>1882</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5.5" customHeight="1" spans="1:22">
      <c r="A17" s="16"/>
      <c r="B17" s="6" t="s">
        <v>69</v>
      </c>
      <c r="C17" s="6" t="s">
        <v>69</v>
      </c>
      <c r="D17" s="18" t="s">
        <v>1795</v>
      </c>
      <c r="E17" s="6" t="s">
        <v>69</v>
      </c>
      <c r="F17" s="11" t="s">
        <v>1032</v>
      </c>
      <c r="G17" s="11" t="s">
        <v>1032</v>
      </c>
      <c r="H17" s="11" t="s">
        <v>1032</v>
      </c>
      <c r="I17" s="11" t="s">
        <v>1032</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1796</v>
      </c>
      <c r="E18" s="6" t="s">
        <v>69</v>
      </c>
      <c r="F18" s="11" t="s">
        <v>1036</v>
      </c>
      <c r="G18" s="11" t="s">
        <v>1036</v>
      </c>
      <c r="H18" s="11" t="s">
        <v>1036</v>
      </c>
      <c r="I18" s="11" t="s">
        <v>1036</v>
      </c>
      <c r="J18" s="11" t="s">
        <v>1032</v>
      </c>
      <c r="K18" s="11" t="s">
        <v>1032</v>
      </c>
      <c r="L18" s="11" t="s">
        <v>1032</v>
      </c>
      <c r="M18" s="11" t="s">
        <v>1032</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1008</v>
      </c>
      <c r="K19" s="11" t="s">
        <v>1009</v>
      </c>
      <c r="L19" s="11" t="s">
        <v>1009</v>
      </c>
      <c r="M19" s="11" t="s">
        <v>1009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1051</v>
      </c>
      <c r="L20" s="11" t="s">
        <v>1051</v>
      </c>
      <c r="M20" s="11" t="s">
        <v>1051</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5"/>
    <mergeCell ref="A16:A18"/>
    <mergeCell ref="A19:A22"/>
  </mergeCells>
  <dataValidations count="3">
    <dataValidation type="list" allowBlank="1" sqref="F19:V19">
      <formula1>"N,A,B"</formula1>
    </dataValidation>
    <dataValidation type="list" allowBlank="1" sqref="F20:V20">
      <formula1>"P,F"</formula1>
    </dataValidation>
    <dataValidation type="list" allowBlank="1" sqref="F10:V15 F17:V18 F8:V9">
      <formula1>"O,-"</formula1>
    </dataValidation>
  </dataValidations>
  <pageMargins left="0.7" right="0.7" top="0.75" bottom="0.75" header="0.3" footer="0.3"/>
  <pageSetup paperSize="1" orientation="portrait" useFirstPageNumber="1"/>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493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1883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1884</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1885</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1886</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1887</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1888</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1889</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1890</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1891</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63</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471</v>
      </c>
      <c r="C1" s="2"/>
      <c r="D1" s="2"/>
      <c r="E1" s="2"/>
      <c r="F1" s="3" t="s">
        <v>1019</v>
      </c>
      <c r="G1" s="3"/>
      <c r="H1" s="3"/>
      <c r="I1" s="3"/>
      <c r="J1" s="3"/>
      <c r="K1" s="3"/>
      <c r="L1" s="4" t="s">
        <v>497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1892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3</v>
      </c>
      <c r="M5" s="11">
        <v>1</v>
      </c>
      <c r="N5" s="11">
        <v>2</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1893</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1819</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1894</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1895</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1896</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1897</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5.5" customHeight="1" spans="1:22">
      <c r="A15" s="16"/>
      <c r="B15" s="6" t="s">
        <v>69</v>
      </c>
      <c r="C15" s="6" t="s">
        <v>69</v>
      </c>
      <c r="D15" s="18" t="s">
        <v>1898</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1819</v>
      </c>
      <c r="E16" s="6" t="s">
        <v>69</v>
      </c>
      <c r="F16" s="11" t="s">
        <v>1036</v>
      </c>
      <c r="G16" s="11" t="s">
        <v>1032</v>
      </c>
      <c r="H16" s="11" t="s">
        <v>1032</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28" customHeight="1" spans="1:22">
      <c r="A17" s="16"/>
      <c r="B17" s="6" t="s">
        <v>69</v>
      </c>
      <c r="C17" s="6" t="s">
        <v>69</v>
      </c>
      <c r="D17" s="18" t="s">
        <v>1899</v>
      </c>
      <c r="E17" s="6" t="s">
        <v>69</v>
      </c>
      <c r="F17" s="11" t="s">
        <v>1036</v>
      </c>
      <c r="G17" s="11" t="s">
        <v>1036</v>
      </c>
      <c r="H17" s="11" t="s">
        <v>1036</v>
      </c>
      <c r="I17" s="11" t="s">
        <v>1032</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40.5" customHeight="1" spans="1:22">
      <c r="A18" s="16"/>
      <c r="B18" s="6" t="s">
        <v>69</v>
      </c>
      <c r="C18" s="6" t="s">
        <v>69</v>
      </c>
      <c r="D18" s="18" t="s">
        <v>1900</v>
      </c>
      <c r="E18" s="6" t="s">
        <v>69</v>
      </c>
      <c r="F18" s="11" t="s">
        <v>1036</v>
      </c>
      <c r="G18" s="11" t="s">
        <v>1036</v>
      </c>
      <c r="H18" s="11" t="s">
        <v>1036</v>
      </c>
      <c r="I18" s="11" t="s">
        <v>1036</v>
      </c>
      <c r="J18" s="11" t="s">
        <v>1032</v>
      </c>
      <c r="K18" s="11" t="s">
        <v>1036</v>
      </c>
      <c r="L18" s="11" t="s">
        <v>69</v>
      </c>
      <c r="M18" s="11" t="s">
        <v>69</v>
      </c>
      <c r="N18" s="11" t="s">
        <v>69</v>
      </c>
      <c r="O18" s="11" t="s">
        <v>69</v>
      </c>
      <c r="P18" s="11" t="s">
        <v>69</v>
      </c>
      <c r="Q18" s="11" t="s">
        <v>69</v>
      </c>
      <c r="R18" s="11" t="s">
        <v>69</v>
      </c>
      <c r="S18" s="11" t="s">
        <v>69</v>
      </c>
      <c r="T18" s="11" t="s">
        <v>69</v>
      </c>
      <c r="U18" s="11" t="s">
        <v>69</v>
      </c>
      <c r="V18" s="12" t="s">
        <v>69</v>
      </c>
    </row>
    <row r="19" ht="40.5" customHeight="1" spans="1:22">
      <c r="A19" s="16"/>
      <c r="B19" s="6" t="s">
        <v>69</v>
      </c>
      <c r="C19" s="6" t="s">
        <v>69</v>
      </c>
      <c r="D19" s="18" t="s">
        <v>1901</v>
      </c>
      <c r="E19" s="6" t="s">
        <v>69</v>
      </c>
      <c r="F19" s="11" t="s">
        <v>1036</v>
      </c>
      <c r="G19" s="11" t="s">
        <v>1036</v>
      </c>
      <c r="H19" s="11" t="s">
        <v>1036</v>
      </c>
      <c r="I19" s="11" t="s">
        <v>1036</v>
      </c>
      <c r="J19" s="11" t="s">
        <v>1036</v>
      </c>
      <c r="K19" s="11" t="s">
        <v>1032</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1008</v>
      </c>
      <c r="G20" s="11" t="s">
        <v>63</v>
      </c>
      <c r="H20" s="11" t="s">
        <v>1009</v>
      </c>
      <c r="I20" s="11" t="s">
        <v>1009</v>
      </c>
      <c r="J20" s="11" t="s">
        <v>1008</v>
      </c>
      <c r="K20" s="11" t="s">
        <v>1008</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1051</v>
      </c>
      <c r="J21" s="11" t="s">
        <v>1051</v>
      </c>
      <c r="K21" s="11" t="s">
        <v>1051</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3"/>
    <mergeCell ref="A14:A19"/>
    <mergeCell ref="A20:A23"/>
  </mergeCells>
  <dataValidations count="3">
    <dataValidation type="list" allowBlank="1" sqref="F20:V20">
      <formula1>"N,A,B"</formula1>
    </dataValidation>
    <dataValidation type="list" allowBlank="1" sqref="F21:V21">
      <formula1>"P,F"</formula1>
    </dataValidation>
    <dataValidation type="list" allowBlank="1" sqref="F10:V13 F15:V19 F8:V9">
      <formula1>"O,-"</formula1>
    </dataValidation>
  </dataValidations>
  <pageMargins left="0.7" right="0.7" top="0.75" bottom="0.75" header="0.3" footer="0.3"/>
  <pageSetup paperSize="1" orientation="portrait" useFirstPageNumber="1"/>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504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1902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1828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1903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1904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5.5" customHeight="1" spans="1:22">
      <c r="A11" s="16"/>
      <c r="B11" s="6" t="s">
        <v>69</v>
      </c>
      <c r="C11" s="6" t="s">
        <v>69</v>
      </c>
      <c r="D11" s="18" t="s">
        <v>1905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1906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508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1907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6</v>
      </c>
      <c r="M5" s="11">
        <v>0</v>
      </c>
      <c r="N5" s="11">
        <v>0</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1908</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1909</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1910</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1911</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1912</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1913</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1914</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5.5" customHeight="1" spans="1:22">
      <c r="A15" s="16"/>
      <c r="B15" s="6" t="s">
        <v>69</v>
      </c>
      <c r="C15" s="6" t="s">
        <v>69</v>
      </c>
      <c r="D15" s="18" t="s">
        <v>1915</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1916</v>
      </c>
      <c r="E16" s="6" t="s">
        <v>69</v>
      </c>
      <c r="F16" s="11" t="s">
        <v>1036</v>
      </c>
      <c r="G16" s="11" t="s">
        <v>1032</v>
      </c>
      <c r="H16" s="11" t="s">
        <v>1036</v>
      </c>
      <c r="I16" s="11" t="s">
        <v>1036</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1917</v>
      </c>
      <c r="E17" s="6" t="s">
        <v>69</v>
      </c>
      <c r="F17" s="11" t="s">
        <v>1036</v>
      </c>
      <c r="G17" s="11" t="s">
        <v>1036</v>
      </c>
      <c r="H17" s="11" t="s">
        <v>1032</v>
      </c>
      <c r="I17" s="11" t="s">
        <v>1036</v>
      </c>
      <c r="J17" s="11" t="s">
        <v>1036</v>
      </c>
      <c r="K17" s="11" t="s">
        <v>1036</v>
      </c>
      <c r="L17" s="11" t="s">
        <v>69</v>
      </c>
      <c r="M17" s="11" t="s">
        <v>69</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1918</v>
      </c>
      <c r="E18" s="6" t="s">
        <v>69</v>
      </c>
      <c r="F18" s="11" t="s">
        <v>1036</v>
      </c>
      <c r="G18" s="11" t="s">
        <v>1036</v>
      </c>
      <c r="H18" s="11" t="s">
        <v>1036</v>
      </c>
      <c r="I18" s="11" t="s">
        <v>1032</v>
      </c>
      <c r="J18" s="11" t="s">
        <v>1036</v>
      </c>
      <c r="K18" s="11" t="s">
        <v>1036</v>
      </c>
      <c r="L18" s="11" t="s">
        <v>69</v>
      </c>
      <c r="M18" s="11" t="s">
        <v>69</v>
      </c>
      <c r="N18" s="11" t="s">
        <v>69</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1919</v>
      </c>
      <c r="E19" s="6" t="s">
        <v>69</v>
      </c>
      <c r="F19" s="11" t="s">
        <v>1036</v>
      </c>
      <c r="G19" s="11" t="s">
        <v>1036</v>
      </c>
      <c r="H19" s="11" t="s">
        <v>1036</v>
      </c>
      <c r="I19" s="11" t="s">
        <v>1036</v>
      </c>
      <c r="J19" s="11" t="s">
        <v>1032</v>
      </c>
      <c r="K19" s="11" t="s">
        <v>1036</v>
      </c>
      <c r="L19" s="11" t="s">
        <v>69</v>
      </c>
      <c r="M19" s="11" t="s">
        <v>69</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1920</v>
      </c>
      <c r="E20" s="6" t="s">
        <v>69</v>
      </c>
      <c r="F20" s="11" t="s">
        <v>1036</v>
      </c>
      <c r="G20" s="11" t="s">
        <v>1036</v>
      </c>
      <c r="H20" s="11" t="s">
        <v>1036</v>
      </c>
      <c r="I20" s="11" t="s">
        <v>1036</v>
      </c>
      <c r="J20" s="11" t="s">
        <v>1036</v>
      </c>
      <c r="K20" s="11" t="s">
        <v>1032</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t="s">
        <v>1048</v>
      </c>
      <c r="B21" s="20" t="s">
        <v>1049</v>
      </c>
      <c r="C21" s="20"/>
      <c r="D21" s="20"/>
      <c r="E21" s="6" t="s">
        <v>69</v>
      </c>
      <c r="F21" s="11" t="s">
        <v>1008</v>
      </c>
      <c r="G21" s="11" t="s">
        <v>1008</v>
      </c>
      <c r="H21" s="11" t="s">
        <v>1008</v>
      </c>
      <c r="I21" s="11" t="s">
        <v>1008</v>
      </c>
      <c r="J21" s="11" t="s">
        <v>1008</v>
      </c>
      <c r="K21" s="11" t="s">
        <v>1008</v>
      </c>
      <c r="L21" s="11" t="s">
        <v>69</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1050</v>
      </c>
      <c r="C22" s="20"/>
      <c r="D22" s="20"/>
      <c r="E22" s="6" t="s">
        <v>69</v>
      </c>
      <c r="F22" s="11" t="s">
        <v>1051</v>
      </c>
      <c r="G22" s="11" t="s">
        <v>1051</v>
      </c>
      <c r="H22" s="11" t="s">
        <v>1051</v>
      </c>
      <c r="I22" s="11" t="s">
        <v>1051</v>
      </c>
      <c r="J22" s="11" t="s">
        <v>1051</v>
      </c>
      <c r="K22" s="11" t="s">
        <v>1051</v>
      </c>
      <c r="L22" s="11" t="s">
        <v>69</v>
      </c>
      <c r="M22" s="11" t="s">
        <v>69</v>
      </c>
      <c r="N22" s="11" t="s">
        <v>69</v>
      </c>
      <c r="O22" s="11" t="s">
        <v>69</v>
      </c>
      <c r="P22" s="11" t="s">
        <v>69</v>
      </c>
      <c r="Q22" s="11" t="s">
        <v>69</v>
      </c>
      <c r="R22" s="11" t="s">
        <v>69</v>
      </c>
      <c r="S22" s="11" t="s">
        <v>69</v>
      </c>
      <c r="T22" s="11" t="s">
        <v>69</v>
      </c>
      <c r="U22" s="11" t="s">
        <v>69</v>
      </c>
      <c r="V22" s="12" t="s">
        <v>69</v>
      </c>
    </row>
    <row r="23" ht="18"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18"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3"/>
    <mergeCell ref="A14:A20"/>
    <mergeCell ref="A21:A24"/>
  </mergeCells>
  <dataValidations count="3">
    <dataValidation type="list" allowBlank="1" sqref="F21:V21">
      <formula1>"N,A,B"</formula1>
    </dataValidation>
    <dataValidation type="list" allowBlank="1" sqref="F22:V22">
      <formula1>"P,F"</formula1>
    </dataValidation>
    <dataValidation type="list" allowBlank="1" sqref="F10:V13 F15:V20 F8:V9">
      <formula1>"O,-"</formula1>
    </dataValidation>
  </dataValidations>
  <pageMargins left="0.7" right="0.7" top="0.75" bottom="0.75" header="0.3" footer="0.3"/>
  <pageSetup paperSize="1" orientation="portrait" useFirstPageNumber="1"/>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512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1921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5</v>
      </c>
      <c r="M5" s="11">
        <v>0</v>
      </c>
      <c r="N5" s="11">
        <v>2</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1922</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1923</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1924</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1925</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15.5" customHeight="1" spans="1:22">
      <c r="A12" s="16"/>
      <c r="B12" s="6" t="s">
        <v>69</v>
      </c>
      <c r="C12" s="6" t="s">
        <v>69</v>
      </c>
      <c r="D12" s="18" t="s">
        <v>1926</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15.5" customHeight="1" spans="1:22">
      <c r="A13" s="16"/>
      <c r="B13" s="6" t="s">
        <v>69</v>
      </c>
      <c r="C13" s="6" t="s">
        <v>69</v>
      </c>
      <c r="D13" s="18" t="s">
        <v>1927</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1928</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40.5" customHeight="1" spans="1:22">
      <c r="A16" s="16"/>
      <c r="B16" s="6" t="s">
        <v>69</v>
      </c>
      <c r="C16" s="6" t="s">
        <v>69</v>
      </c>
      <c r="D16" s="18" t="s">
        <v>1929</v>
      </c>
      <c r="E16" s="6" t="s">
        <v>69</v>
      </c>
      <c r="F16" s="11" t="s">
        <v>1032</v>
      </c>
      <c r="G16" s="11" t="s">
        <v>1036</v>
      </c>
      <c r="H16" s="11" t="s">
        <v>1036</v>
      </c>
      <c r="I16" s="11" t="s">
        <v>1036</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40.5" customHeight="1" spans="1:22">
      <c r="A17" s="16"/>
      <c r="B17" s="6" t="s">
        <v>69</v>
      </c>
      <c r="C17" s="6" t="s">
        <v>69</v>
      </c>
      <c r="D17" s="18" t="s">
        <v>1930</v>
      </c>
      <c r="E17" s="6" t="s">
        <v>69</v>
      </c>
      <c r="F17" s="11" t="s">
        <v>1036</v>
      </c>
      <c r="G17" s="11" t="s">
        <v>1032</v>
      </c>
      <c r="H17" s="11" t="s">
        <v>1036</v>
      </c>
      <c r="I17" s="11" t="s">
        <v>1036</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1931</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1932</v>
      </c>
      <c r="E19" s="6" t="s">
        <v>69</v>
      </c>
      <c r="F19" s="11" t="s">
        <v>1036</v>
      </c>
      <c r="G19" s="11" t="s">
        <v>1036</v>
      </c>
      <c r="H19" s="11" t="s">
        <v>1036</v>
      </c>
      <c r="I19" s="11" t="s">
        <v>1032</v>
      </c>
      <c r="J19" s="11" t="s">
        <v>1036</v>
      </c>
      <c r="K19" s="11" t="s">
        <v>1036</v>
      </c>
      <c r="L19" s="11" t="s">
        <v>1036</v>
      </c>
      <c r="M19" s="11" t="s">
        <v>69</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1933</v>
      </c>
      <c r="E20" s="6" t="s">
        <v>69</v>
      </c>
      <c r="F20" s="11" t="s">
        <v>1036</v>
      </c>
      <c r="G20" s="11" t="s">
        <v>1036</v>
      </c>
      <c r="H20" s="11" t="s">
        <v>1036</v>
      </c>
      <c r="I20" s="11" t="s">
        <v>1036</v>
      </c>
      <c r="J20" s="11" t="s">
        <v>1032</v>
      </c>
      <c r="K20" s="11" t="s">
        <v>1036</v>
      </c>
      <c r="L20" s="11" t="s">
        <v>1036</v>
      </c>
      <c r="M20" s="11" t="s">
        <v>69</v>
      </c>
      <c r="N20" s="11" t="s">
        <v>69</v>
      </c>
      <c r="O20" s="11" t="s">
        <v>69</v>
      </c>
      <c r="P20" s="11" t="s">
        <v>69</v>
      </c>
      <c r="Q20" s="11" t="s">
        <v>69</v>
      </c>
      <c r="R20" s="11" t="s">
        <v>69</v>
      </c>
      <c r="S20" s="11" t="s">
        <v>69</v>
      </c>
      <c r="T20" s="11" t="s">
        <v>69</v>
      </c>
      <c r="U20" s="11" t="s">
        <v>69</v>
      </c>
      <c r="V20" s="12" t="s">
        <v>69</v>
      </c>
    </row>
    <row r="21" ht="15.5" customHeight="1" spans="1:22">
      <c r="A21" s="16"/>
      <c r="B21" s="6" t="s">
        <v>69</v>
      </c>
      <c r="C21" s="6" t="s">
        <v>69</v>
      </c>
      <c r="D21" s="18" t="s">
        <v>1934</v>
      </c>
      <c r="E21" s="6" t="s">
        <v>69</v>
      </c>
      <c r="F21" s="11" t="s">
        <v>1036</v>
      </c>
      <c r="G21" s="11" t="s">
        <v>1036</v>
      </c>
      <c r="H21" s="11" t="s">
        <v>1036</v>
      </c>
      <c r="I21" s="11" t="s">
        <v>1036</v>
      </c>
      <c r="J21" s="11" t="s">
        <v>1036</v>
      </c>
      <c r="K21" s="11" t="s">
        <v>1032</v>
      </c>
      <c r="L21" s="11" t="s">
        <v>1032</v>
      </c>
      <c r="M21" s="11" t="s">
        <v>69</v>
      </c>
      <c r="N21" s="11" t="s">
        <v>69</v>
      </c>
      <c r="O21" s="11" t="s">
        <v>69</v>
      </c>
      <c r="P21" s="11" t="s">
        <v>69</v>
      </c>
      <c r="Q21" s="11" t="s">
        <v>69</v>
      </c>
      <c r="R21" s="11" t="s">
        <v>69</v>
      </c>
      <c r="S21" s="11" t="s">
        <v>69</v>
      </c>
      <c r="T21" s="11" t="s">
        <v>69</v>
      </c>
      <c r="U21" s="11" t="s">
        <v>69</v>
      </c>
      <c r="V21" s="12" t="s">
        <v>69</v>
      </c>
    </row>
    <row r="22" ht="18" customHeight="1" spans="1:22">
      <c r="A22" s="19" t="s">
        <v>1048</v>
      </c>
      <c r="B22" s="20" t="s">
        <v>1049</v>
      </c>
      <c r="C22" s="20"/>
      <c r="D22" s="20"/>
      <c r="E22" s="6" t="s">
        <v>69</v>
      </c>
      <c r="F22" s="11" t="s">
        <v>1008</v>
      </c>
      <c r="G22" s="11" t="s">
        <v>1009</v>
      </c>
      <c r="H22" s="11" t="s">
        <v>1008</v>
      </c>
      <c r="I22" s="11" t="s">
        <v>1008</v>
      </c>
      <c r="J22" s="11" t="s">
        <v>1008</v>
      </c>
      <c r="K22" s="11" t="s">
        <v>1008</v>
      </c>
      <c r="L22" s="11" t="s">
        <v>1009</v>
      </c>
      <c r="M22" s="11" t="s">
        <v>69</v>
      </c>
      <c r="N22" s="11" t="s">
        <v>69</v>
      </c>
      <c r="O22" s="11" t="s">
        <v>69</v>
      </c>
      <c r="P22" s="11" t="s">
        <v>69</v>
      </c>
      <c r="Q22" s="11" t="s">
        <v>69</v>
      </c>
      <c r="R22" s="11" t="s">
        <v>69</v>
      </c>
      <c r="S22" s="11" t="s">
        <v>69</v>
      </c>
      <c r="T22" s="11" t="s">
        <v>69</v>
      </c>
      <c r="U22" s="11" t="s">
        <v>69</v>
      </c>
      <c r="V22" s="12" t="s">
        <v>69</v>
      </c>
    </row>
    <row r="23" ht="18" customHeight="1" spans="1:22">
      <c r="A23" s="19"/>
      <c r="B23" s="20" t="s">
        <v>1050</v>
      </c>
      <c r="C23" s="20"/>
      <c r="D23" s="20"/>
      <c r="E23" s="6" t="s">
        <v>69</v>
      </c>
      <c r="F23" s="11" t="s">
        <v>1051</v>
      </c>
      <c r="G23" s="11" t="s">
        <v>1051</v>
      </c>
      <c r="H23" s="11" t="s">
        <v>1051</v>
      </c>
      <c r="I23" s="11" t="s">
        <v>1051</v>
      </c>
      <c r="J23" s="11" t="s">
        <v>1051</v>
      </c>
      <c r="K23" s="11" t="s">
        <v>1051</v>
      </c>
      <c r="L23" s="11" t="s">
        <v>1051</v>
      </c>
      <c r="M23" s="11" t="s">
        <v>69</v>
      </c>
      <c r="N23" s="11" t="s">
        <v>69</v>
      </c>
      <c r="O23" s="11" t="s">
        <v>69</v>
      </c>
      <c r="P23" s="11" t="s">
        <v>69</v>
      </c>
      <c r="Q23" s="11" t="s">
        <v>69</v>
      </c>
      <c r="R23" s="11" t="s">
        <v>69</v>
      </c>
      <c r="S23" s="11" t="s">
        <v>69</v>
      </c>
      <c r="T23" s="11" t="s">
        <v>69</v>
      </c>
      <c r="U23" s="11" t="s">
        <v>69</v>
      </c>
      <c r="V23" s="12" t="s">
        <v>69</v>
      </c>
    </row>
    <row r="24" ht="18"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18"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4"/>
    <mergeCell ref="A15:A21"/>
    <mergeCell ref="A22:A25"/>
  </mergeCells>
  <dataValidations count="3">
    <dataValidation type="list" allowBlank="1" sqref="F22:V22">
      <formula1>"N,A,B"</formula1>
    </dataValidation>
    <dataValidation type="list" allowBlank="1" sqref="F23:V23">
      <formula1>"P,F"</formula1>
    </dataValidation>
    <dataValidation type="list" allowBlank="1" sqref="F10:V14 F16:V21 F8:V9">
      <formula1>"O,-"</formula1>
    </dataValidation>
  </dataValidations>
  <pageMargins left="0.7" right="0.7" top="0.75" bottom="0.75" header="0.3" footer="0.3"/>
  <pageSetup paperSize="1" orientation="portrait" useFirstPageNumber="1"/>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516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1935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1936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1937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1938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1939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1940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1941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1942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520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1943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10</v>
      </c>
      <c r="B5" s="11"/>
      <c r="C5" s="11">
        <v>0</v>
      </c>
      <c r="D5" s="11"/>
      <c r="E5" s="11"/>
      <c r="F5" s="11">
        <v>0</v>
      </c>
      <c r="G5" s="11"/>
      <c r="H5" s="11"/>
      <c r="I5" s="11"/>
      <c r="J5" s="11"/>
      <c r="K5" s="11"/>
      <c r="L5" s="11">
        <v>6</v>
      </c>
      <c r="M5" s="11">
        <v>0</v>
      </c>
      <c r="N5" s="11">
        <v>4</v>
      </c>
      <c r="O5" s="12">
        <v>10</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1709</v>
      </c>
      <c r="P6" s="14" t="s">
        <v>69</v>
      </c>
      <c r="Q6" s="14" t="s">
        <v>69</v>
      </c>
      <c r="R6" s="14" t="s">
        <v>69</v>
      </c>
      <c r="S6" s="14" t="s">
        <v>69</v>
      </c>
      <c r="T6" s="14" t="s">
        <v>69</v>
      </c>
      <c r="U6" s="14" t="s">
        <v>69</v>
      </c>
      <c r="V6" s="15" t="s">
        <v>69</v>
      </c>
    </row>
    <row r="7" ht="28" customHeight="1" spans="1:22">
      <c r="A7" s="16" t="s">
        <v>1029</v>
      </c>
      <c r="B7" s="17" t="s">
        <v>1944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1766</v>
      </c>
      <c r="E8" s="6" t="s">
        <v>69</v>
      </c>
      <c r="F8" s="11" t="s">
        <v>1032</v>
      </c>
      <c r="G8" s="11" t="s">
        <v>1036</v>
      </c>
      <c r="H8" s="11" t="s">
        <v>1036</v>
      </c>
      <c r="I8" s="11" t="s">
        <v>1036</v>
      </c>
      <c r="J8" s="11" t="s">
        <v>1036</v>
      </c>
      <c r="K8" s="11" t="s">
        <v>1036</v>
      </c>
      <c r="L8" s="11" t="s">
        <v>1036</v>
      </c>
      <c r="M8" s="11" t="s">
        <v>1036</v>
      </c>
      <c r="N8" s="11" t="s">
        <v>1036</v>
      </c>
      <c r="O8" s="11" t="s">
        <v>1036</v>
      </c>
      <c r="P8" s="11" t="s">
        <v>69</v>
      </c>
      <c r="Q8" s="11" t="s">
        <v>69</v>
      </c>
      <c r="R8" s="11" t="s">
        <v>69</v>
      </c>
      <c r="S8" s="11" t="s">
        <v>69</v>
      </c>
      <c r="T8" s="11" t="s">
        <v>69</v>
      </c>
      <c r="U8" s="11" t="s">
        <v>69</v>
      </c>
      <c r="V8" s="12" t="s">
        <v>69</v>
      </c>
    </row>
    <row r="9" ht="15.5" customHeight="1" spans="1:22">
      <c r="A9" s="16"/>
      <c r="B9" s="6" t="s">
        <v>69</v>
      </c>
      <c r="C9" s="6" t="s">
        <v>69</v>
      </c>
      <c r="D9" s="18" t="s">
        <v>1767</v>
      </c>
      <c r="E9" s="6" t="s">
        <v>69</v>
      </c>
      <c r="F9" s="11" t="s">
        <v>1036</v>
      </c>
      <c r="G9" s="11" t="s">
        <v>1032</v>
      </c>
      <c r="H9" s="11" t="s">
        <v>1036</v>
      </c>
      <c r="I9" s="11" t="s">
        <v>1036</v>
      </c>
      <c r="J9" s="11" t="s">
        <v>1036</v>
      </c>
      <c r="K9" s="11" t="s">
        <v>1036</v>
      </c>
      <c r="L9" s="11" t="s">
        <v>1036</v>
      </c>
      <c r="M9" s="11" t="s">
        <v>1036</v>
      </c>
      <c r="N9" s="11" t="s">
        <v>1036</v>
      </c>
      <c r="O9" s="11" t="s">
        <v>1036</v>
      </c>
      <c r="P9" s="11" t="s">
        <v>69</v>
      </c>
      <c r="Q9" s="11" t="s">
        <v>69</v>
      </c>
      <c r="R9" s="11" t="s">
        <v>69</v>
      </c>
      <c r="S9" s="11" t="s">
        <v>69</v>
      </c>
      <c r="T9" s="11" t="s">
        <v>69</v>
      </c>
      <c r="U9" s="11" t="s">
        <v>69</v>
      </c>
      <c r="V9" s="12" t="s">
        <v>69</v>
      </c>
    </row>
    <row r="10" ht="15.5" customHeight="1" spans="1:22">
      <c r="A10" s="16"/>
      <c r="B10" s="6" t="s">
        <v>69</v>
      </c>
      <c r="C10" s="6" t="s">
        <v>69</v>
      </c>
      <c r="D10" s="18" t="s">
        <v>1945</v>
      </c>
      <c r="E10" s="6" t="s">
        <v>69</v>
      </c>
      <c r="F10" s="11" t="s">
        <v>1036</v>
      </c>
      <c r="G10" s="11" t="s">
        <v>1036</v>
      </c>
      <c r="H10" s="11" t="s">
        <v>1032</v>
      </c>
      <c r="I10" s="11" t="s">
        <v>1036</v>
      </c>
      <c r="J10" s="11" t="s">
        <v>1036</v>
      </c>
      <c r="K10" s="11" t="s">
        <v>1036</v>
      </c>
      <c r="L10" s="11" t="s">
        <v>1036</v>
      </c>
      <c r="M10" s="11" t="s">
        <v>1036</v>
      </c>
      <c r="N10" s="11" t="s">
        <v>1036</v>
      </c>
      <c r="O10" s="11" t="s">
        <v>1036</v>
      </c>
      <c r="P10" s="11" t="s">
        <v>69</v>
      </c>
      <c r="Q10" s="11" t="s">
        <v>69</v>
      </c>
      <c r="R10" s="11" t="s">
        <v>69</v>
      </c>
      <c r="S10" s="11" t="s">
        <v>69</v>
      </c>
      <c r="T10" s="11" t="s">
        <v>69</v>
      </c>
      <c r="U10" s="11" t="s">
        <v>69</v>
      </c>
      <c r="V10" s="12" t="s">
        <v>69</v>
      </c>
    </row>
    <row r="11" ht="15.5" customHeight="1" spans="1:22">
      <c r="A11" s="16"/>
      <c r="B11" s="6" t="s">
        <v>69</v>
      </c>
      <c r="C11" s="6" t="s">
        <v>69</v>
      </c>
      <c r="D11" s="18" t="s">
        <v>1946</v>
      </c>
      <c r="E11" s="6" t="s">
        <v>69</v>
      </c>
      <c r="F11" s="11" t="s">
        <v>1036</v>
      </c>
      <c r="G11" s="11" t="s">
        <v>1036</v>
      </c>
      <c r="H11" s="11" t="s">
        <v>1036</v>
      </c>
      <c r="I11" s="11" t="s">
        <v>1032</v>
      </c>
      <c r="J11" s="11" t="s">
        <v>1036</v>
      </c>
      <c r="K11" s="11" t="s">
        <v>1036</v>
      </c>
      <c r="L11" s="11" t="s">
        <v>1036</v>
      </c>
      <c r="M11" s="11" t="s">
        <v>1036</v>
      </c>
      <c r="N11" s="11" t="s">
        <v>1036</v>
      </c>
      <c r="O11" s="11" t="s">
        <v>1036</v>
      </c>
      <c r="P11" s="11" t="s">
        <v>69</v>
      </c>
      <c r="Q11" s="11" t="s">
        <v>69</v>
      </c>
      <c r="R11" s="11" t="s">
        <v>69</v>
      </c>
      <c r="S11" s="11" t="s">
        <v>69</v>
      </c>
      <c r="T11" s="11" t="s">
        <v>69</v>
      </c>
      <c r="U11" s="11" t="s">
        <v>69</v>
      </c>
      <c r="V11" s="12" t="s">
        <v>69</v>
      </c>
    </row>
    <row r="12" ht="15.5" customHeight="1" spans="1:22">
      <c r="A12" s="16"/>
      <c r="B12" s="6" t="s">
        <v>69</v>
      </c>
      <c r="C12" s="6" t="s">
        <v>69</v>
      </c>
      <c r="D12" s="18" t="s">
        <v>1947</v>
      </c>
      <c r="E12" s="6" t="s">
        <v>69</v>
      </c>
      <c r="F12" s="11" t="s">
        <v>1036</v>
      </c>
      <c r="G12" s="11" t="s">
        <v>1036</v>
      </c>
      <c r="H12" s="11" t="s">
        <v>1036</v>
      </c>
      <c r="I12" s="11" t="s">
        <v>1036</v>
      </c>
      <c r="J12" s="11" t="s">
        <v>1032</v>
      </c>
      <c r="K12" s="11" t="s">
        <v>1036</v>
      </c>
      <c r="L12" s="11" t="s">
        <v>1036</v>
      </c>
      <c r="M12" s="11" t="s">
        <v>1036</v>
      </c>
      <c r="N12" s="11" t="s">
        <v>1036</v>
      </c>
      <c r="O12" s="11" t="s">
        <v>1036</v>
      </c>
      <c r="P12" s="11" t="s">
        <v>69</v>
      </c>
      <c r="Q12" s="11" t="s">
        <v>69</v>
      </c>
      <c r="R12" s="11" t="s">
        <v>69</v>
      </c>
      <c r="S12" s="11" t="s">
        <v>69</v>
      </c>
      <c r="T12" s="11" t="s">
        <v>69</v>
      </c>
      <c r="U12" s="11" t="s">
        <v>69</v>
      </c>
      <c r="V12" s="12" t="s">
        <v>69</v>
      </c>
    </row>
    <row r="13" ht="15.5" customHeight="1" spans="1:22">
      <c r="A13" s="16"/>
      <c r="B13" s="6" t="s">
        <v>69</v>
      </c>
      <c r="C13" s="6" t="s">
        <v>69</v>
      </c>
      <c r="D13" s="18" t="s">
        <v>1948</v>
      </c>
      <c r="E13" s="6" t="s">
        <v>69</v>
      </c>
      <c r="F13" s="11" t="s">
        <v>1036</v>
      </c>
      <c r="G13" s="11" t="s">
        <v>1036</v>
      </c>
      <c r="H13" s="11" t="s">
        <v>1036</v>
      </c>
      <c r="I13" s="11" t="s">
        <v>1036</v>
      </c>
      <c r="J13" s="11" t="s">
        <v>1036</v>
      </c>
      <c r="K13" s="11" t="s">
        <v>1032</v>
      </c>
      <c r="L13" s="11" t="s">
        <v>1036</v>
      </c>
      <c r="M13" s="11" t="s">
        <v>1036</v>
      </c>
      <c r="N13" s="11" t="s">
        <v>1036</v>
      </c>
      <c r="O13" s="11" t="s">
        <v>1036</v>
      </c>
      <c r="P13" s="11" t="s">
        <v>69</v>
      </c>
      <c r="Q13" s="11" t="s">
        <v>69</v>
      </c>
      <c r="R13" s="11" t="s">
        <v>69</v>
      </c>
      <c r="S13" s="11" t="s">
        <v>69</v>
      </c>
      <c r="T13" s="11" t="s">
        <v>69</v>
      </c>
      <c r="U13" s="11" t="s">
        <v>69</v>
      </c>
      <c r="V13" s="12" t="s">
        <v>69</v>
      </c>
    </row>
    <row r="14" ht="15.5" customHeight="1" spans="1:22">
      <c r="A14" s="16"/>
      <c r="B14" s="6" t="s">
        <v>69</v>
      </c>
      <c r="C14" s="6" t="s">
        <v>69</v>
      </c>
      <c r="D14" s="18" t="s">
        <v>1949</v>
      </c>
      <c r="E14" s="6" t="s">
        <v>69</v>
      </c>
      <c r="F14" s="11" t="s">
        <v>1036</v>
      </c>
      <c r="G14" s="11" t="s">
        <v>1036</v>
      </c>
      <c r="H14" s="11" t="s">
        <v>1036</v>
      </c>
      <c r="I14" s="11" t="s">
        <v>1036</v>
      </c>
      <c r="J14" s="11" t="s">
        <v>1036</v>
      </c>
      <c r="K14" s="11" t="s">
        <v>1036</v>
      </c>
      <c r="L14" s="11" t="s">
        <v>1032</v>
      </c>
      <c r="M14" s="11" t="s">
        <v>1036</v>
      </c>
      <c r="N14" s="11" t="s">
        <v>1036</v>
      </c>
      <c r="O14" s="11" t="s">
        <v>1036</v>
      </c>
      <c r="P14" s="11" t="s">
        <v>69</v>
      </c>
      <c r="Q14" s="11" t="s">
        <v>69</v>
      </c>
      <c r="R14" s="11" t="s">
        <v>69</v>
      </c>
      <c r="S14" s="11" t="s">
        <v>69</v>
      </c>
      <c r="T14" s="11" t="s">
        <v>69</v>
      </c>
      <c r="U14" s="11" t="s">
        <v>69</v>
      </c>
      <c r="V14" s="12" t="s">
        <v>69</v>
      </c>
    </row>
    <row r="15" ht="15.5" customHeight="1" spans="1:22">
      <c r="A15" s="16"/>
      <c r="B15" s="6" t="s">
        <v>69</v>
      </c>
      <c r="C15" s="6" t="s">
        <v>69</v>
      </c>
      <c r="D15" s="18" t="s">
        <v>1950</v>
      </c>
      <c r="E15" s="6" t="s">
        <v>69</v>
      </c>
      <c r="F15" s="11" t="s">
        <v>1036</v>
      </c>
      <c r="G15" s="11" t="s">
        <v>1036</v>
      </c>
      <c r="H15" s="11" t="s">
        <v>1036</v>
      </c>
      <c r="I15" s="11" t="s">
        <v>1036</v>
      </c>
      <c r="J15" s="11" t="s">
        <v>1036</v>
      </c>
      <c r="K15" s="11" t="s">
        <v>1036</v>
      </c>
      <c r="L15" s="11" t="s">
        <v>1036</v>
      </c>
      <c r="M15" s="11" t="s">
        <v>1032</v>
      </c>
      <c r="N15" s="11" t="s">
        <v>1036</v>
      </c>
      <c r="O15" s="11" t="s">
        <v>1036</v>
      </c>
      <c r="P15" s="11" t="s">
        <v>69</v>
      </c>
      <c r="Q15" s="11" t="s">
        <v>69</v>
      </c>
      <c r="R15" s="11" t="s">
        <v>69</v>
      </c>
      <c r="S15" s="11" t="s">
        <v>69</v>
      </c>
      <c r="T15" s="11" t="s">
        <v>69</v>
      </c>
      <c r="U15" s="11" t="s">
        <v>69</v>
      </c>
      <c r="V15" s="12" t="s">
        <v>69</v>
      </c>
    </row>
    <row r="16" ht="15.5" customHeight="1" spans="1:22">
      <c r="A16" s="16"/>
      <c r="B16" s="6" t="s">
        <v>69</v>
      </c>
      <c r="C16" s="6" t="s">
        <v>69</v>
      </c>
      <c r="D16" s="18" t="s">
        <v>1951</v>
      </c>
      <c r="E16" s="6" t="s">
        <v>69</v>
      </c>
      <c r="F16" s="11" t="s">
        <v>1036</v>
      </c>
      <c r="G16" s="11" t="s">
        <v>1036</v>
      </c>
      <c r="H16" s="11" t="s">
        <v>1036</v>
      </c>
      <c r="I16" s="11" t="s">
        <v>1036</v>
      </c>
      <c r="J16" s="11" t="s">
        <v>1036</v>
      </c>
      <c r="K16" s="11" t="s">
        <v>1036</v>
      </c>
      <c r="L16" s="11" t="s">
        <v>1036</v>
      </c>
      <c r="M16" s="11" t="s">
        <v>1036</v>
      </c>
      <c r="N16" s="11" t="s">
        <v>1032</v>
      </c>
      <c r="O16" s="11" t="s">
        <v>1036</v>
      </c>
      <c r="P16" s="11" t="s">
        <v>69</v>
      </c>
      <c r="Q16" s="11" t="s">
        <v>69</v>
      </c>
      <c r="R16" s="11" t="s">
        <v>69</v>
      </c>
      <c r="S16" s="11" t="s">
        <v>69</v>
      </c>
      <c r="T16" s="11" t="s">
        <v>69</v>
      </c>
      <c r="U16" s="11" t="s">
        <v>69</v>
      </c>
      <c r="V16" s="12" t="s">
        <v>69</v>
      </c>
    </row>
    <row r="17" ht="15.5" customHeight="1" spans="1:22">
      <c r="A17" s="16"/>
      <c r="B17" s="6" t="s">
        <v>69</v>
      </c>
      <c r="C17" s="6" t="s">
        <v>69</v>
      </c>
      <c r="D17" s="18" t="s">
        <v>1952</v>
      </c>
      <c r="E17" s="6" t="s">
        <v>69</v>
      </c>
      <c r="F17" s="11" t="s">
        <v>1036</v>
      </c>
      <c r="G17" s="11" t="s">
        <v>1036</v>
      </c>
      <c r="H17" s="11" t="s">
        <v>1036</v>
      </c>
      <c r="I17" s="11" t="s">
        <v>1036</v>
      </c>
      <c r="J17" s="11" t="s">
        <v>1036</v>
      </c>
      <c r="K17" s="11" t="s">
        <v>1036</v>
      </c>
      <c r="L17" s="11" t="s">
        <v>1036</v>
      </c>
      <c r="M17" s="11" t="s">
        <v>1036</v>
      </c>
      <c r="N17" s="11" t="s">
        <v>1036</v>
      </c>
      <c r="O17" s="11" t="s">
        <v>1032</v>
      </c>
      <c r="P17" s="11" t="s">
        <v>69</v>
      </c>
      <c r="Q17" s="11" t="s">
        <v>69</v>
      </c>
      <c r="R17" s="11" t="s">
        <v>69</v>
      </c>
      <c r="S17" s="11" t="s">
        <v>69</v>
      </c>
      <c r="T17" s="11" t="s">
        <v>69</v>
      </c>
      <c r="U17" s="11" t="s">
        <v>69</v>
      </c>
      <c r="V17" s="12" t="s">
        <v>69</v>
      </c>
    </row>
    <row r="18" ht="15.5" customHeight="1" spans="1:22">
      <c r="A18" s="16" t="s">
        <v>1039</v>
      </c>
      <c r="B18" s="17" t="s">
        <v>1040</v>
      </c>
      <c r="C18" s="6" t="s">
        <v>69</v>
      </c>
      <c r="D18" s="6" t="s">
        <v>69</v>
      </c>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28" customHeight="1" spans="1:22">
      <c r="A19" s="16"/>
      <c r="B19" s="6" t="s">
        <v>69</v>
      </c>
      <c r="C19" s="6" t="s">
        <v>69</v>
      </c>
      <c r="D19" s="18" t="s">
        <v>1953</v>
      </c>
      <c r="E19" s="6" t="s">
        <v>69</v>
      </c>
      <c r="F19" s="11" t="s">
        <v>1032</v>
      </c>
      <c r="G19" s="11" t="s">
        <v>1032</v>
      </c>
      <c r="H19" s="11" t="s">
        <v>1036</v>
      </c>
      <c r="I19" s="11" t="s">
        <v>1036</v>
      </c>
      <c r="J19" s="11" t="s">
        <v>1036</v>
      </c>
      <c r="K19" s="11" t="s">
        <v>1036</v>
      </c>
      <c r="L19" s="11" t="s">
        <v>1036</v>
      </c>
      <c r="M19" s="11" t="s">
        <v>1036</v>
      </c>
      <c r="N19" s="11" t="s">
        <v>1036</v>
      </c>
      <c r="O19" s="11" t="s">
        <v>1036</v>
      </c>
      <c r="P19" s="11" t="s">
        <v>69</v>
      </c>
      <c r="Q19" s="11" t="s">
        <v>69</v>
      </c>
      <c r="R19" s="11" t="s">
        <v>69</v>
      </c>
      <c r="S19" s="11" t="s">
        <v>69</v>
      </c>
      <c r="T19" s="11" t="s">
        <v>69</v>
      </c>
      <c r="U19" s="11" t="s">
        <v>69</v>
      </c>
      <c r="V19" s="12" t="s">
        <v>69</v>
      </c>
    </row>
    <row r="20" ht="28" customHeight="1" spans="1:22">
      <c r="A20" s="16"/>
      <c r="B20" s="6" t="s">
        <v>69</v>
      </c>
      <c r="C20" s="6" t="s">
        <v>69</v>
      </c>
      <c r="D20" s="18" t="s">
        <v>1954</v>
      </c>
      <c r="E20" s="6" t="s">
        <v>69</v>
      </c>
      <c r="F20" s="11" t="s">
        <v>1036</v>
      </c>
      <c r="G20" s="11" t="s">
        <v>1036</v>
      </c>
      <c r="H20" s="11" t="s">
        <v>1032</v>
      </c>
      <c r="I20" s="11" t="s">
        <v>1032</v>
      </c>
      <c r="J20" s="11" t="s">
        <v>1036</v>
      </c>
      <c r="K20" s="11" t="s">
        <v>1036</v>
      </c>
      <c r="L20" s="11" t="s">
        <v>1036</v>
      </c>
      <c r="M20" s="11" t="s">
        <v>1036</v>
      </c>
      <c r="N20" s="11" t="s">
        <v>1036</v>
      </c>
      <c r="O20" s="11" t="s">
        <v>1036</v>
      </c>
      <c r="P20" s="11" t="s">
        <v>69</v>
      </c>
      <c r="Q20" s="11" t="s">
        <v>69</v>
      </c>
      <c r="R20" s="11" t="s">
        <v>69</v>
      </c>
      <c r="S20" s="11" t="s">
        <v>69</v>
      </c>
      <c r="T20" s="11" t="s">
        <v>69</v>
      </c>
      <c r="U20" s="11" t="s">
        <v>69</v>
      </c>
      <c r="V20" s="12" t="s">
        <v>69</v>
      </c>
    </row>
    <row r="21" ht="28" customHeight="1" spans="1:22">
      <c r="A21" s="16"/>
      <c r="B21" s="6" t="s">
        <v>69</v>
      </c>
      <c r="C21" s="6" t="s">
        <v>69</v>
      </c>
      <c r="D21" s="18" t="s">
        <v>1955</v>
      </c>
      <c r="E21" s="6" t="s">
        <v>69</v>
      </c>
      <c r="F21" s="11" t="s">
        <v>1036</v>
      </c>
      <c r="G21" s="11" t="s">
        <v>1036</v>
      </c>
      <c r="H21" s="11" t="s">
        <v>1036</v>
      </c>
      <c r="I21" s="11" t="s">
        <v>1036</v>
      </c>
      <c r="J21" s="11" t="s">
        <v>1032</v>
      </c>
      <c r="K21" s="11" t="s">
        <v>1032</v>
      </c>
      <c r="L21" s="11" t="s">
        <v>1036</v>
      </c>
      <c r="M21" s="11" t="s">
        <v>1036</v>
      </c>
      <c r="N21" s="11" t="s">
        <v>1036</v>
      </c>
      <c r="O21" s="11" t="s">
        <v>1036</v>
      </c>
      <c r="P21" s="11" t="s">
        <v>69</v>
      </c>
      <c r="Q21" s="11" t="s">
        <v>69</v>
      </c>
      <c r="R21" s="11" t="s">
        <v>69</v>
      </c>
      <c r="S21" s="11" t="s">
        <v>69</v>
      </c>
      <c r="T21" s="11" t="s">
        <v>69</v>
      </c>
      <c r="U21" s="11" t="s">
        <v>69</v>
      </c>
      <c r="V21" s="12" t="s">
        <v>69</v>
      </c>
    </row>
    <row r="22" ht="28" customHeight="1" spans="1:22">
      <c r="A22" s="16"/>
      <c r="B22" s="6" t="s">
        <v>69</v>
      </c>
      <c r="C22" s="6" t="s">
        <v>69</v>
      </c>
      <c r="D22" s="18" t="s">
        <v>1956</v>
      </c>
      <c r="E22" s="6" t="s">
        <v>69</v>
      </c>
      <c r="F22" s="11" t="s">
        <v>1036</v>
      </c>
      <c r="G22" s="11" t="s">
        <v>1036</v>
      </c>
      <c r="H22" s="11" t="s">
        <v>1036</v>
      </c>
      <c r="I22" s="11" t="s">
        <v>1036</v>
      </c>
      <c r="J22" s="11" t="s">
        <v>1036</v>
      </c>
      <c r="K22" s="11" t="s">
        <v>1036</v>
      </c>
      <c r="L22" s="11" t="s">
        <v>1032</v>
      </c>
      <c r="M22" s="11" t="s">
        <v>1032</v>
      </c>
      <c r="N22" s="11" t="s">
        <v>1036</v>
      </c>
      <c r="O22" s="11" t="s">
        <v>1036</v>
      </c>
      <c r="P22" s="11" t="s">
        <v>69</v>
      </c>
      <c r="Q22" s="11" t="s">
        <v>69</v>
      </c>
      <c r="R22" s="11" t="s">
        <v>69</v>
      </c>
      <c r="S22" s="11" t="s">
        <v>69</v>
      </c>
      <c r="T22" s="11" t="s">
        <v>69</v>
      </c>
      <c r="U22" s="11" t="s">
        <v>69</v>
      </c>
      <c r="V22" s="12" t="s">
        <v>69</v>
      </c>
    </row>
    <row r="23" ht="28" customHeight="1" spans="1:22">
      <c r="A23" s="16"/>
      <c r="B23" s="6" t="s">
        <v>69</v>
      </c>
      <c r="C23" s="6" t="s">
        <v>69</v>
      </c>
      <c r="D23" s="18" t="s">
        <v>1957</v>
      </c>
      <c r="E23" s="6" t="s">
        <v>69</v>
      </c>
      <c r="F23" s="11" t="s">
        <v>1036</v>
      </c>
      <c r="G23" s="11" t="s">
        <v>1036</v>
      </c>
      <c r="H23" s="11" t="s">
        <v>1036</v>
      </c>
      <c r="I23" s="11" t="s">
        <v>1036</v>
      </c>
      <c r="J23" s="11" t="s">
        <v>1036</v>
      </c>
      <c r="K23" s="11" t="s">
        <v>1036</v>
      </c>
      <c r="L23" s="11" t="s">
        <v>1036</v>
      </c>
      <c r="M23" s="11" t="s">
        <v>1036</v>
      </c>
      <c r="N23" s="11" t="s">
        <v>1032</v>
      </c>
      <c r="O23" s="11" t="s">
        <v>1032</v>
      </c>
      <c r="P23" s="11" t="s">
        <v>69</v>
      </c>
      <c r="Q23" s="11" t="s">
        <v>69</v>
      </c>
      <c r="R23" s="11" t="s">
        <v>69</v>
      </c>
      <c r="S23" s="11" t="s">
        <v>69</v>
      </c>
      <c r="T23" s="11" t="s">
        <v>69</v>
      </c>
      <c r="U23" s="11" t="s">
        <v>69</v>
      </c>
      <c r="V23" s="12" t="s">
        <v>69</v>
      </c>
    </row>
    <row r="24" ht="18" customHeight="1" spans="1:22">
      <c r="A24" s="19" t="s">
        <v>1048</v>
      </c>
      <c r="B24" s="20" t="s">
        <v>1049</v>
      </c>
      <c r="C24" s="20"/>
      <c r="D24" s="20"/>
      <c r="E24" s="6" t="s">
        <v>69</v>
      </c>
      <c r="F24" s="11" t="s">
        <v>1009</v>
      </c>
      <c r="G24" s="11" t="s">
        <v>1009</v>
      </c>
      <c r="H24" s="11" t="s">
        <v>1008</v>
      </c>
      <c r="I24" s="11" t="s">
        <v>1008</v>
      </c>
      <c r="J24" s="11" t="s">
        <v>1008</v>
      </c>
      <c r="K24" s="11" t="s">
        <v>1008</v>
      </c>
      <c r="L24" s="11" t="s">
        <v>1008</v>
      </c>
      <c r="M24" s="11" t="s">
        <v>1008</v>
      </c>
      <c r="N24" s="11" t="s">
        <v>1009</v>
      </c>
      <c r="O24" s="11" t="s">
        <v>1009</v>
      </c>
      <c r="P24" s="11" t="s">
        <v>69</v>
      </c>
      <c r="Q24" s="11" t="s">
        <v>69</v>
      </c>
      <c r="R24" s="11" t="s">
        <v>69</v>
      </c>
      <c r="S24" s="11" t="s">
        <v>69</v>
      </c>
      <c r="T24" s="11" t="s">
        <v>69</v>
      </c>
      <c r="U24" s="11" t="s">
        <v>69</v>
      </c>
      <c r="V24" s="12" t="s">
        <v>69</v>
      </c>
    </row>
    <row r="25" ht="18" customHeight="1" spans="1:22">
      <c r="A25" s="19"/>
      <c r="B25" s="20" t="s">
        <v>1050</v>
      </c>
      <c r="C25" s="20"/>
      <c r="D25" s="20"/>
      <c r="E25" s="6" t="s">
        <v>69</v>
      </c>
      <c r="F25" s="11" t="s">
        <v>1051</v>
      </c>
      <c r="G25" s="11" t="s">
        <v>1051</v>
      </c>
      <c r="H25" s="11" t="s">
        <v>1051</v>
      </c>
      <c r="I25" s="11" t="s">
        <v>1051</v>
      </c>
      <c r="J25" s="11" t="s">
        <v>1051</v>
      </c>
      <c r="K25" s="11" t="s">
        <v>1051</v>
      </c>
      <c r="L25" s="11" t="s">
        <v>1051</v>
      </c>
      <c r="M25" s="11" t="s">
        <v>1051</v>
      </c>
      <c r="N25" s="11" t="s">
        <v>1051</v>
      </c>
      <c r="O25" s="11" t="s">
        <v>1051</v>
      </c>
      <c r="P25" s="11" t="s">
        <v>69</v>
      </c>
      <c r="Q25" s="11" t="s">
        <v>69</v>
      </c>
      <c r="R25" s="11" t="s">
        <v>69</v>
      </c>
      <c r="S25" s="11" t="s">
        <v>69</v>
      </c>
      <c r="T25" s="11" t="s">
        <v>69</v>
      </c>
      <c r="U25" s="11" t="s">
        <v>69</v>
      </c>
      <c r="V25" s="12" t="s">
        <v>69</v>
      </c>
    </row>
    <row r="26" ht="18" customHeight="1" spans="1:22">
      <c r="A26" s="19"/>
      <c r="B26" s="20" t="s">
        <v>1052</v>
      </c>
      <c r="C26" s="20"/>
      <c r="D26" s="20"/>
      <c r="E26" s="6" t="s">
        <v>69</v>
      </c>
      <c r="F26" s="6" t="s">
        <v>69</v>
      </c>
      <c r="G26" s="6" t="s">
        <v>69</v>
      </c>
      <c r="H26" s="6" t="s">
        <v>69</v>
      </c>
      <c r="I26" s="6" t="s">
        <v>69</v>
      </c>
      <c r="J26" s="6" t="s">
        <v>69</v>
      </c>
      <c r="K26" s="6" t="s">
        <v>69</v>
      </c>
      <c r="L26" s="6" t="s">
        <v>69</v>
      </c>
      <c r="M26" s="6" t="s">
        <v>69</v>
      </c>
      <c r="N26" s="6" t="s">
        <v>69</v>
      </c>
      <c r="O26" s="6" t="s">
        <v>69</v>
      </c>
      <c r="P26" s="6" t="s">
        <v>69</v>
      </c>
      <c r="Q26" s="6" t="s">
        <v>69</v>
      </c>
      <c r="R26" s="6" t="s">
        <v>69</v>
      </c>
      <c r="S26" s="6" t="s">
        <v>69</v>
      </c>
      <c r="T26" s="6" t="s">
        <v>69</v>
      </c>
      <c r="U26" s="6" t="s">
        <v>69</v>
      </c>
      <c r="V26" s="8" t="s">
        <v>69</v>
      </c>
    </row>
    <row r="27" ht="18" customHeight="1" spans="1:22">
      <c r="A27" s="19"/>
      <c r="B27" s="21" t="s">
        <v>1053</v>
      </c>
      <c r="C27" s="21"/>
      <c r="D27" s="21"/>
      <c r="E27" s="22" t="s">
        <v>69</v>
      </c>
      <c r="F27" s="22" t="s">
        <v>69</v>
      </c>
      <c r="G27" s="22" t="s">
        <v>69</v>
      </c>
      <c r="H27" s="22" t="s">
        <v>69</v>
      </c>
      <c r="I27" s="22" t="s">
        <v>69</v>
      </c>
      <c r="J27" s="22" t="s">
        <v>69</v>
      </c>
      <c r="K27" s="22" t="s">
        <v>69</v>
      </c>
      <c r="L27" s="22" t="s">
        <v>69</v>
      </c>
      <c r="M27" s="22" t="s">
        <v>69</v>
      </c>
      <c r="N27" s="22" t="s">
        <v>69</v>
      </c>
      <c r="O27" s="22" t="s">
        <v>69</v>
      </c>
      <c r="P27" s="22" t="s">
        <v>69</v>
      </c>
      <c r="Q27" s="22" t="s">
        <v>69</v>
      </c>
      <c r="R27" s="22" t="s">
        <v>69</v>
      </c>
      <c r="S27" s="22" t="s">
        <v>69</v>
      </c>
      <c r="T27" s="22" t="s">
        <v>69</v>
      </c>
      <c r="U27" s="22" t="s">
        <v>69</v>
      </c>
      <c r="V2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4:D24"/>
    <mergeCell ref="B25:D25"/>
    <mergeCell ref="B26:D26"/>
    <mergeCell ref="B27:D27"/>
    <mergeCell ref="A7:A17"/>
    <mergeCell ref="A18:A23"/>
    <mergeCell ref="A24:A27"/>
  </mergeCells>
  <dataValidations count="3">
    <dataValidation type="list" allowBlank="1" sqref="F24:V24">
      <formula1>"N,A,B"</formula1>
    </dataValidation>
    <dataValidation type="list" allowBlank="1" sqref="F25:V25">
      <formula1>"P,F"</formula1>
    </dataValidation>
    <dataValidation type="list" allowBlank="1" sqref="F10:V17 F19:V23 F8:V9">
      <formula1>"O,-"</formula1>
    </dataValidation>
  </dataValidations>
  <pageMargins left="0.7" right="0.7" top="0.75" bottom="0.75" header="0.3" footer="0.3"/>
  <pageSetup paperSize="1" orientation="portrait" useFirstPageNumber="1"/>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524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1958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1959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1960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1961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1962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1963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15.5" customHeight="1" spans="1:22">
      <c r="A13" s="16"/>
      <c r="B13" s="6" t="s">
        <v>69</v>
      </c>
      <c r="C13" s="6" t="s">
        <v>69</v>
      </c>
      <c r="D13" s="18" t="s">
        <v>1964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1965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6" t="s">
        <v>69</v>
      </c>
      <c r="C15" s="6" t="s">
        <v>69</v>
      </c>
      <c r="D15" s="18" t="s">
        <v>1966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6" t="s">
        <v>69</v>
      </c>
      <c r="C16" s="6" t="s">
        <v>69</v>
      </c>
      <c r="D16" s="18" t="s">
        <v>1819</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528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1967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532</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17" t="s">
        <v>1061</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5.5" customHeight="1" spans="1:22">
      <c r="A10" s="16"/>
      <c r="B10" s="6" t="s">
        <v>69</v>
      </c>
      <c r="C10" s="6" t="s">
        <v>69</v>
      </c>
      <c r="D10" s="18" t="s">
        <v>1968</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1969</v>
      </c>
      <c r="E12" s="6" t="s">
        <v>69</v>
      </c>
      <c r="F12" s="11" t="s">
        <v>1032</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1970</v>
      </c>
      <c r="E13" s="6" t="s">
        <v>69</v>
      </c>
      <c r="F13" s="11" t="s">
        <v>1032</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69</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69</v>
      </c>
      <c r="H15" s="11" t="s">
        <v>69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8:V8 F10:V10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533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1971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1972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1973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1974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1975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537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1976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1977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1978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1979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28" customHeight="1" spans="1:22">
      <c r="A12" s="16"/>
      <c r="B12" s="6" t="s">
        <v>69</v>
      </c>
      <c r="C12" s="6" t="s">
        <v>69</v>
      </c>
      <c r="D12" s="18" t="s">
        <v>1980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1981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1982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503</v>
      </c>
      <c r="C1" s="2"/>
      <c r="D1" s="2"/>
      <c r="E1" s="2"/>
      <c r="F1" s="3" t="s">
        <v>1019</v>
      </c>
      <c r="G1" s="3"/>
      <c r="H1" s="3"/>
      <c r="I1" s="3"/>
      <c r="J1" s="3"/>
      <c r="K1" s="3"/>
      <c r="L1" s="4" t="s">
        <v>541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1983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1984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1985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1986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1987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548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1988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1</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1989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1990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1991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1992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15.5" customHeight="1" spans="1:22">
      <c r="A12" s="16"/>
      <c r="B12" s="6" t="s">
        <v>69</v>
      </c>
      <c r="C12" s="6" t="s">
        <v>69</v>
      </c>
      <c r="D12" s="18" t="s">
        <v>1993</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c r="B13" s="17" t="s">
        <v>1064</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40.5" customHeight="1" spans="1:22">
      <c r="A14" s="16"/>
      <c r="B14" s="6" t="s">
        <v>69</v>
      </c>
      <c r="C14" s="6" t="s">
        <v>69</v>
      </c>
      <c r="D14" s="18" t="s">
        <v>1994</v>
      </c>
      <c r="E14" s="6" t="s">
        <v>69</v>
      </c>
      <c r="F14" s="11" t="s">
        <v>1036</v>
      </c>
      <c r="G14" s="11" t="s">
        <v>1032</v>
      </c>
      <c r="H14" s="11" t="s">
        <v>1036</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1995</v>
      </c>
      <c r="E15" s="6" t="s">
        <v>69</v>
      </c>
      <c r="F15" s="11" t="s">
        <v>1036</v>
      </c>
      <c r="G15" s="11" t="s">
        <v>1036</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63</v>
      </c>
      <c r="H16" s="11" t="s">
        <v>1009</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0"/>
    <mergeCell ref="A11:A15"/>
    <mergeCell ref="A16:A19"/>
  </mergeCells>
  <dataValidations count="3">
    <dataValidation type="list" allowBlank="1" sqref="F10:V10 F12:V12 F8:V9 F14:V15">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552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1996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3</v>
      </c>
      <c r="M5" s="11">
        <v>2</v>
      </c>
      <c r="N5" s="11">
        <v>3</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15.5" customHeight="1" spans="1:22">
      <c r="A7" s="16" t="s">
        <v>1029</v>
      </c>
      <c r="B7" s="17" t="s">
        <v>1997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1998</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1999</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2000</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2001</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2002</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2003</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2004</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2005</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5.5" customHeight="1" spans="1:22">
      <c r="A17" s="16"/>
      <c r="B17" s="6" t="s">
        <v>69</v>
      </c>
      <c r="C17" s="6" t="s">
        <v>69</v>
      </c>
      <c r="D17" s="18" t="s">
        <v>1904</v>
      </c>
      <c r="E17" s="6" t="s">
        <v>69</v>
      </c>
      <c r="F17" s="11" t="s">
        <v>1032</v>
      </c>
      <c r="G17" s="11" t="s">
        <v>1036</v>
      </c>
      <c r="H17" s="11" t="s">
        <v>1036</v>
      </c>
      <c r="I17" s="11" t="s">
        <v>1036</v>
      </c>
      <c r="J17" s="11" t="s">
        <v>1036</v>
      </c>
      <c r="K17" s="11" t="s">
        <v>1032</v>
      </c>
      <c r="L17" s="11" t="s">
        <v>1036</v>
      </c>
      <c r="M17" s="11" t="s">
        <v>1036</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2006</v>
      </c>
      <c r="E18" s="6" t="s">
        <v>69</v>
      </c>
      <c r="F18" s="11" t="s">
        <v>1036</v>
      </c>
      <c r="G18" s="11" t="s">
        <v>1032</v>
      </c>
      <c r="H18" s="11" t="s">
        <v>1036</v>
      </c>
      <c r="I18" s="11" t="s">
        <v>1036</v>
      </c>
      <c r="J18" s="11" t="s">
        <v>1036</v>
      </c>
      <c r="K18" s="11" t="s">
        <v>1036</v>
      </c>
      <c r="L18" s="11" t="s">
        <v>1032</v>
      </c>
      <c r="M18" s="11" t="s">
        <v>1032</v>
      </c>
      <c r="N18" s="11" t="s">
        <v>69</v>
      </c>
      <c r="O18" s="11" t="s">
        <v>69</v>
      </c>
      <c r="P18" s="11" t="s">
        <v>69</v>
      </c>
      <c r="Q18" s="11" t="s">
        <v>69</v>
      </c>
      <c r="R18" s="11" t="s">
        <v>69</v>
      </c>
      <c r="S18" s="11" t="s">
        <v>69</v>
      </c>
      <c r="T18" s="11" t="s">
        <v>69</v>
      </c>
      <c r="U18" s="11" t="s">
        <v>69</v>
      </c>
      <c r="V18" s="12" t="s">
        <v>69</v>
      </c>
    </row>
    <row r="19" ht="15.5" customHeight="1" spans="1:22">
      <c r="A19" s="16"/>
      <c r="B19" s="6" t="s">
        <v>69</v>
      </c>
      <c r="C19" s="6" t="s">
        <v>69</v>
      </c>
      <c r="D19" s="18" t="s">
        <v>2007</v>
      </c>
      <c r="E19" s="6" t="s">
        <v>69</v>
      </c>
      <c r="F19" s="11" t="s">
        <v>1036</v>
      </c>
      <c r="G19" s="11" t="s">
        <v>1036</v>
      </c>
      <c r="H19" s="11" t="s">
        <v>1032</v>
      </c>
      <c r="I19" s="11" t="s">
        <v>1036</v>
      </c>
      <c r="J19" s="11" t="s">
        <v>1036</v>
      </c>
      <c r="K19" s="11" t="s">
        <v>1036</v>
      </c>
      <c r="L19" s="11" t="s">
        <v>1036</v>
      </c>
      <c r="M19" s="11" t="s">
        <v>1036</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2008</v>
      </c>
      <c r="E20" s="6" t="s">
        <v>69</v>
      </c>
      <c r="F20" s="11" t="s">
        <v>1036</v>
      </c>
      <c r="G20" s="11" t="s">
        <v>1036</v>
      </c>
      <c r="H20" s="11" t="s">
        <v>1036</v>
      </c>
      <c r="I20" s="11" t="s">
        <v>1036</v>
      </c>
      <c r="J20" s="11" t="s">
        <v>1032</v>
      </c>
      <c r="K20" s="11" t="s">
        <v>1036</v>
      </c>
      <c r="L20" s="11" t="s">
        <v>1036</v>
      </c>
      <c r="M20" s="11" t="s">
        <v>1036</v>
      </c>
      <c r="N20" s="11" t="s">
        <v>69</v>
      </c>
      <c r="O20" s="11" t="s">
        <v>69</v>
      </c>
      <c r="P20" s="11" t="s">
        <v>69</v>
      </c>
      <c r="Q20" s="11" t="s">
        <v>69</v>
      </c>
      <c r="R20" s="11" t="s">
        <v>69</v>
      </c>
      <c r="S20" s="11" t="s">
        <v>69</v>
      </c>
      <c r="T20" s="11" t="s">
        <v>69</v>
      </c>
      <c r="U20" s="11" t="s">
        <v>69</v>
      </c>
      <c r="V20" s="12" t="s">
        <v>69</v>
      </c>
    </row>
    <row r="21" ht="18" customHeight="1" spans="1:22">
      <c r="A21" s="19" t="s">
        <v>1048</v>
      </c>
      <c r="B21" s="20" t="s">
        <v>1049</v>
      </c>
      <c r="C21" s="20"/>
      <c r="D21" s="20"/>
      <c r="E21" s="6" t="s">
        <v>69</v>
      </c>
      <c r="F21" s="11" t="s">
        <v>1009</v>
      </c>
      <c r="G21" s="11" t="s">
        <v>1008</v>
      </c>
      <c r="H21" s="11" t="s">
        <v>1008</v>
      </c>
      <c r="I21" s="11" t="s">
        <v>63</v>
      </c>
      <c r="J21" s="11" t="s">
        <v>1008</v>
      </c>
      <c r="K21" s="11" t="s">
        <v>1009</v>
      </c>
      <c r="L21" s="11" t="s">
        <v>63</v>
      </c>
      <c r="M21" s="11" t="s">
        <v>1009</v>
      </c>
      <c r="N21" s="11" t="s">
        <v>69</v>
      </c>
      <c r="O21" s="11" t="s">
        <v>69</v>
      </c>
      <c r="P21" s="11" t="s">
        <v>69</v>
      </c>
      <c r="Q21" s="11" t="s">
        <v>69</v>
      </c>
      <c r="R21" s="11" t="s">
        <v>69</v>
      </c>
      <c r="S21" s="11" t="s">
        <v>69</v>
      </c>
      <c r="T21" s="11" t="s">
        <v>69</v>
      </c>
      <c r="U21" s="11" t="s">
        <v>69</v>
      </c>
      <c r="V21" s="12" t="s">
        <v>69</v>
      </c>
    </row>
    <row r="22" ht="18" customHeight="1" spans="1:22">
      <c r="A22" s="19"/>
      <c r="B22" s="20" t="s">
        <v>1050</v>
      </c>
      <c r="C22" s="20"/>
      <c r="D22" s="20"/>
      <c r="E22" s="6" t="s">
        <v>69</v>
      </c>
      <c r="F22" s="11" t="s">
        <v>1051</v>
      </c>
      <c r="G22" s="11" t="s">
        <v>1051</v>
      </c>
      <c r="H22" s="11" t="s">
        <v>1051</v>
      </c>
      <c r="I22" s="11" t="s">
        <v>1051</v>
      </c>
      <c r="J22" s="11" t="s">
        <v>1051</v>
      </c>
      <c r="K22" s="11" t="s">
        <v>1051</v>
      </c>
      <c r="L22" s="11" t="s">
        <v>1051</v>
      </c>
      <c r="M22" s="11" t="s">
        <v>1051</v>
      </c>
      <c r="N22" s="11" t="s">
        <v>69</v>
      </c>
      <c r="O22" s="11" t="s">
        <v>69</v>
      </c>
      <c r="P22" s="11" t="s">
        <v>69</v>
      </c>
      <c r="Q22" s="11" t="s">
        <v>69</v>
      </c>
      <c r="R22" s="11" t="s">
        <v>69</v>
      </c>
      <c r="S22" s="11" t="s">
        <v>69</v>
      </c>
      <c r="T22" s="11" t="s">
        <v>69</v>
      </c>
      <c r="U22" s="11" t="s">
        <v>69</v>
      </c>
      <c r="V22" s="12" t="s">
        <v>69</v>
      </c>
    </row>
    <row r="23" ht="18"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18"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5"/>
    <mergeCell ref="A16:A20"/>
    <mergeCell ref="A21:A24"/>
  </mergeCells>
  <dataValidations count="3">
    <dataValidation type="list" allowBlank="1" sqref="F21:V21">
      <formula1>"N,A,B"</formula1>
    </dataValidation>
    <dataValidation type="list" allowBlank="1" sqref="F22:V22">
      <formula1>"P,F"</formula1>
    </dataValidation>
    <dataValidation type="list" allowBlank="1" sqref="F10:V15 F17:V20 F8:V9">
      <formula1>"O,-"</formula1>
    </dataValidation>
  </dataValidations>
  <pageMargins left="0.7" right="0.7" top="0.75" bottom="0.75" header="0.3" footer="0.3"/>
  <pageSetup paperSize="1" orientation="portrait" useFirstPageNumber="1"/>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556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2009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2010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2011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2012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2013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2014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2015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2016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2017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63</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561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2018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2019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2020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2021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78" customHeight="1" spans="1:22">
      <c r="A11" s="16"/>
      <c r="B11" s="6" t="s">
        <v>69</v>
      </c>
      <c r="C11" s="6" t="s">
        <v>69</v>
      </c>
      <c r="D11" s="18" t="s">
        <v>2022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15.5" customHeight="1" spans="1:22">
      <c r="A13" s="16"/>
      <c r="B13" s="6" t="s">
        <v>69</v>
      </c>
      <c r="C13" s="6" t="s">
        <v>69</v>
      </c>
      <c r="D13" s="18" t="s">
        <v>2023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6" t="s">
        <v>69</v>
      </c>
      <c r="C14" s="6" t="s">
        <v>69</v>
      </c>
      <c r="D14" s="18" t="s">
        <v>2024</v>
      </c>
      <c r="E14" s="6" t="s">
        <v>69</v>
      </c>
      <c r="F14" s="11" t="s">
        <v>1036</v>
      </c>
      <c r="G14" s="11" t="s">
        <v>1032</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78" customHeight="1" spans="1:22">
      <c r="A15" s="16"/>
      <c r="B15" s="6" t="s">
        <v>69</v>
      </c>
      <c r="C15" s="6" t="s">
        <v>69</v>
      </c>
      <c r="D15" s="18" t="s">
        <v>2025</v>
      </c>
      <c r="E15" s="6" t="s">
        <v>69</v>
      </c>
      <c r="F15" s="11" t="s">
        <v>1036</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63</v>
      </c>
      <c r="G16" s="11" t="s">
        <v>1008</v>
      </c>
      <c r="H16" s="11" t="s">
        <v>1008</v>
      </c>
      <c r="I16" s="11" t="s">
        <v>1008</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565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2026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2027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2028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15.5" customHeight="1" spans="1:22">
      <c r="A9" s="16"/>
      <c r="B9" s="6" t="s">
        <v>69</v>
      </c>
      <c r="C9" s="6" t="s">
        <v>69</v>
      </c>
      <c r="D9" s="18" t="s">
        <v>2029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2030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2031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570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2032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5</v>
      </c>
      <c r="M5" s="11">
        <v>1</v>
      </c>
      <c r="N5" s="11">
        <v>1</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2033</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2034</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2035</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2036</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2037</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2038</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2039</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2040</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5.5" customHeight="1" spans="1:22">
      <c r="A16" s="16"/>
      <c r="B16" s="6" t="s">
        <v>69</v>
      </c>
      <c r="C16" s="6" t="s">
        <v>69</v>
      </c>
      <c r="D16" s="18" t="s">
        <v>2041</v>
      </c>
      <c r="E16" s="6" t="s">
        <v>69</v>
      </c>
      <c r="F16" s="11" t="s">
        <v>1032</v>
      </c>
      <c r="G16" s="11" t="s">
        <v>1036</v>
      </c>
      <c r="H16" s="11" t="s">
        <v>1036</v>
      </c>
      <c r="I16" s="11" t="s">
        <v>1032</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2042</v>
      </c>
      <c r="E17" s="6" t="s">
        <v>69</v>
      </c>
      <c r="F17" s="11" t="s">
        <v>1036</v>
      </c>
      <c r="G17" s="11" t="s">
        <v>1032</v>
      </c>
      <c r="H17" s="11" t="s">
        <v>1036</v>
      </c>
      <c r="I17" s="11" t="s">
        <v>1036</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2043</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15.5" customHeight="1" spans="1:22">
      <c r="A19" s="16"/>
      <c r="B19" s="6" t="s">
        <v>69</v>
      </c>
      <c r="C19" s="6" t="s">
        <v>69</v>
      </c>
      <c r="D19" s="18" t="s">
        <v>1795</v>
      </c>
      <c r="E19" s="6" t="s">
        <v>69</v>
      </c>
      <c r="F19" s="11" t="s">
        <v>1036</v>
      </c>
      <c r="G19" s="11" t="s">
        <v>1036</v>
      </c>
      <c r="H19" s="11" t="s">
        <v>1036</v>
      </c>
      <c r="I19" s="11" t="s">
        <v>1036</v>
      </c>
      <c r="J19" s="11" t="s">
        <v>1032</v>
      </c>
      <c r="K19" s="11" t="s">
        <v>1036</v>
      </c>
      <c r="L19" s="11" t="s">
        <v>1036</v>
      </c>
      <c r="M19" s="11" t="s">
        <v>69</v>
      </c>
      <c r="N19" s="11" t="s">
        <v>69</v>
      </c>
      <c r="O19" s="11" t="s">
        <v>69</v>
      </c>
      <c r="P19" s="11" t="s">
        <v>69</v>
      </c>
      <c r="Q19" s="11" t="s">
        <v>69</v>
      </c>
      <c r="R19" s="11" t="s">
        <v>69</v>
      </c>
      <c r="S19" s="11" t="s">
        <v>69</v>
      </c>
      <c r="T19" s="11" t="s">
        <v>69</v>
      </c>
      <c r="U19" s="11" t="s">
        <v>69</v>
      </c>
      <c r="V19" s="12" t="s">
        <v>69</v>
      </c>
    </row>
    <row r="20" ht="15.5" customHeight="1" spans="1:22">
      <c r="A20" s="16"/>
      <c r="B20" s="6" t="s">
        <v>69</v>
      </c>
      <c r="C20" s="6" t="s">
        <v>69</v>
      </c>
      <c r="D20" s="18" t="s">
        <v>1796</v>
      </c>
      <c r="E20" s="6" t="s">
        <v>69</v>
      </c>
      <c r="F20" s="11" t="s">
        <v>1036</v>
      </c>
      <c r="G20" s="11" t="s">
        <v>1036</v>
      </c>
      <c r="H20" s="11" t="s">
        <v>1036</v>
      </c>
      <c r="I20" s="11" t="s">
        <v>1036</v>
      </c>
      <c r="J20" s="11" t="s">
        <v>1036</v>
      </c>
      <c r="K20" s="11" t="s">
        <v>1032</v>
      </c>
      <c r="L20" s="11" t="s">
        <v>1032</v>
      </c>
      <c r="M20" s="11" t="s">
        <v>69</v>
      </c>
      <c r="N20" s="11" t="s">
        <v>69</v>
      </c>
      <c r="O20" s="11" t="s">
        <v>69</v>
      </c>
      <c r="P20" s="11" t="s">
        <v>69</v>
      </c>
      <c r="Q20" s="11" t="s">
        <v>69</v>
      </c>
      <c r="R20" s="11" t="s">
        <v>69</v>
      </c>
      <c r="S20" s="11" t="s">
        <v>69</v>
      </c>
      <c r="T20" s="11" t="s">
        <v>69</v>
      </c>
      <c r="U20" s="11" t="s">
        <v>69</v>
      </c>
      <c r="V20" s="12" t="s">
        <v>69</v>
      </c>
    </row>
    <row r="21" ht="18" customHeight="1" spans="1:22">
      <c r="A21" s="19" t="s">
        <v>1048</v>
      </c>
      <c r="B21" s="20" t="s">
        <v>1049</v>
      </c>
      <c r="C21" s="20"/>
      <c r="D21" s="20"/>
      <c r="E21" s="6" t="s">
        <v>69</v>
      </c>
      <c r="F21" s="11" t="s">
        <v>1008</v>
      </c>
      <c r="G21" s="11" t="s">
        <v>1008</v>
      </c>
      <c r="H21" s="11" t="s">
        <v>1008</v>
      </c>
      <c r="I21" s="11" t="s">
        <v>1009</v>
      </c>
      <c r="J21" s="11" t="s">
        <v>1008</v>
      </c>
      <c r="K21" s="11" t="s">
        <v>1008</v>
      </c>
      <c r="L21" s="11" t="s">
        <v>63</v>
      </c>
      <c r="M21" s="11" t="s">
        <v>69</v>
      </c>
      <c r="N21" s="11" t="s">
        <v>69</v>
      </c>
      <c r="O21" s="11" t="s">
        <v>69</v>
      </c>
      <c r="P21" s="11" t="s">
        <v>69</v>
      </c>
      <c r="Q21" s="11" t="s">
        <v>69</v>
      </c>
      <c r="R21" s="11" t="s">
        <v>69</v>
      </c>
      <c r="S21" s="11" t="s">
        <v>69</v>
      </c>
      <c r="T21" s="11" t="s">
        <v>69</v>
      </c>
      <c r="U21" s="11" t="s">
        <v>69</v>
      </c>
      <c r="V21" s="12" t="s">
        <v>69</v>
      </c>
    </row>
    <row r="22" ht="18" customHeight="1" spans="1:22">
      <c r="A22" s="19"/>
      <c r="B22" s="20" t="s">
        <v>1050</v>
      </c>
      <c r="C22" s="20"/>
      <c r="D22" s="20"/>
      <c r="E22" s="6" t="s">
        <v>69</v>
      </c>
      <c r="F22" s="11" t="s">
        <v>1051</v>
      </c>
      <c r="G22" s="11" t="s">
        <v>1051</v>
      </c>
      <c r="H22" s="11" t="s">
        <v>1051</v>
      </c>
      <c r="I22" s="11" t="s">
        <v>1051</v>
      </c>
      <c r="J22" s="11" t="s">
        <v>1051</v>
      </c>
      <c r="K22" s="11" t="s">
        <v>1051</v>
      </c>
      <c r="L22" s="11" t="s">
        <v>1051</v>
      </c>
      <c r="M22" s="11" t="s">
        <v>69</v>
      </c>
      <c r="N22" s="11" t="s">
        <v>69</v>
      </c>
      <c r="O22" s="11" t="s">
        <v>69</v>
      </c>
      <c r="P22" s="11" t="s">
        <v>69</v>
      </c>
      <c r="Q22" s="11" t="s">
        <v>69</v>
      </c>
      <c r="R22" s="11" t="s">
        <v>69</v>
      </c>
      <c r="S22" s="11" t="s">
        <v>69</v>
      </c>
      <c r="T22" s="11" t="s">
        <v>69</v>
      </c>
      <c r="U22" s="11" t="s">
        <v>69</v>
      </c>
      <c r="V22" s="12" t="s">
        <v>69</v>
      </c>
    </row>
    <row r="23" ht="18" customHeight="1" spans="1:22">
      <c r="A23" s="19"/>
      <c r="B23" s="20" t="s">
        <v>1052</v>
      </c>
      <c r="C23" s="20"/>
      <c r="D23" s="20"/>
      <c r="E23" s="6" t="s">
        <v>69</v>
      </c>
      <c r="F23" s="6" t="s">
        <v>69</v>
      </c>
      <c r="G23" s="6" t="s">
        <v>69</v>
      </c>
      <c r="H23" s="6" t="s">
        <v>69</v>
      </c>
      <c r="I23" s="6" t="s">
        <v>69</v>
      </c>
      <c r="J23" s="6" t="s">
        <v>69</v>
      </c>
      <c r="K23" s="6" t="s">
        <v>69</v>
      </c>
      <c r="L23" s="6" t="s">
        <v>69</v>
      </c>
      <c r="M23" s="6" t="s">
        <v>69</v>
      </c>
      <c r="N23" s="6" t="s">
        <v>69</v>
      </c>
      <c r="O23" s="6" t="s">
        <v>69</v>
      </c>
      <c r="P23" s="6" t="s">
        <v>69</v>
      </c>
      <c r="Q23" s="6" t="s">
        <v>69</v>
      </c>
      <c r="R23" s="6" t="s">
        <v>69</v>
      </c>
      <c r="S23" s="6" t="s">
        <v>69</v>
      </c>
      <c r="T23" s="6" t="s">
        <v>69</v>
      </c>
      <c r="U23" s="6" t="s">
        <v>69</v>
      </c>
      <c r="V23" s="8" t="s">
        <v>69</v>
      </c>
    </row>
    <row r="24" ht="18" customHeight="1" spans="1:22">
      <c r="A24" s="19"/>
      <c r="B24" s="21" t="s">
        <v>1053</v>
      </c>
      <c r="C24" s="21"/>
      <c r="D24" s="21"/>
      <c r="E24" s="22" t="s">
        <v>69</v>
      </c>
      <c r="F24" s="22" t="s">
        <v>69</v>
      </c>
      <c r="G24" s="22" t="s">
        <v>69</v>
      </c>
      <c r="H24" s="22" t="s">
        <v>69</v>
      </c>
      <c r="I24" s="22" t="s">
        <v>69</v>
      </c>
      <c r="J24" s="22" t="s">
        <v>69</v>
      </c>
      <c r="K24" s="22" t="s">
        <v>69</v>
      </c>
      <c r="L24" s="22" t="s">
        <v>69</v>
      </c>
      <c r="M24" s="22" t="s">
        <v>69</v>
      </c>
      <c r="N24" s="22" t="s">
        <v>69</v>
      </c>
      <c r="O24" s="22" t="s">
        <v>69</v>
      </c>
      <c r="P24" s="22" t="s">
        <v>69</v>
      </c>
      <c r="Q24" s="22" t="s">
        <v>69</v>
      </c>
      <c r="R24" s="22" t="s">
        <v>69</v>
      </c>
      <c r="S24" s="22" t="s">
        <v>69</v>
      </c>
      <c r="T24" s="22" t="s">
        <v>69</v>
      </c>
      <c r="U24" s="22" t="s">
        <v>69</v>
      </c>
      <c r="V2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1:D21"/>
    <mergeCell ref="B22:D22"/>
    <mergeCell ref="B23:D23"/>
    <mergeCell ref="B24:D24"/>
    <mergeCell ref="A7:A14"/>
    <mergeCell ref="A15:A20"/>
    <mergeCell ref="A21:A24"/>
  </mergeCells>
  <dataValidations count="3">
    <dataValidation type="list" allowBlank="1" sqref="F21:V21">
      <formula1>"N,A,B"</formula1>
    </dataValidation>
    <dataValidation type="list" allowBlank="1" sqref="F22:V22">
      <formula1>"P,F"</formula1>
    </dataValidation>
    <dataValidation type="list" allowBlank="1" sqref="F10:V14 F16:V20 F8:V9">
      <formula1>"O,-"</formula1>
    </dataValidation>
  </dataValidations>
  <pageMargins left="0.7" right="0.7" top="0.75" bottom="0.75" header="0.3" footer="0.3"/>
  <pageSetup paperSize="1" orientation="portrait" useFirstPageNumber="1"/>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575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2044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2045</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2046</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2047</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2048</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2049</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2050</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2051</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2052</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63</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547</v>
      </c>
      <c r="C1" s="2"/>
      <c r="D1" s="2"/>
      <c r="E1" s="2"/>
      <c r="F1" s="3" t="s">
        <v>1019</v>
      </c>
      <c r="G1" s="3"/>
      <c r="H1" s="3"/>
      <c r="I1" s="3"/>
      <c r="J1" s="3"/>
      <c r="K1" s="3"/>
      <c r="L1" s="4" t="s">
        <v>580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2053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6</v>
      </c>
      <c r="M5" s="11">
        <v>0</v>
      </c>
      <c r="N5" s="11">
        <v>1</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2054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2055</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2056</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2057</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2058</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2059</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2060</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2061</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5.5" customHeight="1" spans="1:22">
      <c r="A16" s="16"/>
      <c r="B16" s="6" t="s">
        <v>69</v>
      </c>
      <c r="C16" s="6" t="s">
        <v>69</v>
      </c>
      <c r="D16" s="18" t="s">
        <v>2062</v>
      </c>
      <c r="E16" s="6" t="s">
        <v>69</v>
      </c>
      <c r="F16" s="11" t="s">
        <v>1032</v>
      </c>
      <c r="G16" s="11" t="s">
        <v>1036</v>
      </c>
      <c r="H16" s="11" t="s">
        <v>1036</v>
      </c>
      <c r="I16" s="11" t="s">
        <v>1036</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2063</v>
      </c>
      <c r="E17" s="6" t="s">
        <v>69</v>
      </c>
      <c r="F17" s="11" t="s">
        <v>1036</v>
      </c>
      <c r="G17" s="11" t="s">
        <v>1032</v>
      </c>
      <c r="H17" s="11" t="s">
        <v>1036</v>
      </c>
      <c r="I17" s="11" t="s">
        <v>1036</v>
      </c>
      <c r="J17" s="11" t="s">
        <v>1032</v>
      </c>
      <c r="K17" s="11" t="s">
        <v>1036</v>
      </c>
      <c r="L17" s="11" t="s">
        <v>1036</v>
      </c>
      <c r="M17" s="11" t="s">
        <v>69</v>
      </c>
      <c r="N17" s="11" t="s">
        <v>69</v>
      </c>
      <c r="O17" s="11" t="s">
        <v>69</v>
      </c>
      <c r="P17" s="11" t="s">
        <v>69</v>
      </c>
      <c r="Q17" s="11" t="s">
        <v>69</v>
      </c>
      <c r="R17" s="11" t="s">
        <v>69</v>
      </c>
      <c r="S17" s="11" t="s">
        <v>69</v>
      </c>
      <c r="T17" s="11" t="s">
        <v>69</v>
      </c>
      <c r="U17" s="11" t="s">
        <v>69</v>
      </c>
      <c r="V17" s="12" t="s">
        <v>69</v>
      </c>
    </row>
    <row r="18" ht="15.5" customHeight="1" spans="1:22">
      <c r="A18" s="16"/>
      <c r="B18" s="6" t="s">
        <v>69</v>
      </c>
      <c r="C18" s="6" t="s">
        <v>69</v>
      </c>
      <c r="D18" s="18" t="s">
        <v>2064</v>
      </c>
      <c r="E18" s="6" t="s">
        <v>69</v>
      </c>
      <c r="F18" s="11" t="s">
        <v>1036</v>
      </c>
      <c r="G18" s="11" t="s">
        <v>1036</v>
      </c>
      <c r="H18" s="11" t="s">
        <v>1032</v>
      </c>
      <c r="I18" s="11" t="s">
        <v>1036</v>
      </c>
      <c r="J18" s="11" t="s">
        <v>1036</v>
      </c>
      <c r="K18" s="11" t="s">
        <v>1032</v>
      </c>
      <c r="L18" s="11" t="s">
        <v>1036</v>
      </c>
      <c r="M18" s="11" t="s">
        <v>69</v>
      </c>
      <c r="N18" s="11" t="s">
        <v>69</v>
      </c>
      <c r="O18" s="11" t="s">
        <v>69</v>
      </c>
      <c r="P18" s="11" t="s">
        <v>69</v>
      </c>
      <c r="Q18" s="11" t="s">
        <v>69</v>
      </c>
      <c r="R18" s="11" t="s">
        <v>69</v>
      </c>
      <c r="S18" s="11" t="s">
        <v>69</v>
      </c>
      <c r="T18" s="11" t="s">
        <v>69</v>
      </c>
      <c r="U18" s="11" t="s">
        <v>69</v>
      </c>
      <c r="V18" s="12" t="s">
        <v>69</v>
      </c>
    </row>
    <row r="19" ht="28" customHeight="1" spans="1:22">
      <c r="A19" s="16"/>
      <c r="B19" s="6" t="s">
        <v>69</v>
      </c>
      <c r="C19" s="6" t="s">
        <v>69</v>
      </c>
      <c r="D19" s="18" t="s">
        <v>2065</v>
      </c>
      <c r="E19" s="6" t="s">
        <v>69</v>
      </c>
      <c r="F19" s="11" t="s">
        <v>1036</v>
      </c>
      <c r="G19" s="11" t="s">
        <v>1036</v>
      </c>
      <c r="H19" s="11" t="s">
        <v>1036</v>
      </c>
      <c r="I19" s="11" t="s">
        <v>1032</v>
      </c>
      <c r="J19" s="11" t="s">
        <v>1036</v>
      </c>
      <c r="K19" s="11" t="s">
        <v>1036</v>
      </c>
      <c r="L19" s="11" t="s">
        <v>1036</v>
      </c>
      <c r="M19" s="11" t="s">
        <v>69</v>
      </c>
      <c r="N19" s="11" t="s">
        <v>69</v>
      </c>
      <c r="O19" s="11" t="s">
        <v>69</v>
      </c>
      <c r="P19" s="11" t="s">
        <v>69</v>
      </c>
      <c r="Q19" s="11" t="s">
        <v>69</v>
      </c>
      <c r="R19" s="11" t="s">
        <v>69</v>
      </c>
      <c r="S19" s="11" t="s">
        <v>69</v>
      </c>
      <c r="T19" s="11" t="s">
        <v>69</v>
      </c>
      <c r="U19" s="11" t="s">
        <v>69</v>
      </c>
      <c r="V19" s="12" t="s">
        <v>69</v>
      </c>
    </row>
    <row r="20" ht="28" customHeight="1" spans="1:22">
      <c r="A20" s="16"/>
      <c r="B20" s="6" t="s">
        <v>69</v>
      </c>
      <c r="C20" s="6" t="s">
        <v>69</v>
      </c>
      <c r="D20" s="18" t="s">
        <v>2066</v>
      </c>
      <c r="E20" s="6" t="s">
        <v>69</v>
      </c>
      <c r="F20" s="11" t="s">
        <v>1036</v>
      </c>
      <c r="G20" s="11" t="s">
        <v>1036</v>
      </c>
      <c r="H20" s="11" t="s">
        <v>1036</v>
      </c>
      <c r="I20" s="11" t="s">
        <v>1036</v>
      </c>
      <c r="J20" s="11" t="s">
        <v>1036</v>
      </c>
      <c r="K20" s="11" t="s">
        <v>1032</v>
      </c>
      <c r="L20" s="11" t="s">
        <v>1036</v>
      </c>
      <c r="M20" s="11" t="s">
        <v>69</v>
      </c>
      <c r="N20" s="11" t="s">
        <v>69</v>
      </c>
      <c r="O20" s="11" t="s">
        <v>69</v>
      </c>
      <c r="P20" s="11" t="s">
        <v>69</v>
      </c>
      <c r="Q20" s="11" t="s">
        <v>69</v>
      </c>
      <c r="R20" s="11" t="s">
        <v>69</v>
      </c>
      <c r="S20" s="11" t="s">
        <v>69</v>
      </c>
      <c r="T20" s="11" t="s">
        <v>69</v>
      </c>
      <c r="U20" s="11" t="s">
        <v>69</v>
      </c>
      <c r="V20" s="12" t="s">
        <v>69</v>
      </c>
    </row>
    <row r="21" ht="28" customHeight="1" spans="1:22">
      <c r="A21" s="16"/>
      <c r="B21" s="6" t="s">
        <v>69</v>
      </c>
      <c r="C21" s="6" t="s">
        <v>69</v>
      </c>
      <c r="D21" s="18" t="s">
        <v>2067</v>
      </c>
      <c r="E21" s="6" t="s">
        <v>69</v>
      </c>
      <c r="F21" s="11" t="s">
        <v>1036</v>
      </c>
      <c r="G21" s="11" t="s">
        <v>1036</v>
      </c>
      <c r="H21" s="11" t="s">
        <v>1036</v>
      </c>
      <c r="I21" s="11" t="s">
        <v>1036</v>
      </c>
      <c r="J21" s="11" t="s">
        <v>1036</v>
      </c>
      <c r="K21" s="11" t="s">
        <v>1036</v>
      </c>
      <c r="L21" s="11" t="s">
        <v>1032</v>
      </c>
      <c r="M21" s="11" t="s">
        <v>69</v>
      </c>
      <c r="N21" s="11" t="s">
        <v>69</v>
      </c>
      <c r="O21" s="11" t="s">
        <v>69</v>
      </c>
      <c r="P21" s="11" t="s">
        <v>69</v>
      </c>
      <c r="Q21" s="11" t="s">
        <v>69</v>
      </c>
      <c r="R21" s="11" t="s">
        <v>69</v>
      </c>
      <c r="S21" s="11" t="s">
        <v>69</v>
      </c>
      <c r="T21" s="11" t="s">
        <v>69</v>
      </c>
      <c r="U21" s="11" t="s">
        <v>69</v>
      </c>
      <c r="V21" s="12" t="s">
        <v>69</v>
      </c>
    </row>
    <row r="22" ht="18" customHeight="1" spans="1:22">
      <c r="A22" s="19" t="s">
        <v>1048</v>
      </c>
      <c r="B22" s="20" t="s">
        <v>1049</v>
      </c>
      <c r="C22" s="20"/>
      <c r="D22" s="20"/>
      <c r="E22" s="6" t="s">
        <v>69</v>
      </c>
      <c r="F22" s="11" t="s">
        <v>1008</v>
      </c>
      <c r="G22" s="11" t="s">
        <v>1009</v>
      </c>
      <c r="H22" s="11" t="s">
        <v>1008</v>
      </c>
      <c r="I22" s="11" t="s">
        <v>1008</v>
      </c>
      <c r="J22" s="11" t="s">
        <v>1008</v>
      </c>
      <c r="K22" s="11" t="s">
        <v>1008</v>
      </c>
      <c r="L22" s="11" t="s">
        <v>1008</v>
      </c>
      <c r="M22" s="11" t="s">
        <v>69</v>
      </c>
      <c r="N22" s="11" t="s">
        <v>69</v>
      </c>
      <c r="O22" s="11" t="s">
        <v>69</v>
      </c>
      <c r="P22" s="11" t="s">
        <v>69</v>
      </c>
      <c r="Q22" s="11" t="s">
        <v>69</v>
      </c>
      <c r="R22" s="11" t="s">
        <v>69</v>
      </c>
      <c r="S22" s="11" t="s">
        <v>69</v>
      </c>
      <c r="T22" s="11" t="s">
        <v>69</v>
      </c>
      <c r="U22" s="11" t="s">
        <v>69</v>
      </c>
      <c r="V22" s="12" t="s">
        <v>69</v>
      </c>
    </row>
    <row r="23" ht="18" customHeight="1" spans="1:22">
      <c r="A23" s="19"/>
      <c r="B23" s="20" t="s">
        <v>1050</v>
      </c>
      <c r="C23" s="20"/>
      <c r="D23" s="20"/>
      <c r="E23" s="6" t="s">
        <v>69</v>
      </c>
      <c r="F23" s="11" t="s">
        <v>1051</v>
      </c>
      <c r="G23" s="11" t="s">
        <v>1051</v>
      </c>
      <c r="H23" s="11" t="s">
        <v>1051</v>
      </c>
      <c r="I23" s="11" t="s">
        <v>1051</v>
      </c>
      <c r="J23" s="11" t="s">
        <v>1051</v>
      </c>
      <c r="K23" s="11" t="s">
        <v>1051</v>
      </c>
      <c r="L23" s="11" t="s">
        <v>1051</v>
      </c>
      <c r="M23" s="11" t="s">
        <v>69</v>
      </c>
      <c r="N23" s="11" t="s">
        <v>69</v>
      </c>
      <c r="O23" s="11" t="s">
        <v>69</v>
      </c>
      <c r="P23" s="11" t="s">
        <v>69</v>
      </c>
      <c r="Q23" s="11" t="s">
        <v>69</v>
      </c>
      <c r="R23" s="11" t="s">
        <v>69</v>
      </c>
      <c r="S23" s="11" t="s">
        <v>69</v>
      </c>
      <c r="T23" s="11" t="s">
        <v>69</v>
      </c>
      <c r="U23" s="11" t="s">
        <v>69</v>
      </c>
      <c r="V23" s="12" t="s">
        <v>69</v>
      </c>
    </row>
    <row r="24" ht="18" customHeight="1" spans="1:22">
      <c r="A24" s="19"/>
      <c r="B24" s="20" t="s">
        <v>1052</v>
      </c>
      <c r="C24" s="20"/>
      <c r="D24" s="20"/>
      <c r="E24" s="6" t="s">
        <v>69</v>
      </c>
      <c r="F24" s="6" t="s">
        <v>69</v>
      </c>
      <c r="G24" s="6" t="s">
        <v>69</v>
      </c>
      <c r="H24" s="6" t="s">
        <v>69</v>
      </c>
      <c r="I24" s="6" t="s">
        <v>69</v>
      </c>
      <c r="J24" s="6" t="s">
        <v>69</v>
      </c>
      <c r="K24" s="6" t="s">
        <v>69</v>
      </c>
      <c r="L24" s="6" t="s">
        <v>69</v>
      </c>
      <c r="M24" s="6" t="s">
        <v>69</v>
      </c>
      <c r="N24" s="6" t="s">
        <v>69</v>
      </c>
      <c r="O24" s="6" t="s">
        <v>69</v>
      </c>
      <c r="P24" s="6" t="s">
        <v>69</v>
      </c>
      <c r="Q24" s="6" t="s">
        <v>69</v>
      </c>
      <c r="R24" s="6" t="s">
        <v>69</v>
      </c>
      <c r="S24" s="6" t="s">
        <v>69</v>
      </c>
      <c r="T24" s="6" t="s">
        <v>69</v>
      </c>
      <c r="U24" s="6" t="s">
        <v>69</v>
      </c>
      <c r="V24" s="8" t="s">
        <v>69</v>
      </c>
    </row>
    <row r="25" ht="18" customHeight="1" spans="1:22">
      <c r="A25" s="19"/>
      <c r="B25" s="21" t="s">
        <v>1053</v>
      </c>
      <c r="C25" s="21"/>
      <c r="D25" s="21"/>
      <c r="E25" s="22" t="s">
        <v>69</v>
      </c>
      <c r="F25" s="22" t="s">
        <v>69</v>
      </c>
      <c r="G25" s="22" t="s">
        <v>69</v>
      </c>
      <c r="H25" s="22" t="s">
        <v>69</v>
      </c>
      <c r="I25" s="22" t="s">
        <v>69</v>
      </c>
      <c r="J25" s="22" t="s">
        <v>69</v>
      </c>
      <c r="K25" s="22" t="s">
        <v>69</v>
      </c>
      <c r="L25" s="22" t="s">
        <v>69</v>
      </c>
      <c r="M25" s="22" t="s">
        <v>69</v>
      </c>
      <c r="N25" s="22" t="s">
        <v>69</v>
      </c>
      <c r="O25" s="22" t="s">
        <v>69</v>
      </c>
      <c r="P25" s="22" t="s">
        <v>69</v>
      </c>
      <c r="Q25" s="22" t="s">
        <v>69</v>
      </c>
      <c r="R25" s="22" t="s">
        <v>69</v>
      </c>
      <c r="S25" s="22" t="s">
        <v>69</v>
      </c>
      <c r="T25" s="22" t="s">
        <v>69</v>
      </c>
      <c r="U25" s="22" t="s">
        <v>69</v>
      </c>
      <c r="V2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2:D22"/>
    <mergeCell ref="B23:D23"/>
    <mergeCell ref="B24:D24"/>
    <mergeCell ref="B25:D25"/>
    <mergeCell ref="A7:A14"/>
    <mergeCell ref="A15:A21"/>
    <mergeCell ref="A22:A25"/>
  </mergeCells>
  <dataValidations count="3">
    <dataValidation type="list" allowBlank="1" sqref="F22:V22">
      <formula1>"N,A,B"</formula1>
    </dataValidation>
    <dataValidation type="list" allowBlank="1" sqref="F23:V23">
      <formula1>"P,F"</formula1>
    </dataValidation>
    <dataValidation type="list" allowBlank="1" sqref="F10:V14 F16:V21 F8:V9">
      <formula1>"O,-"</formula1>
    </dataValidation>
  </dataValidations>
  <pageMargins left="0.7" right="0.7" top="0.75" bottom="0.75" header="0.3" footer="0.3"/>
  <pageSetup paperSize="1" orientation="portrait" useFirstPageNumber="1"/>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585</v>
      </c>
      <c r="C1" s="2"/>
      <c r="D1" s="2"/>
      <c r="E1" s="2"/>
      <c r="F1" s="3" t="s">
        <v>1019</v>
      </c>
      <c r="G1" s="3"/>
      <c r="H1" s="3"/>
      <c r="I1" s="3"/>
      <c r="J1" s="3"/>
      <c r="K1" s="3"/>
      <c r="L1" s="4" t="s">
        <v>586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2068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5</v>
      </c>
      <c r="M5" s="11">
        <v>1</v>
      </c>
      <c r="N5" s="11">
        <v>2</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2069</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53" customHeight="1" spans="1:22">
      <c r="A9" s="16"/>
      <c r="B9" s="6" t="s">
        <v>69</v>
      </c>
      <c r="C9" s="6" t="s">
        <v>69</v>
      </c>
      <c r="D9" s="18" t="s">
        <v>2070</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65.5" customHeight="1" spans="1:22">
      <c r="A10" s="16"/>
      <c r="B10" s="6" t="s">
        <v>69</v>
      </c>
      <c r="C10" s="6" t="s">
        <v>69</v>
      </c>
      <c r="D10" s="18" t="s">
        <v>2071</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90.5" customHeight="1" spans="1:22">
      <c r="A11" s="16"/>
      <c r="B11" s="6" t="s">
        <v>69</v>
      </c>
      <c r="C11" s="6" t="s">
        <v>69</v>
      </c>
      <c r="D11" s="18" t="s">
        <v>2072</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2073</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2074</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2075</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2076</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28" customHeight="1" spans="1:22">
      <c r="A17" s="16"/>
      <c r="B17" s="6" t="s">
        <v>69</v>
      </c>
      <c r="C17" s="6" t="s">
        <v>69</v>
      </c>
      <c r="D17" s="18" t="s">
        <v>2077</v>
      </c>
      <c r="E17" s="6" t="s">
        <v>69</v>
      </c>
      <c r="F17" s="11" t="s">
        <v>1032</v>
      </c>
      <c r="G17" s="11" t="s">
        <v>1036</v>
      </c>
      <c r="H17" s="11" t="s">
        <v>1036</v>
      </c>
      <c r="I17" s="11" t="s">
        <v>1036</v>
      </c>
      <c r="J17" s="11" t="s">
        <v>1032</v>
      </c>
      <c r="K17" s="11" t="s">
        <v>1036</v>
      </c>
      <c r="L17" s="11" t="s">
        <v>1036</v>
      </c>
      <c r="M17" s="11" t="s">
        <v>1036</v>
      </c>
      <c r="N17" s="11" t="s">
        <v>69</v>
      </c>
      <c r="O17" s="11" t="s">
        <v>69</v>
      </c>
      <c r="P17" s="11" t="s">
        <v>69</v>
      </c>
      <c r="Q17" s="11" t="s">
        <v>69</v>
      </c>
      <c r="R17" s="11" t="s">
        <v>69</v>
      </c>
      <c r="S17" s="11" t="s">
        <v>69</v>
      </c>
      <c r="T17" s="11" t="s">
        <v>69</v>
      </c>
      <c r="U17" s="11" t="s">
        <v>69</v>
      </c>
      <c r="V17" s="12" t="s">
        <v>69</v>
      </c>
    </row>
    <row r="18" ht="28" customHeight="1" spans="1:22">
      <c r="A18" s="16"/>
      <c r="B18" s="6" t="s">
        <v>69</v>
      </c>
      <c r="C18" s="6" t="s">
        <v>69</v>
      </c>
      <c r="D18" s="18" t="s">
        <v>2078</v>
      </c>
      <c r="E18" s="6" t="s">
        <v>69</v>
      </c>
      <c r="F18" s="11" t="s">
        <v>1036</v>
      </c>
      <c r="G18" s="11" t="s">
        <v>1032</v>
      </c>
      <c r="H18" s="11" t="s">
        <v>1036</v>
      </c>
      <c r="I18" s="11" t="s">
        <v>1036</v>
      </c>
      <c r="J18" s="11" t="s">
        <v>1036</v>
      </c>
      <c r="K18" s="11" t="s">
        <v>1036</v>
      </c>
      <c r="L18" s="11" t="s">
        <v>1036</v>
      </c>
      <c r="M18" s="11" t="s">
        <v>1036</v>
      </c>
      <c r="N18" s="11" t="s">
        <v>69</v>
      </c>
      <c r="O18" s="11" t="s">
        <v>69</v>
      </c>
      <c r="P18" s="11" t="s">
        <v>69</v>
      </c>
      <c r="Q18" s="11" t="s">
        <v>69</v>
      </c>
      <c r="R18" s="11" t="s">
        <v>69</v>
      </c>
      <c r="S18" s="11" t="s">
        <v>69</v>
      </c>
      <c r="T18" s="11" t="s">
        <v>69</v>
      </c>
      <c r="U18" s="11" t="s">
        <v>69</v>
      </c>
      <c r="V18" s="12" t="s">
        <v>69</v>
      </c>
    </row>
    <row r="19" ht="53" customHeight="1" spans="1:22">
      <c r="A19" s="16"/>
      <c r="B19" s="6" t="s">
        <v>69</v>
      </c>
      <c r="C19" s="6" t="s">
        <v>69</v>
      </c>
      <c r="D19" s="18" t="s">
        <v>2079</v>
      </c>
      <c r="E19" s="6" t="s">
        <v>69</v>
      </c>
      <c r="F19" s="11" t="s">
        <v>1036</v>
      </c>
      <c r="G19" s="11" t="s">
        <v>1036</v>
      </c>
      <c r="H19" s="11" t="s">
        <v>1032</v>
      </c>
      <c r="I19" s="11" t="s">
        <v>1036</v>
      </c>
      <c r="J19" s="11" t="s">
        <v>1036</v>
      </c>
      <c r="K19" s="11" t="s">
        <v>1032</v>
      </c>
      <c r="L19" s="11" t="s">
        <v>1036</v>
      </c>
      <c r="M19" s="11" t="s">
        <v>1036</v>
      </c>
      <c r="N19" s="11" t="s">
        <v>69</v>
      </c>
      <c r="O19" s="11" t="s">
        <v>69</v>
      </c>
      <c r="P19" s="11" t="s">
        <v>69</v>
      </c>
      <c r="Q19" s="11" t="s">
        <v>69</v>
      </c>
      <c r="R19" s="11" t="s">
        <v>69</v>
      </c>
      <c r="S19" s="11" t="s">
        <v>69</v>
      </c>
      <c r="T19" s="11" t="s">
        <v>69</v>
      </c>
      <c r="U19" s="11" t="s">
        <v>69</v>
      </c>
      <c r="V19" s="12" t="s">
        <v>69</v>
      </c>
    </row>
    <row r="20" ht="40.5" customHeight="1" spans="1:22">
      <c r="A20" s="16"/>
      <c r="B20" s="6" t="s">
        <v>69</v>
      </c>
      <c r="C20" s="6" t="s">
        <v>69</v>
      </c>
      <c r="D20" s="18" t="s">
        <v>2080</v>
      </c>
      <c r="E20" s="6" t="s">
        <v>69</v>
      </c>
      <c r="F20" s="11" t="s">
        <v>1036</v>
      </c>
      <c r="G20" s="11" t="s">
        <v>1036</v>
      </c>
      <c r="H20" s="11" t="s">
        <v>1036</v>
      </c>
      <c r="I20" s="11" t="s">
        <v>1032</v>
      </c>
      <c r="J20" s="11" t="s">
        <v>1036</v>
      </c>
      <c r="K20" s="11" t="s">
        <v>1036</v>
      </c>
      <c r="L20" s="11" t="s">
        <v>1036</v>
      </c>
      <c r="M20" s="11" t="s">
        <v>1036</v>
      </c>
      <c r="N20" s="11" t="s">
        <v>69</v>
      </c>
      <c r="O20" s="11" t="s">
        <v>69</v>
      </c>
      <c r="P20" s="11" t="s">
        <v>69</v>
      </c>
      <c r="Q20" s="11" t="s">
        <v>69</v>
      </c>
      <c r="R20" s="11" t="s">
        <v>69</v>
      </c>
      <c r="S20" s="11" t="s">
        <v>69</v>
      </c>
      <c r="T20" s="11" t="s">
        <v>69</v>
      </c>
      <c r="U20" s="11" t="s">
        <v>69</v>
      </c>
      <c r="V20" s="12" t="s">
        <v>69</v>
      </c>
    </row>
    <row r="21" ht="28" customHeight="1" spans="1:22">
      <c r="A21" s="16"/>
      <c r="B21" s="6" t="s">
        <v>69</v>
      </c>
      <c r="C21" s="6" t="s">
        <v>69</v>
      </c>
      <c r="D21" s="18" t="s">
        <v>2081</v>
      </c>
      <c r="E21" s="6" t="s">
        <v>69</v>
      </c>
      <c r="F21" s="11" t="s">
        <v>1036</v>
      </c>
      <c r="G21" s="11" t="s">
        <v>1036</v>
      </c>
      <c r="H21" s="11" t="s">
        <v>1036</v>
      </c>
      <c r="I21" s="11" t="s">
        <v>1036</v>
      </c>
      <c r="J21" s="11" t="s">
        <v>1036</v>
      </c>
      <c r="K21" s="11" t="s">
        <v>1036</v>
      </c>
      <c r="L21" s="11" t="s">
        <v>1032</v>
      </c>
      <c r="M21" s="11" t="s">
        <v>1036</v>
      </c>
      <c r="N21" s="11" t="s">
        <v>69</v>
      </c>
      <c r="O21" s="11" t="s">
        <v>69</v>
      </c>
      <c r="P21" s="11" t="s">
        <v>69</v>
      </c>
      <c r="Q21" s="11" t="s">
        <v>69</v>
      </c>
      <c r="R21" s="11" t="s">
        <v>69</v>
      </c>
      <c r="S21" s="11" t="s">
        <v>69</v>
      </c>
      <c r="T21" s="11" t="s">
        <v>69</v>
      </c>
      <c r="U21" s="11" t="s">
        <v>69</v>
      </c>
      <c r="V21" s="12" t="s">
        <v>69</v>
      </c>
    </row>
    <row r="22" ht="53" customHeight="1" spans="1:22">
      <c r="A22" s="16"/>
      <c r="B22" s="6" t="s">
        <v>69</v>
      </c>
      <c r="C22" s="6" t="s">
        <v>69</v>
      </c>
      <c r="D22" s="18" t="s">
        <v>2082</v>
      </c>
      <c r="E22" s="6" t="s">
        <v>69</v>
      </c>
      <c r="F22" s="11" t="s">
        <v>1036</v>
      </c>
      <c r="G22" s="11" t="s">
        <v>1036</v>
      </c>
      <c r="H22" s="11" t="s">
        <v>1036</v>
      </c>
      <c r="I22" s="11" t="s">
        <v>1036</v>
      </c>
      <c r="J22" s="11" t="s">
        <v>1036</v>
      </c>
      <c r="K22" s="11" t="s">
        <v>1036</v>
      </c>
      <c r="L22" s="11" t="s">
        <v>1036</v>
      </c>
      <c r="M22" s="11" t="s">
        <v>1032</v>
      </c>
      <c r="N22" s="11" t="s">
        <v>69</v>
      </c>
      <c r="O22" s="11" t="s">
        <v>69</v>
      </c>
      <c r="P22" s="11" t="s">
        <v>69</v>
      </c>
      <c r="Q22" s="11" t="s">
        <v>69</v>
      </c>
      <c r="R22" s="11" t="s">
        <v>69</v>
      </c>
      <c r="S22" s="11" t="s">
        <v>69</v>
      </c>
      <c r="T22" s="11" t="s">
        <v>69</v>
      </c>
      <c r="U22" s="11" t="s">
        <v>69</v>
      </c>
      <c r="V22" s="12" t="s">
        <v>69</v>
      </c>
    </row>
    <row r="23" ht="18" customHeight="1" spans="1:22">
      <c r="A23" s="19" t="s">
        <v>1048</v>
      </c>
      <c r="B23" s="20" t="s">
        <v>1049</v>
      </c>
      <c r="C23" s="20"/>
      <c r="D23" s="20"/>
      <c r="E23" s="6" t="s">
        <v>69</v>
      </c>
      <c r="F23" s="11" t="s">
        <v>1008</v>
      </c>
      <c r="G23" s="11" t="s">
        <v>1009</v>
      </c>
      <c r="H23" s="11" t="s">
        <v>63</v>
      </c>
      <c r="I23" s="11" t="s">
        <v>1008</v>
      </c>
      <c r="J23" s="11" t="s">
        <v>1008</v>
      </c>
      <c r="K23" s="11" t="s">
        <v>1008</v>
      </c>
      <c r="L23" s="11" t="s">
        <v>1008</v>
      </c>
      <c r="M23" s="11" t="s">
        <v>1009</v>
      </c>
      <c r="N23" s="11" t="s">
        <v>69</v>
      </c>
      <c r="O23" s="11" t="s">
        <v>69</v>
      </c>
      <c r="P23" s="11" t="s">
        <v>69</v>
      </c>
      <c r="Q23" s="11" t="s">
        <v>69</v>
      </c>
      <c r="R23" s="11" t="s">
        <v>69</v>
      </c>
      <c r="S23" s="11" t="s">
        <v>69</v>
      </c>
      <c r="T23" s="11" t="s">
        <v>69</v>
      </c>
      <c r="U23" s="11" t="s">
        <v>69</v>
      </c>
      <c r="V23" s="12" t="s">
        <v>69</v>
      </c>
    </row>
    <row r="24" ht="18" customHeight="1" spans="1:22">
      <c r="A24" s="19"/>
      <c r="B24" s="20" t="s">
        <v>1050</v>
      </c>
      <c r="C24" s="20"/>
      <c r="D24" s="20"/>
      <c r="E24" s="6" t="s">
        <v>69</v>
      </c>
      <c r="F24" s="11" t="s">
        <v>1051</v>
      </c>
      <c r="G24" s="11" t="s">
        <v>1051</v>
      </c>
      <c r="H24" s="11" t="s">
        <v>1051</v>
      </c>
      <c r="I24" s="11" t="s">
        <v>1051</v>
      </c>
      <c r="J24" s="11" t="s">
        <v>1051</v>
      </c>
      <c r="K24" s="11" t="s">
        <v>1051</v>
      </c>
      <c r="L24" s="11" t="s">
        <v>1051</v>
      </c>
      <c r="M24" s="11" t="s">
        <v>1051</v>
      </c>
      <c r="N24" s="11" t="s">
        <v>69</v>
      </c>
      <c r="O24" s="11" t="s">
        <v>69</v>
      </c>
      <c r="P24" s="11" t="s">
        <v>69</v>
      </c>
      <c r="Q24" s="11" t="s">
        <v>69</v>
      </c>
      <c r="R24" s="11" t="s">
        <v>69</v>
      </c>
      <c r="S24" s="11" t="s">
        <v>69</v>
      </c>
      <c r="T24" s="11" t="s">
        <v>69</v>
      </c>
      <c r="U24" s="11" t="s">
        <v>69</v>
      </c>
      <c r="V24" s="12" t="s">
        <v>69</v>
      </c>
    </row>
    <row r="25" ht="18" customHeight="1" spans="1:22">
      <c r="A25" s="19"/>
      <c r="B25" s="20" t="s">
        <v>1052</v>
      </c>
      <c r="C25" s="20"/>
      <c r="D25" s="20"/>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18" customHeight="1" spans="1:22">
      <c r="A26" s="19"/>
      <c r="B26" s="21" t="s">
        <v>1053</v>
      </c>
      <c r="C26" s="21"/>
      <c r="D26" s="21"/>
      <c r="E26" s="22" t="s">
        <v>69</v>
      </c>
      <c r="F26" s="22" t="s">
        <v>69</v>
      </c>
      <c r="G26" s="22" t="s">
        <v>69</v>
      </c>
      <c r="H26" s="22" t="s">
        <v>69</v>
      </c>
      <c r="I26" s="22" t="s">
        <v>69</v>
      </c>
      <c r="J26" s="22" t="s">
        <v>69</v>
      </c>
      <c r="K26" s="22" t="s">
        <v>69</v>
      </c>
      <c r="L26" s="22" t="s">
        <v>69</v>
      </c>
      <c r="M26" s="22" t="s">
        <v>69</v>
      </c>
      <c r="N26" s="22" t="s">
        <v>69</v>
      </c>
      <c r="O26" s="22" t="s">
        <v>69</v>
      </c>
      <c r="P26" s="22" t="s">
        <v>69</v>
      </c>
      <c r="Q26" s="22" t="s">
        <v>69</v>
      </c>
      <c r="R26" s="22" t="s">
        <v>69</v>
      </c>
      <c r="S26" s="22" t="s">
        <v>69</v>
      </c>
      <c r="T26" s="22" t="s">
        <v>69</v>
      </c>
      <c r="U26" s="22" t="s">
        <v>69</v>
      </c>
      <c r="V2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3:D23"/>
    <mergeCell ref="B24:D24"/>
    <mergeCell ref="B25:D25"/>
    <mergeCell ref="B26:D26"/>
    <mergeCell ref="A7:A15"/>
    <mergeCell ref="A16:A22"/>
    <mergeCell ref="A23:A26"/>
  </mergeCells>
  <dataValidations count="3">
    <dataValidation type="list" allowBlank="1" sqref="F23:V23">
      <formula1>"N,A,B"</formula1>
    </dataValidation>
    <dataValidation type="list" allowBlank="1" sqref="F24:V24">
      <formula1>"P,F"</formula1>
    </dataValidation>
    <dataValidation type="list" allowBlank="1" sqref="F10:V15 F17:V22 F8:V9">
      <formula1>"O,-"</formula1>
    </dataValidation>
  </dataValidations>
  <pageMargins left="0.7" right="0.7" top="0.75" bottom="0.75" header="0.3" footer="0.3"/>
  <pageSetup paperSize="1" orientation="portrait" useFirstPageNumber="1"/>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585</v>
      </c>
      <c r="C1" s="2"/>
      <c r="D1" s="2"/>
      <c r="E1" s="2"/>
      <c r="F1" s="3" t="s">
        <v>1019</v>
      </c>
      <c r="G1" s="3"/>
      <c r="H1" s="3"/>
      <c r="I1" s="3"/>
      <c r="J1" s="3"/>
      <c r="K1" s="3"/>
      <c r="L1" s="4" t="s">
        <v>591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2083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4</v>
      </c>
      <c r="M5" s="11">
        <v>1</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2084</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2085</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2086</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2087</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2088</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2089</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28" customHeight="1" spans="1:22">
      <c r="A15" s="16"/>
      <c r="B15" s="6" t="s">
        <v>69</v>
      </c>
      <c r="C15" s="6" t="s">
        <v>69</v>
      </c>
      <c r="D15" s="18" t="s">
        <v>2090</v>
      </c>
      <c r="E15" s="6" t="s">
        <v>69</v>
      </c>
      <c r="F15" s="11" t="s">
        <v>1032</v>
      </c>
      <c r="G15" s="11" t="s">
        <v>1032</v>
      </c>
      <c r="H15" s="11" t="s">
        <v>1032</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2091</v>
      </c>
      <c r="E16" s="6" t="s">
        <v>69</v>
      </c>
      <c r="F16" s="11" t="s">
        <v>1036</v>
      </c>
      <c r="G16" s="11" t="s">
        <v>1036</v>
      </c>
      <c r="H16" s="11" t="s">
        <v>1036</v>
      </c>
      <c r="I16" s="11" t="s">
        <v>1032</v>
      </c>
      <c r="J16" s="11" t="s">
        <v>1036</v>
      </c>
      <c r="K16" s="11" t="s">
        <v>1036</v>
      </c>
      <c r="L16" s="11" t="s">
        <v>69</v>
      </c>
      <c r="M16" s="11" t="s">
        <v>69</v>
      </c>
      <c r="N16" s="11" t="s">
        <v>69</v>
      </c>
      <c r="O16" s="11" t="s">
        <v>69</v>
      </c>
      <c r="P16" s="11" t="s">
        <v>69</v>
      </c>
      <c r="Q16" s="11" t="s">
        <v>69</v>
      </c>
      <c r="R16" s="11" t="s">
        <v>69</v>
      </c>
      <c r="S16" s="11" t="s">
        <v>69</v>
      </c>
      <c r="T16" s="11" t="s">
        <v>69</v>
      </c>
      <c r="U16" s="11" t="s">
        <v>69</v>
      </c>
      <c r="V16" s="12" t="s">
        <v>69</v>
      </c>
    </row>
    <row r="17" ht="40.5" customHeight="1" spans="1:22">
      <c r="A17" s="16"/>
      <c r="B17" s="6" t="s">
        <v>69</v>
      </c>
      <c r="C17" s="6" t="s">
        <v>69</v>
      </c>
      <c r="D17" s="18" t="s">
        <v>2092</v>
      </c>
      <c r="E17" s="6" t="s">
        <v>69</v>
      </c>
      <c r="F17" s="11" t="s">
        <v>1036</v>
      </c>
      <c r="G17" s="11" t="s">
        <v>1036</v>
      </c>
      <c r="H17" s="11" t="s">
        <v>1036</v>
      </c>
      <c r="I17" s="11" t="s">
        <v>1036</v>
      </c>
      <c r="J17" s="11" t="s">
        <v>1032</v>
      </c>
      <c r="K17" s="11" t="s">
        <v>1036</v>
      </c>
      <c r="L17" s="11" t="s">
        <v>69</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2093</v>
      </c>
      <c r="E18" s="6" t="s">
        <v>69</v>
      </c>
      <c r="F18" s="11" t="s">
        <v>1036</v>
      </c>
      <c r="G18" s="11" t="s">
        <v>1036</v>
      </c>
      <c r="H18" s="11" t="s">
        <v>1036</v>
      </c>
      <c r="I18" s="11" t="s">
        <v>1036</v>
      </c>
      <c r="J18" s="11" t="s">
        <v>1036</v>
      </c>
      <c r="K18" s="11" t="s">
        <v>1032</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63</v>
      </c>
      <c r="K19" s="11" t="s">
        <v>1009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9:V19">
      <formula1>"N,A,B"</formula1>
    </dataValidation>
    <dataValidation type="list" allowBlank="1" sqref="F20:V20">
      <formula1>"P,F"</formula1>
    </dataValidation>
    <dataValidation type="list" allowBlank="1" sqref="F10:V13 F15:V18 F8:V9">
      <formula1>"O,-"</formula1>
    </dataValidation>
  </dataValidations>
  <pageMargins left="0.7" right="0.7" top="0.75" bottom="0.75" header="0.3" footer="0.3"/>
  <pageSetup paperSize="1" orientation="portrait" useFirstPageNumber="1"/>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585</v>
      </c>
      <c r="C1" s="2"/>
      <c r="D1" s="2"/>
      <c r="E1" s="2"/>
      <c r="F1" s="3" t="s">
        <v>1019</v>
      </c>
      <c r="G1" s="3"/>
      <c r="H1" s="3"/>
      <c r="I1" s="3"/>
      <c r="J1" s="3"/>
      <c r="K1" s="3"/>
      <c r="L1" s="4" t="s">
        <v>595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2094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7</v>
      </c>
      <c r="B5" s="11"/>
      <c r="C5" s="11">
        <v>0</v>
      </c>
      <c r="D5" s="11"/>
      <c r="E5" s="11"/>
      <c r="F5" s="11">
        <v>0</v>
      </c>
      <c r="G5" s="11"/>
      <c r="H5" s="11"/>
      <c r="I5" s="11"/>
      <c r="J5" s="11"/>
      <c r="K5" s="11"/>
      <c r="L5" s="11">
        <v>5</v>
      </c>
      <c r="M5" s="11">
        <v>1</v>
      </c>
      <c r="N5" s="11">
        <v>1</v>
      </c>
      <c r="O5" s="12">
        <v>7</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2095</v>
      </c>
      <c r="E8" s="6" t="s">
        <v>69</v>
      </c>
      <c r="F8" s="11" t="s">
        <v>1032</v>
      </c>
      <c r="G8" s="11" t="s">
        <v>1036</v>
      </c>
      <c r="H8" s="11" t="s">
        <v>1036</v>
      </c>
      <c r="I8" s="11" t="s">
        <v>1036</v>
      </c>
      <c r="J8" s="11" t="s">
        <v>1036</v>
      </c>
      <c r="K8" s="11" t="s">
        <v>1036</v>
      </c>
      <c r="L8" s="11" t="s">
        <v>1036</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2096</v>
      </c>
      <c r="E9" s="6" t="s">
        <v>69</v>
      </c>
      <c r="F9" s="11" t="s">
        <v>1036</v>
      </c>
      <c r="G9" s="11" t="s">
        <v>1032</v>
      </c>
      <c r="H9" s="11" t="s">
        <v>1036</v>
      </c>
      <c r="I9" s="11" t="s">
        <v>1036</v>
      </c>
      <c r="J9" s="11" t="s">
        <v>1036</v>
      </c>
      <c r="K9" s="11" t="s">
        <v>1036</v>
      </c>
      <c r="L9" s="11" t="s">
        <v>1036</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2097</v>
      </c>
      <c r="E10" s="6" t="s">
        <v>69</v>
      </c>
      <c r="F10" s="11" t="s">
        <v>1036</v>
      </c>
      <c r="G10" s="11" t="s">
        <v>1036</v>
      </c>
      <c r="H10" s="11" t="s">
        <v>1032</v>
      </c>
      <c r="I10" s="11" t="s">
        <v>1036</v>
      </c>
      <c r="J10" s="11" t="s">
        <v>1036</v>
      </c>
      <c r="K10" s="11" t="s">
        <v>1036</v>
      </c>
      <c r="L10" s="11" t="s">
        <v>1036</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2098</v>
      </c>
      <c r="E11" s="6" t="s">
        <v>69</v>
      </c>
      <c r="F11" s="11" t="s">
        <v>1036</v>
      </c>
      <c r="G11" s="11" t="s">
        <v>1036</v>
      </c>
      <c r="H11" s="11" t="s">
        <v>1036</v>
      </c>
      <c r="I11" s="11" t="s">
        <v>1032</v>
      </c>
      <c r="J11" s="11" t="s">
        <v>1036</v>
      </c>
      <c r="K11" s="11" t="s">
        <v>1036</v>
      </c>
      <c r="L11" s="11" t="s">
        <v>1036</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2099</v>
      </c>
      <c r="E12" s="6" t="s">
        <v>69</v>
      </c>
      <c r="F12" s="11" t="s">
        <v>1036</v>
      </c>
      <c r="G12" s="11" t="s">
        <v>1036</v>
      </c>
      <c r="H12" s="11" t="s">
        <v>1036</v>
      </c>
      <c r="I12" s="11" t="s">
        <v>1036</v>
      </c>
      <c r="J12" s="11" t="s">
        <v>1032</v>
      </c>
      <c r="K12" s="11" t="s">
        <v>1036</v>
      </c>
      <c r="L12" s="11" t="s">
        <v>1036</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2100</v>
      </c>
      <c r="E13" s="6" t="s">
        <v>69</v>
      </c>
      <c r="F13" s="11" t="s">
        <v>1036</v>
      </c>
      <c r="G13" s="11" t="s">
        <v>1036</v>
      </c>
      <c r="H13" s="11" t="s">
        <v>1036</v>
      </c>
      <c r="I13" s="11" t="s">
        <v>1036</v>
      </c>
      <c r="J13" s="11" t="s">
        <v>1036</v>
      </c>
      <c r="K13" s="11" t="s">
        <v>1032</v>
      </c>
      <c r="L13" s="11" t="s">
        <v>1036</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2101</v>
      </c>
      <c r="E14" s="6" t="s">
        <v>69</v>
      </c>
      <c r="F14" s="11" t="s">
        <v>1036</v>
      </c>
      <c r="G14" s="11" t="s">
        <v>1036</v>
      </c>
      <c r="H14" s="11" t="s">
        <v>1036</v>
      </c>
      <c r="I14" s="11" t="s">
        <v>1036</v>
      </c>
      <c r="J14" s="11" t="s">
        <v>1036</v>
      </c>
      <c r="K14" s="11" t="s">
        <v>1036</v>
      </c>
      <c r="L14" s="11" t="s">
        <v>1032</v>
      </c>
      <c r="M14" s="11" t="s">
        <v>69</v>
      </c>
      <c r="N14" s="11" t="s">
        <v>69</v>
      </c>
      <c r="O14" s="11" t="s">
        <v>69</v>
      </c>
      <c r="P14" s="11" t="s">
        <v>69</v>
      </c>
      <c r="Q14" s="11" t="s">
        <v>69</v>
      </c>
      <c r="R14" s="11" t="s">
        <v>69</v>
      </c>
      <c r="S14" s="11" t="s">
        <v>69</v>
      </c>
      <c r="T14" s="11" t="s">
        <v>69</v>
      </c>
      <c r="U14" s="11" t="s">
        <v>69</v>
      </c>
      <c r="V14" s="12" t="s">
        <v>69</v>
      </c>
    </row>
    <row r="15" ht="15.5" customHeight="1" spans="1:22">
      <c r="A15" s="16" t="s">
        <v>1039</v>
      </c>
      <c r="B15" s="17" t="s">
        <v>1040</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53" customHeight="1" spans="1:22">
      <c r="A16" s="16"/>
      <c r="B16" s="6" t="s">
        <v>69</v>
      </c>
      <c r="C16" s="6" t="s">
        <v>69</v>
      </c>
      <c r="D16" s="18" t="s">
        <v>2102</v>
      </c>
      <c r="E16" s="6" t="s">
        <v>69</v>
      </c>
      <c r="F16" s="11" t="s">
        <v>1032</v>
      </c>
      <c r="G16" s="11" t="s">
        <v>1036</v>
      </c>
      <c r="H16" s="11" t="s">
        <v>1036</v>
      </c>
      <c r="I16" s="11" t="s">
        <v>1036</v>
      </c>
      <c r="J16" s="11" t="s">
        <v>1036</v>
      </c>
      <c r="K16" s="11" t="s">
        <v>1036</v>
      </c>
      <c r="L16" s="11" t="s">
        <v>1036</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2103</v>
      </c>
      <c r="E17" s="6" t="s">
        <v>69</v>
      </c>
      <c r="F17" s="11" t="s">
        <v>1036</v>
      </c>
      <c r="G17" s="11" t="s">
        <v>1032</v>
      </c>
      <c r="H17" s="11" t="s">
        <v>1036</v>
      </c>
      <c r="I17" s="11" t="s">
        <v>1036</v>
      </c>
      <c r="J17" s="11" t="s">
        <v>1036</v>
      </c>
      <c r="K17" s="11" t="s">
        <v>1036</v>
      </c>
      <c r="L17" s="11" t="s">
        <v>1036</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2104</v>
      </c>
      <c r="E18" s="6" t="s">
        <v>69</v>
      </c>
      <c r="F18" s="11" t="s">
        <v>1036</v>
      </c>
      <c r="G18" s="11" t="s">
        <v>1036</v>
      </c>
      <c r="H18" s="11" t="s">
        <v>1032</v>
      </c>
      <c r="I18" s="11" t="s">
        <v>1036</v>
      </c>
      <c r="J18" s="11" t="s">
        <v>1036</v>
      </c>
      <c r="K18" s="11" t="s">
        <v>1036</v>
      </c>
      <c r="L18" s="11" t="s">
        <v>1036</v>
      </c>
      <c r="M18" s="11" t="s">
        <v>69</v>
      </c>
      <c r="N18" s="11" t="s">
        <v>69</v>
      </c>
      <c r="O18" s="11" t="s">
        <v>69</v>
      </c>
      <c r="P18" s="11" t="s">
        <v>69</v>
      </c>
      <c r="Q18" s="11" t="s">
        <v>69</v>
      </c>
      <c r="R18" s="11" t="s">
        <v>69</v>
      </c>
      <c r="S18" s="11" t="s">
        <v>69</v>
      </c>
      <c r="T18" s="11" t="s">
        <v>69</v>
      </c>
      <c r="U18" s="11" t="s">
        <v>69</v>
      </c>
      <c r="V18" s="12" t="s">
        <v>69</v>
      </c>
    </row>
    <row r="19" ht="53" customHeight="1" spans="1:22">
      <c r="A19" s="16"/>
      <c r="B19" s="6" t="s">
        <v>69</v>
      </c>
      <c r="C19" s="6" t="s">
        <v>69</v>
      </c>
      <c r="D19" s="18" t="s">
        <v>2105</v>
      </c>
      <c r="E19" s="6" t="s">
        <v>69</v>
      </c>
      <c r="F19" s="11" t="s">
        <v>1036</v>
      </c>
      <c r="G19" s="11" t="s">
        <v>1036</v>
      </c>
      <c r="H19" s="11" t="s">
        <v>1036</v>
      </c>
      <c r="I19" s="11" t="s">
        <v>1032</v>
      </c>
      <c r="J19" s="11" t="s">
        <v>1036</v>
      </c>
      <c r="K19" s="11" t="s">
        <v>1036</v>
      </c>
      <c r="L19" s="11" t="s">
        <v>1036</v>
      </c>
      <c r="M19" s="11" t="s">
        <v>69</v>
      </c>
      <c r="N19" s="11" t="s">
        <v>69</v>
      </c>
      <c r="O19" s="11" t="s">
        <v>69</v>
      </c>
      <c r="P19" s="11" t="s">
        <v>69</v>
      </c>
      <c r="Q19" s="11" t="s">
        <v>69</v>
      </c>
      <c r="R19" s="11" t="s">
        <v>69</v>
      </c>
      <c r="S19" s="11" t="s">
        <v>69</v>
      </c>
      <c r="T19" s="11" t="s">
        <v>69</v>
      </c>
      <c r="U19" s="11" t="s">
        <v>69</v>
      </c>
      <c r="V19" s="12" t="s">
        <v>69</v>
      </c>
    </row>
    <row r="20" ht="40.5" customHeight="1" spans="1:22">
      <c r="A20" s="16"/>
      <c r="B20" s="6" t="s">
        <v>69</v>
      </c>
      <c r="C20" s="6" t="s">
        <v>69</v>
      </c>
      <c r="D20" s="18" t="s">
        <v>2106</v>
      </c>
      <c r="E20" s="6" t="s">
        <v>69</v>
      </c>
      <c r="F20" s="11" t="s">
        <v>1036</v>
      </c>
      <c r="G20" s="11" t="s">
        <v>1036</v>
      </c>
      <c r="H20" s="11" t="s">
        <v>1036</v>
      </c>
      <c r="I20" s="11" t="s">
        <v>1036</v>
      </c>
      <c r="J20" s="11" t="s">
        <v>1032</v>
      </c>
      <c r="K20" s="11" t="s">
        <v>1036</v>
      </c>
      <c r="L20" s="11" t="s">
        <v>1036</v>
      </c>
      <c r="M20" s="11" t="s">
        <v>69</v>
      </c>
      <c r="N20" s="11" t="s">
        <v>69</v>
      </c>
      <c r="O20" s="11" t="s">
        <v>69</v>
      </c>
      <c r="P20" s="11" t="s">
        <v>69</v>
      </c>
      <c r="Q20" s="11" t="s">
        <v>69</v>
      </c>
      <c r="R20" s="11" t="s">
        <v>69</v>
      </c>
      <c r="S20" s="11" t="s">
        <v>69</v>
      </c>
      <c r="T20" s="11" t="s">
        <v>69</v>
      </c>
      <c r="U20" s="11" t="s">
        <v>69</v>
      </c>
      <c r="V20" s="12" t="s">
        <v>69</v>
      </c>
    </row>
    <row r="21" ht="53" customHeight="1" spans="1:22">
      <c r="A21" s="16"/>
      <c r="B21" s="6" t="s">
        <v>69</v>
      </c>
      <c r="C21" s="6" t="s">
        <v>69</v>
      </c>
      <c r="D21" s="18" t="s">
        <v>2107</v>
      </c>
      <c r="E21" s="6" t="s">
        <v>69</v>
      </c>
      <c r="F21" s="11" t="s">
        <v>1036</v>
      </c>
      <c r="G21" s="11" t="s">
        <v>1036</v>
      </c>
      <c r="H21" s="11" t="s">
        <v>1036</v>
      </c>
      <c r="I21" s="11" t="s">
        <v>1036</v>
      </c>
      <c r="J21" s="11" t="s">
        <v>1036</v>
      </c>
      <c r="K21" s="11" t="s">
        <v>1032</v>
      </c>
      <c r="L21" s="11" t="s">
        <v>1036</v>
      </c>
      <c r="M21" s="11" t="s">
        <v>69</v>
      </c>
      <c r="N21" s="11" t="s">
        <v>69</v>
      </c>
      <c r="O21" s="11" t="s">
        <v>69</v>
      </c>
      <c r="P21" s="11" t="s">
        <v>69</v>
      </c>
      <c r="Q21" s="11" t="s">
        <v>69</v>
      </c>
      <c r="R21" s="11" t="s">
        <v>69</v>
      </c>
      <c r="S21" s="11" t="s">
        <v>69</v>
      </c>
      <c r="T21" s="11" t="s">
        <v>69</v>
      </c>
      <c r="U21" s="11" t="s">
        <v>69</v>
      </c>
      <c r="V21" s="12" t="s">
        <v>69</v>
      </c>
    </row>
    <row r="22" ht="53" customHeight="1" spans="1:22">
      <c r="A22" s="16"/>
      <c r="B22" s="6" t="s">
        <v>69</v>
      </c>
      <c r="C22" s="6" t="s">
        <v>69</v>
      </c>
      <c r="D22" s="18" t="s">
        <v>2108</v>
      </c>
      <c r="E22" s="6" t="s">
        <v>69</v>
      </c>
      <c r="F22" s="11" t="s">
        <v>1036</v>
      </c>
      <c r="G22" s="11" t="s">
        <v>1036</v>
      </c>
      <c r="H22" s="11" t="s">
        <v>1036</v>
      </c>
      <c r="I22" s="11" t="s">
        <v>1036</v>
      </c>
      <c r="J22" s="11" t="s">
        <v>1036</v>
      </c>
      <c r="K22" s="11" t="s">
        <v>1036</v>
      </c>
      <c r="L22" s="11" t="s">
        <v>1032</v>
      </c>
      <c r="M22" s="11" t="s">
        <v>69</v>
      </c>
      <c r="N22" s="11" t="s">
        <v>69</v>
      </c>
      <c r="O22" s="11" t="s">
        <v>69</v>
      </c>
      <c r="P22" s="11" t="s">
        <v>69</v>
      </c>
      <c r="Q22" s="11" t="s">
        <v>69</v>
      </c>
      <c r="R22" s="11" t="s">
        <v>69</v>
      </c>
      <c r="S22" s="11" t="s">
        <v>69</v>
      </c>
      <c r="T22" s="11" t="s">
        <v>69</v>
      </c>
      <c r="U22" s="11" t="s">
        <v>69</v>
      </c>
      <c r="V22" s="12" t="s">
        <v>69</v>
      </c>
    </row>
    <row r="23" ht="18" customHeight="1" spans="1:22">
      <c r="A23" s="19" t="s">
        <v>1048</v>
      </c>
      <c r="B23" s="20" t="s">
        <v>1049</v>
      </c>
      <c r="C23" s="20"/>
      <c r="D23" s="20"/>
      <c r="E23" s="6" t="s">
        <v>69</v>
      </c>
      <c r="F23" s="11" t="s">
        <v>1008</v>
      </c>
      <c r="G23" s="11" t="s">
        <v>63</v>
      </c>
      <c r="H23" s="11" t="s">
        <v>1008</v>
      </c>
      <c r="I23" s="11" t="s">
        <v>1008</v>
      </c>
      <c r="J23" s="11" t="s">
        <v>1008</v>
      </c>
      <c r="K23" s="11" t="s">
        <v>1008</v>
      </c>
      <c r="L23" s="11" t="s">
        <v>1009</v>
      </c>
      <c r="M23" s="11" t="s">
        <v>69</v>
      </c>
      <c r="N23" s="11" t="s">
        <v>69</v>
      </c>
      <c r="O23" s="11" t="s">
        <v>69</v>
      </c>
      <c r="P23" s="11" t="s">
        <v>69</v>
      </c>
      <c r="Q23" s="11" t="s">
        <v>69</v>
      </c>
      <c r="R23" s="11" t="s">
        <v>69</v>
      </c>
      <c r="S23" s="11" t="s">
        <v>69</v>
      </c>
      <c r="T23" s="11" t="s">
        <v>69</v>
      </c>
      <c r="U23" s="11" t="s">
        <v>69</v>
      </c>
      <c r="V23" s="12" t="s">
        <v>69</v>
      </c>
    </row>
    <row r="24" ht="18" customHeight="1" spans="1:22">
      <c r="A24" s="19"/>
      <c r="B24" s="20" t="s">
        <v>1050</v>
      </c>
      <c r="C24" s="20"/>
      <c r="D24" s="20"/>
      <c r="E24" s="6" t="s">
        <v>69</v>
      </c>
      <c r="F24" s="11" t="s">
        <v>1051</v>
      </c>
      <c r="G24" s="11" t="s">
        <v>1051</v>
      </c>
      <c r="H24" s="11" t="s">
        <v>1051</v>
      </c>
      <c r="I24" s="11" t="s">
        <v>1051</v>
      </c>
      <c r="J24" s="11" t="s">
        <v>1051</v>
      </c>
      <c r="K24" s="11" t="s">
        <v>1051</v>
      </c>
      <c r="L24" s="11" t="s">
        <v>1051</v>
      </c>
      <c r="M24" s="11" t="s">
        <v>69</v>
      </c>
      <c r="N24" s="11" t="s">
        <v>69</v>
      </c>
      <c r="O24" s="11" t="s">
        <v>69</v>
      </c>
      <c r="P24" s="11" t="s">
        <v>69</v>
      </c>
      <c r="Q24" s="11" t="s">
        <v>69</v>
      </c>
      <c r="R24" s="11" t="s">
        <v>69</v>
      </c>
      <c r="S24" s="11" t="s">
        <v>69</v>
      </c>
      <c r="T24" s="11" t="s">
        <v>69</v>
      </c>
      <c r="U24" s="11" t="s">
        <v>69</v>
      </c>
      <c r="V24" s="12" t="s">
        <v>69</v>
      </c>
    </row>
    <row r="25" ht="18" customHeight="1" spans="1:22">
      <c r="A25" s="19"/>
      <c r="B25" s="20" t="s">
        <v>1052</v>
      </c>
      <c r="C25" s="20"/>
      <c r="D25" s="20"/>
      <c r="E25" s="6" t="s">
        <v>69</v>
      </c>
      <c r="F25" s="6" t="s">
        <v>69</v>
      </c>
      <c r="G25" s="6" t="s">
        <v>69</v>
      </c>
      <c r="H25" s="6" t="s">
        <v>69</v>
      </c>
      <c r="I25" s="6" t="s">
        <v>69</v>
      </c>
      <c r="J25" s="6" t="s">
        <v>69</v>
      </c>
      <c r="K25" s="6" t="s">
        <v>69</v>
      </c>
      <c r="L25" s="6" t="s">
        <v>69</v>
      </c>
      <c r="M25" s="6" t="s">
        <v>69</v>
      </c>
      <c r="N25" s="6" t="s">
        <v>69</v>
      </c>
      <c r="O25" s="6" t="s">
        <v>69</v>
      </c>
      <c r="P25" s="6" t="s">
        <v>69</v>
      </c>
      <c r="Q25" s="6" t="s">
        <v>69</v>
      </c>
      <c r="R25" s="6" t="s">
        <v>69</v>
      </c>
      <c r="S25" s="6" t="s">
        <v>69</v>
      </c>
      <c r="T25" s="6" t="s">
        <v>69</v>
      </c>
      <c r="U25" s="6" t="s">
        <v>69</v>
      </c>
      <c r="V25" s="8" t="s">
        <v>69</v>
      </c>
    </row>
    <row r="26" ht="18" customHeight="1" spans="1:22">
      <c r="A26" s="19"/>
      <c r="B26" s="21" t="s">
        <v>1053</v>
      </c>
      <c r="C26" s="21"/>
      <c r="D26" s="21"/>
      <c r="E26" s="22" t="s">
        <v>69</v>
      </c>
      <c r="F26" s="22" t="s">
        <v>69</v>
      </c>
      <c r="G26" s="22" t="s">
        <v>69</v>
      </c>
      <c r="H26" s="22" t="s">
        <v>69</v>
      </c>
      <c r="I26" s="22" t="s">
        <v>69</v>
      </c>
      <c r="J26" s="22" t="s">
        <v>69</v>
      </c>
      <c r="K26" s="22" t="s">
        <v>69</v>
      </c>
      <c r="L26" s="22" t="s">
        <v>69</v>
      </c>
      <c r="M26" s="22" t="s">
        <v>69</v>
      </c>
      <c r="N26" s="22" t="s">
        <v>69</v>
      </c>
      <c r="O26" s="22" t="s">
        <v>69</v>
      </c>
      <c r="P26" s="22" t="s">
        <v>69</v>
      </c>
      <c r="Q26" s="22" t="s">
        <v>69</v>
      </c>
      <c r="R26" s="22" t="s">
        <v>69</v>
      </c>
      <c r="S26" s="22" t="s">
        <v>69</v>
      </c>
      <c r="T26" s="22" t="s">
        <v>69</v>
      </c>
      <c r="U26" s="22" t="s">
        <v>69</v>
      </c>
      <c r="V2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3:D23"/>
    <mergeCell ref="B24:D24"/>
    <mergeCell ref="B25:D25"/>
    <mergeCell ref="B26:D26"/>
    <mergeCell ref="A7:A14"/>
    <mergeCell ref="A15:A22"/>
    <mergeCell ref="A23:A26"/>
  </mergeCells>
  <dataValidations count="3">
    <dataValidation type="list" allowBlank="1" sqref="F23:V23">
      <formula1>"N,A,B"</formula1>
    </dataValidation>
    <dataValidation type="list" allowBlank="1" sqref="F24:V24">
      <formula1>"P,F"</formula1>
    </dataValidation>
    <dataValidation type="list" allowBlank="1" sqref="F10:V14 F16:V22 F8:V9">
      <formula1>"O,-"</formula1>
    </dataValidation>
  </dataValidations>
  <pageMargins left="0.7" right="0.7" top="0.75" bottom="0.75" header="0.3" footer="0.3"/>
  <pageSetup paperSize="1" orientation="portrait" useFirstPageNumber="1"/>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585</v>
      </c>
      <c r="C1" s="2"/>
      <c r="D1" s="2"/>
      <c r="E1" s="2"/>
      <c r="F1" s="3" t="s">
        <v>1019</v>
      </c>
      <c r="G1" s="3"/>
      <c r="H1" s="3"/>
      <c r="I1" s="3"/>
      <c r="J1" s="3"/>
      <c r="K1" s="3"/>
      <c r="L1" s="4" t="s">
        <v>600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2109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2</v>
      </c>
      <c r="M5" s="11">
        <v>2</v>
      </c>
      <c r="N5" s="11">
        <v>1</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2110</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2111</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2112</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2113</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2114</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2115</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2116</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28" customHeight="1" spans="1:22">
      <c r="A16" s="16"/>
      <c r="B16" s="6" t="s">
        <v>69</v>
      </c>
      <c r="C16" s="6" t="s">
        <v>69</v>
      </c>
      <c r="D16" s="18" t="s">
        <v>2117</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6" t="s">
        <v>69</v>
      </c>
      <c r="C17" s="6" t="s">
        <v>69</v>
      </c>
      <c r="D17" s="18" t="s">
        <v>1993</v>
      </c>
      <c r="E17" s="6" t="s">
        <v>69</v>
      </c>
      <c r="F17" s="11" t="s">
        <v>1036</v>
      </c>
      <c r="G17" s="11" t="s">
        <v>1036</v>
      </c>
      <c r="H17" s="11" t="s">
        <v>1036</v>
      </c>
      <c r="I17" s="11" t="s">
        <v>1032</v>
      </c>
      <c r="J17" s="11" t="s">
        <v>1032</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1008</v>
      </c>
      <c r="G18" s="11" t="s">
        <v>1008</v>
      </c>
      <c r="H18" s="11" t="s">
        <v>1009</v>
      </c>
      <c r="I18" s="11" t="s">
        <v>63</v>
      </c>
      <c r="J18" s="11" t="s">
        <v>63</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1051</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0:V12 F14:V17 F8:V9">
      <formula1>"O,-"</formula1>
    </dataValidation>
  </dataValidations>
  <pageMargins left="0.7" right="0.7" top="0.75" bottom="0.75" header="0.3" footer="0.3"/>
  <pageSetup paperSize="1" orientation="portrait" useFirstPageNumber="1"/>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606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2118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2</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2119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2120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2121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2122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2123</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1673</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2124</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40.5" customHeight="1" spans="1:22">
      <c r="A16" s="16"/>
      <c r="B16" s="6" t="s">
        <v>69</v>
      </c>
      <c r="C16" s="6" t="s">
        <v>69</v>
      </c>
      <c r="D16" s="18" t="s">
        <v>2125</v>
      </c>
      <c r="E16" s="6" t="s">
        <v>69</v>
      </c>
      <c r="F16" s="11" t="s">
        <v>1032</v>
      </c>
      <c r="G16" s="11" t="s">
        <v>1032</v>
      </c>
      <c r="H16" s="11" t="s">
        <v>1032</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1009</v>
      </c>
      <c r="H17" s="11" t="s">
        <v>63</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69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0"/>
    <mergeCell ref="A11:A16"/>
    <mergeCell ref="A17:A20"/>
  </mergeCells>
  <dataValidations count="3">
    <dataValidation type="list" allowBlank="1" sqref="F10:V10 F16:V16 F12:V14 F8:V9">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610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2126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2127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2128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2129</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2123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614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2130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2131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2132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2133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2134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2135</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2136</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2137</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2138</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63</v>
      </c>
      <c r="H17" s="11" t="s">
        <v>1009</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618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2139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621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40.5" customHeight="1" spans="1:22">
      <c r="A10" s="16"/>
      <c r="B10" s="6" t="s">
        <v>69</v>
      </c>
      <c r="C10" s="6" t="s">
        <v>69</v>
      </c>
      <c r="D10" s="18" t="s">
        <v>2140</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2141</v>
      </c>
      <c r="E11" s="6" t="s">
        <v>69</v>
      </c>
      <c r="F11" s="11" t="s">
        <v>1032</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t="s">
        <v>1048</v>
      </c>
      <c r="B12" s="20" t="s">
        <v>1049</v>
      </c>
      <c r="C12" s="20"/>
      <c r="D12" s="20"/>
      <c r="E12" s="6" t="s">
        <v>69</v>
      </c>
      <c r="F12" s="11" t="s">
        <v>1008</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1050</v>
      </c>
      <c r="C13" s="20"/>
      <c r="D13" s="20"/>
      <c r="E13" s="6" t="s">
        <v>69</v>
      </c>
      <c r="F13" s="11" t="s">
        <v>1051</v>
      </c>
      <c r="G13" s="11" t="s">
        <v>69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8"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8"/>
    <mergeCell ref="A9:A11"/>
    <mergeCell ref="A12:A15"/>
  </mergeCells>
  <dataValidations count="3">
    <dataValidation type="list" allowBlank="1" sqref="F8:V8 F10:V11">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622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2142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2143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2144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2145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2146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626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2147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2148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2149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2150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2151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630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2152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4</v>
      </c>
      <c r="M5" s="11">
        <v>1</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2153</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2154</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2155</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2156</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2157</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53" customHeight="1" spans="1:22">
      <c r="A14" s="16"/>
      <c r="B14" s="6" t="s">
        <v>69</v>
      </c>
      <c r="C14" s="6" t="s">
        <v>69</v>
      </c>
      <c r="D14" s="18" t="s">
        <v>2158</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2159</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2160</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40.5" customHeight="1" spans="1:22">
      <c r="A17" s="16"/>
      <c r="B17" s="6" t="s">
        <v>69</v>
      </c>
      <c r="C17" s="6" t="s">
        <v>69</v>
      </c>
      <c r="D17" s="18" t="s">
        <v>2161</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2162</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63</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634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2163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2164</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2165</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2166</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2167</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2168</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2169</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2170</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78" customHeight="1" spans="1:22">
      <c r="A16" s="16"/>
      <c r="B16" s="6" t="s">
        <v>69</v>
      </c>
      <c r="C16" s="6" t="s">
        <v>69</v>
      </c>
      <c r="D16" s="18" t="s">
        <v>2171</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1009</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605</v>
      </c>
      <c r="C1" s="2"/>
      <c r="D1" s="2"/>
      <c r="E1" s="2"/>
      <c r="F1" s="3" t="s">
        <v>1019</v>
      </c>
      <c r="G1" s="3"/>
      <c r="H1" s="3"/>
      <c r="I1" s="3"/>
      <c r="J1" s="3"/>
      <c r="K1" s="3"/>
      <c r="L1" s="4" t="s">
        <v>638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2172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1030</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641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65.5" customHeight="1" spans="1:22">
      <c r="A10" s="16"/>
      <c r="B10" s="6" t="s">
        <v>69</v>
      </c>
      <c r="C10" s="6" t="s">
        <v>69</v>
      </c>
      <c r="D10" s="18" t="s">
        <v>2173</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644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2174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2175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2176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2177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2178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2179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2180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648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2181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2182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2183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2184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2185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653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2186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0</v>
      </c>
      <c r="N5" s="11">
        <v>3</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2187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2188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2189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2190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2191</v>
      </c>
      <c r="E12" s="6" t="s">
        <v>69</v>
      </c>
      <c r="F12" s="11" t="s">
        <v>1032</v>
      </c>
      <c r="G12" s="11" t="s">
        <v>1032</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1009</v>
      </c>
      <c r="G13" s="11" t="s">
        <v>1009</v>
      </c>
      <c r="H13" s="11" t="s">
        <v>1009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1051</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10"/>
    <mergeCell ref="A11:A12"/>
    <mergeCell ref="A13:A16"/>
  </mergeCells>
  <dataValidations count="3">
    <dataValidation type="list" allowBlank="1" sqref="F10:V10 F12:V12 F8:V9">
      <formula1>"O,-"</formula1>
    </dataValidation>
    <dataValidation type="list" allowBlank="1" sqref="F13:V13">
      <formula1>"N,A,B"</formula1>
    </dataValidation>
    <dataValidation type="list" allowBlank="1" sqref="F14:V14">
      <formula1>"P,F"</formula1>
    </dataValidation>
  </dataValidations>
  <pageMargins left="0.7" right="0.7" top="0.75" bottom="0.75" header="0.3" footer="0.3"/>
  <pageSetup paperSize="1" orientation="portrait" useFirstPageNumber="1"/>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658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2192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2193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2194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2195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2196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662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2197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2198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2199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03" customHeight="1" spans="1:22">
      <c r="A10" s="16"/>
      <c r="B10" s="6" t="s">
        <v>69</v>
      </c>
      <c r="C10" s="6" t="s">
        <v>69</v>
      </c>
      <c r="D10" s="18" t="s">
        <v>2200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2201</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2202</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2203</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666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2204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0</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2205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2206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2207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2208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2209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2210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1009</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671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2211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2212</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2213</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2214</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2215</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2216</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2217</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2218</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2219</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676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2220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2221</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2222</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2223</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2224</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2225</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03" customHeight="1" spans="1:22">
      <c r="A14" s="16"/>
      <c r="B14" s="6" t="s">
        <v>69</v>
      </c>
      <c r="C14" s="6" t="s">
        <v>69</v>
      </c>
      <c r="D14" s="18" t="s">
        <v>2226</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681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2227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2228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2229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2230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2231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685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2232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2233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2234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2235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2236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2237</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2238</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2239</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28" customHeight="1" spans="1:22">
      <c r="A16" s="16"/>
      <c r="B16" s="6" t="s">
        <v>69</v>
      </c>
      <c r="C16" s="6" t="s">
        <v>69</v>
      </c>
      <c r="D16" s="18" t="s">
        <v>2240</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63</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689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2241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2242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2243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2244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2245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63</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693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2246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2247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2248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2249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2250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2251</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2252</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2253</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2254</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698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2255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2256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2257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2258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2259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702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2260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2261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2262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2263</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2264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706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2265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2266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2267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2268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2269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643</v>
      </c>
      <c r="C1" s="2"/>
      <c r="D1" s="2"/>
      <c r="E1" s="2"/>
      <c r="F1" s="3" t="s">
        <v>1019</v>
      </c>
      <c r="G1" s="3"/>
      <c r="H1" s="3"/>
      <c r="I1" s="3"/>
      <c r="J1" s="3"/>
      <c r="K1" s="3"/>
      <c r="L1" s="4" t="s">
        <v>710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2270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0</v>
      </c>
      <c r="M5" s="11">
        <v>0</v>
      </c>
      <c r="N5" s="11">
        <v>1</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1864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713</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28" customHeight="1" spans="1:22">
      <c r="A10" s="16"/>
      <c r="B10" s="6" t="s">
        <v>69</v>
      </c>
      <c r="C10" s="6" t="s">
        <v>69</v>
      </c>
      <c r="D10" s="18" t="s">
        <v>2271</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1009</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716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2272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2273</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2274</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2275</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2276</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2277</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2278</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2279</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2280</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720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2281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2282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2283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2244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2284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724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2285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2286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2287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2288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2289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2290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2291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2292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2293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728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2294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2295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2296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2297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2298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2299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2300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732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2301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2302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2303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15.5" customHeight="1" spans="1:22">
      <c r="A11" s="16"/>
      <c r="B11" s="6" t="s">
        <v>69</v>
      </c>
      <c r="C11" s="6" t="s">
        <v>69</v>
      </c>
      <c r="D11" s="18" t="s">
        <v>2304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2305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737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2306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2307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2308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2309</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2310</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743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2311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2312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2313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28" customHeight="1" spans="1:22">
      <c r="A11" s="16"/>
      <c r="B11" s="6" t="s">
        <v>69</v>
      </c>
      <c r="C11" s="6" t="s">
        <v>69</v>
      </c>
      <c r="D11" s="18" t="s">
        <v>2314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2315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747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2316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2317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2318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2319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2320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2321</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2322</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2323</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2324</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751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2325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2326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2327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2328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2329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1009</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755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2330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2331</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2332</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28" customHeight="1" spans="1:22">
      <c r="A11" s="16"/>
      <c r="B11" s="6" t="s">
        <v>69</v>
      </c>
      <c r="C11" s="6" t="s">
        <v>69</v>
      </c>
      <c r="D11" s="18" t="s">
        <v>2333</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28" customHeight="1" spans="1:22">
      <c r="A12" s="16"/>
      <c r="B12" s="6" t="s">
        <v>69</v>
      </c>
      <c r="C12" s="6" t="s">
        <v>69</v>
      </c>
      <c r="D12" s="18" t="s">
        <v>2334</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759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2335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2336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2337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2338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2339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2340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2341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2342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2343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764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2344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1</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2345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2346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2347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2348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769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2349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2350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2351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2352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2353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774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2354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2355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2356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2357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128" customHeight="1" spans="1:22">
      <c r="A12" s="16"/>
      <c r="B12" s="6" t="s">
        <v>69</v>
      </c>
      <c r="C12" s="6" t="s">
        <v>69</v>
      </c>
      <c r="D12" s="18" t="s">
        <v>2358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2359</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2360</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779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2361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2362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2363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2364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2365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783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2366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2367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c r="B9" s="6" t="s">
        <v>69</v>
      </c>
      <c r="C9" s="6" t="s">
        <v>69</v>
      </c>
      <c r="D9" s="18" t="s">
        <v>2368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2369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2370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2371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2372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787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2373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2374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2375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2376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2377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791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2378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2379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2380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2381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2382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796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53" customHeight="1" spans="1:22">
      <c r="A3" s="5" t="s">
        <v>1023</v>
      </c>
      <c r="B3" s="8" t="s">
        <v>2383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2384</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2385</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2386</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78" customHeight="1" spans="1:22">
      <c r="A11" s="16"/>
      <c r="B11" s="6" t="s">
        <v>69</v>
      </c>
      <c r="C11" s="6" t="s">
        <v>69</v>
      </c>
      <c r="D11" s="18" t="s">
        <v>2387</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2388</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2389</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2390</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2391</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63</v>
      </c>
      <c r="G17" s="11" t="s">
        <v>1008</v>
      </c>
      <c r="H17" s="11" t="s">
        <v>1008</v>
      </c>
      <c r="I17" s="11" t="s">
        <v>1008</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801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53" customHeight="1" spans="1:22">
      <c r="A3" s="5" t="s">
        <v>1023</v>
      </c>
      <c r="B3" s="8" t="s">
        <v>2392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2393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2394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03" customHeight="1" spans="1:22">
      <c r="A11" s="16"/>
      <c r="B11" s="6" t="s">
        <v>69</v>
      </c>
      <c r="C11" s="6" t="s">
        <v>69</v>
      </c>
      <c r="D11" s="18" t="s">
        <v>2395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03" customHeight="1" spans="1:22">
      <c r="A12" s="16"/>
      <c r="B12" s="6" t="s">
        <v>69</v>
      </c>
      <c r="C12" s="6" t="s">
        <v>69</v>
      </c>
      <c r="D12" s="18" t="s">
        <v>2396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805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2397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2398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2399</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2400</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2401</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810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2402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2403</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2404</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78" customHeight="1" spans="1:22">
      <c r="A11" s="16"/>
      <c r="B11" s="6" t="s">
        <v>69</v>
      </c>
      <c r="C11" s="6" t="s">
        <v>69</v>
      </c>
      <c r="D11" s="18" t="s">
        <v>2405</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2406</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814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2407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2308</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2307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5.5" customHeight="1" spans="1:22">
      <c r="A11" s="16"/>
      <c r="B11" s="6" t="s">
        <v>69</v>
      </c>
      <c r="C11" s="6" t="s">
        <v>69</v>
      </c>
      <c r="D11" s="18" t="s">
        <v>2408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2409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818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2410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2411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2412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2319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2320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2413</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2414</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2323</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2324</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823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2415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2416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2417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15.5" customHeight="1" spans="1:22">
      <c r="A10" s="16"/>
      <c r="B10" s="6" t="s">
        <v>69</v>
      </c>
      <c r="C10" s="6" t="s">
        <v>69</v>
      </c>
      <c r="D10" s="18" t="s">
        <v>2418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2419</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2420</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28" customHeight="1" spans="1:22">
      <c r="A14" s="16"/>
      <c r="B14" s="6" t="s">
        <v>69</v>
      </c>
      <c r="C14" s="6" t="s">
        <v>69</v>
      </c>
      <c r="D14" s="18" t="s">
        <v>2421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827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2422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2423</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2424</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2425</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2426</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2231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2427</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831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2428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2429</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2430</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2431</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2432</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835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2433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838</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03" customHeight="1" spans="1:22">
      <c r="A10" s="16"/>
      <c r="B10" s="6" t="s">
        <v>69</v>
      </c>
      <c r="C10" s="6" t="s">
        <v>69</v>
      </c>
      <c r="D10" s="18" t="s">
        <v>2434</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839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2435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4</v>
      </c>
      <c r="M5" s="11">
        <v>1</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2436</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2437</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2287</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2438</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2439</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2440</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2441</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2442</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2443</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2444</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63</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844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2445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1</v>
      </c>
      <c r="M5" s="11">
        <v>2</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2446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2447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2448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c r="B11" s="6" t="s">
        <v>69</v>
      </c>
      <c r="C11" s="6" t="s">
        <v>69</v>
      </c>
      <c r="D11" s="18" t="s">
        <v>2449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78" customHeight="1" spans="1:22">
      <c r="A13" s="16"/>
      <c r="B13" s="6" t="s">
        <v>69</v>
      </c>
      <c r="C13" s="6" t="s">
        <v>69</v>
      </c>
      <c r="D13" s="18" t="s">
        <v>2450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2451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2452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2453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63</v>
      </c>
      <c r="H17" s="11" t="s">
        <v>63</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715</v>
      </c>
      <c r="C1" s="2"/>
      <c r="D1" s="2"/>
      <c r="E1" s="2"/>
      <c r="F1" s="3" t="s">
        <v>1019</v>
      </c>
      <c r="G1" s="3"/>
      <c r="H1" s="3"/>
      <c r="I1" s="3"/>
      <c r="J1" s="3"/>
      <c r="K1" s="3"/>
      <c r="L1" s="4" t="s">
        <v>849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2454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0</v>
      </c>
      <c r="N5" s="11">
        <v>2</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2455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2456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2457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2458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2458</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2459</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1009</v>
      </c>
      <c r="G15" s="11" t="s">
        <v>1009</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854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2460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1</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2461</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2462</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2463</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2464</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2465</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2466</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2467</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2468</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858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2469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1</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2470</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2471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2472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2473</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2474</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2475</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1009</v>
      </c>
      <c r="G15" s="11" t="s">
        <v>1008</v>
      </c>
      <c r="H15" s="11" t="s">
        <v>63</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862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2476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865</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15.5" customHeight="1" spans="1:22">
      <c r="A10" s="16"/>
      <c r="B10" s="6" t="s">
        <v>69</v>
      </c>
      <c r="C10" s="6" t="s">
        <v>69</v>
      </c>
      <c r="D10" s="18" t="s">
        <v>2477</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866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2478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4</v>
      </c>
      <c r="M5" s="11">
        <v>1</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2479</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2480</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2481</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2482</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2483</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53" customHeight="1" spans="1:22">
      <c r="A14" s="16"/>
      <c r="B14" s="6" t="s">
        <v>69</v>
      </c>
      <c r="C14" s="6" t="s">
        <v>69</v>
      </c>
      <c r="D14" s="18" t="s">
        <v>2484</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90.5" customHeight="1" spans="1:22">
      <c r="A15" s="16"/>
      <c r="B15" s="6" t="s">
        <v>69</v>
      </c>
      <c r="C15" s="6" t="s">
        <v>69</v>
      </c>
      <c r="D15" s="18" t="s">
        <v>2485</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53" customHeight="1" spans="1:22">
      <c r="A16" s="16"/>
      <c r="B16" s="6" t="s">
        <v>69</v>
      </c>
      <c r="C16" s="6" t="s">
        <v>69</v>
      </c>
      <c r="D16" s="18" t="s">
        <v>2486</v>
      </c>
      <c r="E16" s="6" t="s">
        <v>69</v>
      </c>
      <c r="F16" s="11" t="s">
        <v>1036</v>
      </c>
      <c r="G16" s="11" t="s">
        <v>1036</v>
      </c>
      <c r="H16" s="11" t="s">
        <v>1032</v>
      </c>
      <c r="I16" s="11" t="s">
        <v>1036</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2487</v>
      </c>
      <c r="E17" s="6" t="s">
        <v>69</v>
      </c>
      <c r="F17" s="11" t="s">
        <v>1036</v>
      </c>
      <c r="G17" s="11" t="s">
        <v>1036</v>
      </c>
      <c r="H17" s="11" t="s">
        <v>1036</v>
      </c>
      <c r="I17" s="11" t="s">
        <v>1032</v>
      </c>
      <c r="J17" s="11" t="s">
        <v>1036</v>
      </c>
      <c r="K17" s="11" t="s">
        <v>69</v>
      </c>
      <c r="L17" s="11" t="s">
        <v>69</v>
      </c>
      <c r="M17" s="11" t="s">
        <v>69</v>
      </c>
      <c r="N17" s="11" t="s">
        <v>69</v>
      </c>
      <c r="O17" s="11" t="s">
        <v>69</v>
      </c>
      <c r="P17" s="11" t="s">
        <v>69</v>
      </c>
      <c r="Q17" s="11" t="s">
        <v>69</v>
      </c>
      <c r="R17" s="11" t="s">
        <v>69</v>
      </c>
      <c r="S17" s="11" t="s">
        <v>69</v>
      </c>
      <c r="T17" s="11" t="s">
        <v>69</v>
      </c>
      <c r="U17" s="11" t="s">
        <v>69</v>
      </c>
      <c r="V17" s="12" t="s">
        <v>69</v>
      </c>
    </row>
    <row r="18" ht="53" customHeight="1" spans="1:22">
      <c r="A18" s="16"/>
      <c r="B18" s="6" t="s">
        <v>69</v>
      </c>
      <c r="C18" s="6" t="s">
        <v>69</v>
      </c>
      <c r="D18" s="18" t="s">
        <v>2488</v>
      </c>
      <c r="E18" s="6" t="s">
        <v>69</v>
      </c>
      <c r="F18" s="11" t="s">
        <v>1036</v>
      </c>
      <c r="G18" s="11" t="s">
        <v>1036</v>
      </c>
      <c r="H18" s="11" t="s">
        <v>1036</v>
      </c>
      <c r="I18" s="11" t="s">
        <v>1036</v>
      </c>
      <c r="J18" s="11" t="s">
        <v>1032</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1008</v>
      </c>
      <c r="H19" s="11" t="s">
        <v>1008</v>
      </c>
      <c r="I19" s="11" t="s">
        <v>1008</v>
      </c>
      <c r="J19" s="11" t="s">
        <v>63</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2"/>
    <mergeCell ref="A13:A18"/>
    <mergeCell ref="A19:A22"/>
  </mergeCells>
  <dataValidations count="3">
    <dataValidation type="list" allowBlank="1" sqref="F19:V19">
      <formula1>"N,A,B"</formula1>
    </dataValidation>
    <dataValidation type="list" allowBlank="1" sqref="F20:V20">
      <formula1>"P,F"</formula1>
    </dataValidation>
    <dataValidation type="list" allowBlank="1" sqref="F10:V12 F14:V18 F8:V9">
      <formula1>"O,-"</formula1>
    </dataValidation>
  </dataValidations>
  <pageMargins left="0.7" right="0.7" top="0.75" bottom="0.75" header="0.3" footer="0.3"/>
  <pageSetup paperSize="1" orientation="portrait" useFirstPageNumber="1"/>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870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2489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2490</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2491</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65.5" customHeight="1" spans="1:22">
      <c r="A11" s="16"/>
      <c r="B11" s="6" t="s">
        <v>69</v>
      </c>
      <c r="C11" s="6" t="s">
        <v>69</v>
      </c>
      <c r="D11" s="18" t="s">
        <v>2492</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65.5" customHeight="1" spans="1:22">
      <c r="A12" s="16"/>
      <c r="B12" s="6" t="s">
        <v>69</v>
      </c>
      <c r="C12" s="6" t="s">
        <v>69</v>
      </c>
      <c r="D12" s="18" t="s">
        <v>2493</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875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2494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2495</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2496</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90.5" customHeight="1" spans="1:22">
      <c r="A10" s="16"/>
      <c r="B10" s="6" t="s">
        <v>69</v>
      </c>
      <c r="C10" s="6" t="s">
        <v>69</v>
      </c>
      <c r="D10" s="18" t="s">
        <v>2497</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2498</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2499</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2500</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90.5" customHeight="1" spans="1:22">
      <c r="A15" s="16"/>
      <c r="B15" s="6" t="s">
        <v>69</v>
      </c>
      <c r="C15" s="6" t="s">
        <v>69</v>
      </c>
      <c r="D15" s="18" t="s">
        <v>2501</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90.5" customHeight="1" spans="1:22">
      <c r="A16" s="16"/>
      <c r="B16" s="6" t="s">
        <v>69</v>
      </c>
      <c r="C16" s="6" t="s">
        <v>69</v>
      </c>
      <c r="D16" s="18" t="s">
        <v>2502</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63</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879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2503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1</v>
      </c>
      <c r="M5" s="11">
        <v>0</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882</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78" customHeight="1" spans="1:22">
      <c r="A10" s="16"/>
      <c r="B10" s="6" t="s">
        <v>69</v>
      </c>
      <c r="C10" s="6" t="s">
        <v>69</v>
      </c>
      <c r="D10" s="18" t="s">
        <v>2504</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1008</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883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2505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2506</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2507</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2508</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2509</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2510</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2511</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887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2512</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0</v>
      </c>
      <c r="M5" s="11">
        <v>1</v>
      </c>
      <c r="N5" s="11">
        <v>0</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03" customHeight="1" spans="1:22">
      <c r="A8" s="16"/>
      <c r="B8" s="6" t="s">
        <v>69</v>
      </c>
      <c r="C8" s="6" t="s">
        <v>69</v>
      </c>
      <c r="D8" s="18" t="s">
        <v>891</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90.5" customHeight="1" spans="1:22">
      <c r="A10" s="16"/>
      <c r="B10" s="6" t="s">
        <v>69</v>
      </c>
      <c r="C10" s="6" t="s">
        <v>69</v>
      </c>
      <c r="D10" s="18" t="s">
        <v>2513</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63</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742</v>
      </c>
      <c r="C1" s="2"/>
      <c r="D1" s="2"/>
      <c r="E1" s="2"/>
      <c r="F1" s="3" t="s">
        <v>1019</v>
      </c>
      <c r="G1" s="3"/>
      <c r="H1" s="3"/>
      <c r="I1" s="3"/>
      <c r="J1" s="3"/>
      <c r="K1" s="3"/>
      <c r="L1" s="4" t="s">
        <v>892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2514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1</v>
      </c>
      <c r="B5" s="11"/>
      <c r="C5" s="11">
        <v>0</v>
      </c>
      <c r="D5" s="11"/>
      <c r="E5" s="11"/>
      <c r="F5" s="11">
        <v>0</v>
      </c>
      <c r="G5" s="11"/>
      <c r="H5" s="11"/>
      <c r="I5" s="11"/>
      <c r="J5" s="11"/>
      <c r="K5" s="11"/>
      <c r="L5" s="11">
        <v>0</v>
      </c>
      <c r="M5" s="11">
        <v>0</v>
      </c>
      <c r="N5" s="11">
        <v>1</v>
      </c>
      <c r="O5" s="12">
        <v>1</v>
      </c>
      <c r="P5" s="12"/>
      <c r="Q5" s="12"/>
      <c r="R5" s="12"/>
      <c r="S5" s="12"/>
      <c r="T5" s="12"/>
      <c r="U5" s="12"/>
      <c r="V5" s="12"/>
    </row>
    <row r="6" ht="40" customHeight="1" spans="1:22">
      <c r="A6" s="13" t="s">
        <v>69</v>
      </c>
      <c r="B6" s="6" t="s">
        <v>69</v>
      </c>
      <c r="C6" s="6" t="s">
        <v>69</v>
      </c>
      <c r="D6" s="6" t="s">
        <v>69</v>
      </c>
      <c r="E6" s="6" t="s">
        <v>69</v>
      </c>
      <c r="F6" s="14" t="s">
        <v>1026</v>
      </c>
      <c r="G6" s="14" t="s">
        <v>69</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895</v>
      </c>
      <c r="E8" s="6" t="s">
        <v>69</v>
      </c>
      <c r="F8" s="11" t="s">
        <v>1032</v>
      </c>
      <c r="G8" s="11" t="s">
        <v>69</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15.5" customHeight="1" spans="1:22">
      <c r="A9" s="16" t="s">
        <v>1039</v>
      </c>
      <c r="B9" s="17" t="s">
        <v>1040</v>
      </c>
      <c r="C9" s="6" t="s">
        <v>69</v>
      </c>
      <c r="D9" s="6" t="s">
        <v>69</v>
      </c>
      <c r="E9" s="6" t="s">
        <v>69</v>
      </c>
      <c r="F9" s="6" t="s">
        <v>69</v>
      </c>
      <c r="G9" s="6" t="s">
        <v>69</v>
      </c>
      <c r="H9" s="6" t="s">
        <v>69</v>
      </c>
      <c r="I9" s="6" t="s">
        <v>69</v>
      </c>
      <c r="J9" s="6" t="s">
        <v>69</v>
      </c>
      <c r="K9" s="6" t="s">
        <v>69</v>
      </c>
      <c r="L9" s="6" t="s">
        <v>69</v>
      </c>
      <c r="M9" s="6" t="s">
        <v>69</v>
      </c>
      <c r="N9" s="6" t="s">
        <v>69</v>
      </c>
      <c r="O9" s="6" t="s">
        <v>69</v>
      </c>
      <c r="P9" s="6" t="s">
        <v>69</v>
      </c>
      <c r="Q9" s="6" t="s">
        <v>69</v>
      </c>
      <c r="R9" s="6" t="s">
        <v>69</v>
      </c>
      <c r="S9" s="6" t="s">
        <v>69</v>
      </c>
      <c r="T9" s="6" t="s">
        <v>69</v>
      </c>
      <c r="U9" s="6" t="s">
        <v>69</v>
      </c>
      <c r="V9" s="8" t="s">
        <v>69</v>
      </c>
    </row>
    <row r="10" ht="103" customHeight="1" spans="1:22">
      <c r="A10" s="16"/>
      <c r="B10" s="6" t="s">
        <v>69</v>
      </c>
      <c r="C10" s="6" t="s">
        <v>69</v>
      </c>
      <c r="D10" s="18" t="s">
        <v>2515</v>
      </c>
      <c r="E10" s="6" t="s">
        <v>69</v>
      </c>
      <c r="F10" s="11" t="s">
        <v>1032</v>
      </c>
      <c r="G10" s="11" t="s">
        <v>69</v>
      </c>
      <c r="H10" s="11" t="s">
        <v>69</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8" customHeight="1" spans="1:22">
      <c r="A11" s="19" t="s">
        <v>1048</v>
      </c>
      <c r="B11" s="20" t="s">
        <v>1049</v>
      </c>
      <c r="C11" s="20"/>
      <c r="D11" s="20"/>
      <c r="E11" s="6" t="s">
        <v>69</v>
      </c>
      <c r="F11" s="11" t="s">
        <v>1009</v>
      </c>
      <c r="G11" s="11" t="s">
        <v>69</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c r="B12" s="20" t="s">
        <v>1050</v>
      </c>
      <c r="C12" s="20"/>
      <c r="D12" s="20"/>
      <c r="E12" s="6" t="s">
        <v>69</v>
      </c>
      <c r="F12" s="11" t="s">
        <v>1051</v>
      </c>
      <c r="G12" s="11" t="s">
        <v>69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1052</v>
      </c>
      <c r="C13" s="20"/>
      <c r="D13" s="20"/>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18" customHeight="1" spans="1:22">
      <c r="A14" s="19"/>
      <c r="B14" s="21" t="s">
        <v>1053</v>
      </c>
      <c r="C14" s="21"/>
      <c r="D14" s="21"/>
      <c r="E14" s="22" t="s">
        <v>69</v>
      </c>
      <c r="F14" s="22" t="s">
        <v>69</v>
      </c>
      <c r="G14" s="22" t="s">
        <v>69</v>
      </c>
      <c r="H14" s="22" t="s">
        <v>69</v>
      </c>
      <c r="I14" s="22" t="s">
        <v>69</v>
      </c>
      <c r="J14" s="22" t="s">
        <v>69</v>
      </c>
      <c r="K14" s="22" t="s">
        <v>69</v>
      </c>
      <c r="L14" s="22" t="s">
        <v>69</v>
      </c>
      <c r="M14" s="22" t="s">
        <v>69</v>
      </c>
      <c r="N14" s="22" t="s">
        <v>69</v>
      </c>
      <c r="O14" s="22" t="s">
        <v>69</v>
      </c>
      <c r="P14" s="22" t="s">
        <v>69</v>
      </c>
      <c r="Q14" s="22" t="s">
        <v>69</v>
      </c>
      <c r="R14" s="22" t="s">
        <v>69</v>
      </c>
      <c r="S14" s="22" t="s">
        <v>69</v>
      </c>
      <c r="T14" s="22" t="s">
        <v>69</v>
      </c>
      <c r="U14" s="22" t="s">
        <v>69</v>
      </c>
      <c r="V14"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1:D11"/>
    <mergeCell ref="B12:D12"/>
    <mergeCell ref="B13:D13"/>
    <mergeCell ref="B14:D14"/>
    <mergeCell ref="A7:A8"/>
    <mergeCell ref="A9:A10"/>
    <mergeCell ref="A11:A14"/>
  </mergeCells>
  <dataValidations count="3">
    <dataValidation type="list" allowBlank="1" sqref="F8:V8 F10:V10">
      <formula1>"O,-"</formula1>
    </dataValidation>
    <dataValidation type="list" allowBlank="1" sqref="F11:V11">
      <formula1>"N,A,B"</formula1>
    </dataValidation>
    <dataValidation type="list" allowBlank="1" sqref="F12:V12">
      <formula1>"P,F"</formula1>
    </dataValidation>
  </dataValidations>
  <pageMargins left="0.7" right="0.7" top="0.75" bottom="0.75" header="0.3" footer="0.3"/>
  <pageSetup paperSize="1" orientation="portrait" useFirstPageNumber="1"/>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897</v>
      </c>
      <c r="C1" s="2"/>
      <c r="D1" s="2"/>
      <c r="E1" s="2"/>
      <c r="F1" s="3" t="s">
        <v>1019</v>
      </c>
      <c r="G1" s="3"/>
      <c r="H1" s="3"/>
      <c r="I1" s="3"/>
      <c r="J1" s="3"/>
      <c r="K1" s="3"/>
      <c r="L1" s="4" t="s">
        <v>898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2516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3</v>
      </c>
      <c r="M5" s="11">
        <v>0</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2517</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2518</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2519</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40.5" customHeight="1" spans="1:22">
      <c r="A12" s="16"/>
      <c r="B12" s="6" t="s">
        <v>69</v>
      </c>
      <c r="C12" s="6" t="s">
        <v>69</v>
      </c>
      <c r="D12" s="18" t="s">
        <v>2520</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53" customHeight="1" spans="1:22">
      <c r="A13" s="16"/>
      <c r="B13" s="6" t="s">
        <v>69</v>
      </c>
      <c r="C13" s="6" t="s">
        <v>69</v>
      </c>
      <c r="D13" s="18" t="s">
        <v>2521</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65.5" customHeight="1" spans="1:22">
      <c r="A14" s="16"/>
      <c r="B14" s="6" t="s">
        <v>69</v>
      </c>
      <c r="C14" s="6" t="s">
        <v>69</v>
      </c>
      <c r="D14" s="18" t="s">
        <v>2522</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1008</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897</v>
      </c>
      <c r="C1" s="2"/>
      <c r="D1" s="2"/>
      <c r="E1" s="2"/>
      <c r="F1" s="3" t="s">
        <v>1019</v>
      </c>
      <c r="G1" s="3"/>
      <c r="H1" s="3"/>
      <c r="I1" s="3"/>
      <c r="J1" s="3"/>
      <c r="K1" s="3"/>
      <c r="L1" s="4" t="s">
        <v>903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2523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2</v>
      </c>
      <c r="M5" s="11">
        <v>0</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2524</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2525</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2526</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53" customHeight="1" spans="1:22">
      <c r="A12" s="16"/>
      <c r="B12" s="6" t="s">
        <v>69</v>
      </c>
      <c r="C12" s="6" t="s">
        <v>69</v>
      </c>
      <c r="D12" s="18" t="s">
        <v>2527</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1008</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897</v>
      </c>
      <c r="C1" s="2"/>
      <c r="D1" s="2"/>
      <c r="E1" s="2"/>
      <c r="F1" s="3" t="s">
        <v>1019</v>
      </c>
      <c r="G1" s="3"/>
      <c r="H1" s="3"/>
      <c r="I1" s="3"/>
      <c r="J1" s="3"/>
      <c r="K1" s="3"/>
      <c r="L1" s="4" t="s">
        <v>907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2528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4</v>
      </c>
      <c r="M5" s="11">
        <v>0</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2529</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2530</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c r="B10" s="6" t="s">
        <v>69</v>
      </c>
      <c r="C10" s="6" t="s">
        <v>69</v>
      </c>
      <c r="D10" s="18" t="s">
        <v>2531</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2532</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2533</v>
      </c>
      <c r="E13" s="6" t="s">
        <v>69</v>
      </c>
      <c r="F13" s="11" t="s">
        <v>1032</v>
      </c>
      <c r="G13" s="11" t="s">
        <v>1032</v>
      </c>
      <c r="H13" s="11" t="s">
        <v>1032</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1008</v>
      </c>
      <c r="H14" s="11" t="s">
        <v>1008</v>
      </c>
      <c r="I14" s="11" t="s">
        <v>1008</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1051</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1"/>
    <mergeCell ref="A12:A13"/>
    <mergeCell ref="A14:A17"/>
  </mergeCells>
  <dataValidations count="3">
    <dataValidation type="list" allowBlank="1" sqref="F13:V13 F8:V9 F10:V11">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897</v>
      </c>
      <c r="C1" s="2"/>
      <c r="D1" s="2"/>
      <c r="E1" s="2"/>
      <c r="F1" s="3" t="s">
        <v>1019</v>
      </c>
      <c r="G1" s="3"/>
      <c r="H1" s="3"/>
      <c r="I1" s="3"/>
      <c r="J1" s="3"/>
      <c r="K1" s="3"/>
      <c r="L1" s="4" t="s">
        <v>912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2534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2</v>
      </c>
      <c r="N5" s="11">
        <v>0</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78" customHeight="1" spans="1:22">
      <c r="A8" s="16"/>
      <c r="B8" s="6" t="s">
        <v>69</v>
      </c>
      <c r="C8" s="6" t="s">
        <v>69</v>
      </c>
      <c r="D8" s="18" t="s">
        <v>2535</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2536</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40.5" customHeight="1" spans="1:22">
      <c r="A11" s="16"/>
      <c r="B11" s="6" t="s">
        <v>69</v>
      </c>
      <c r="C11" s="6" t="s">
        <v>69</v>
      </c>
      <c r="D11" s="18" t="s">
        <v>2537</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2538</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63</v>
      </c>
      <c r="G13" s="11" t="s">
        <v>63</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897</v>
      </c>
      <c r="C1" s="2"/>
      <c r="D1" s="2"/>
      <c r="E1" s="2"/>
      <c r="F1" s="3" t="s">
        <v>1019</v>
      </c>
      <c r="G1" s="3"/>
      <c r="H1" s="3"/>
      <c r="I1" s="3"/>
      <c r="J1" s="3"/>
      <c r="K1" s="3"/>
      <c r="L1" s="4" t="s">
        <v>917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40.5" customHeight="1" spans="1:22">
      <c r="A3" s="5" t="s">
        <v>1023</v>
      </c>
      <c r="B3" s="8" t="s">
        <v>2539</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2540</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2541</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2542</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2543</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2544</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28" customHeight="1" spans="1:22">
      <c r="A14" s="16"/>
      <c r="B14" s="6" t="s">
        <v>69</v>
      </c>
      <c r="C14" s="6" t="s">
        <v>69</v>
      </c>
      <c r="D14" s="18" t="s">
        <v>2545</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65.5" customHeight="1" spans="1:22">
      <c r="A15" s="16"/>
      <c r="B15" s="6" t="s">
        <v>69</v>
      </c>
      <c r="C15" s="6" t="s">
        <v>69</v>
      </c>
      <c r="D15" s="18" t="s">
        <v>2546</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65.5" customHeight="1" spans="1:22">
      <c r="A16" s="16"/>
      <c r="B16" s="6" t="s">
        <v>69</v>
      </c>
      <c r="C16" s="6" t="s">
        <v>69</v>
      </c>
      <c r="D16" s="18" t="s">
        <v>2547</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1009</v>
      </c>
      <c r="H17" s="11" t="s">
        <v>1008</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924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2548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2</v>
      </c>
      <c r="M5" s="11">
        <v>1</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28" customHeight="1" spans="1:22">
      <c r="A8" s="16"/>
      <c r="B8" s="6" t="s">
        <v>69</v>
      </c>
      <c r="C8" s="6" t="s">
        <v>69</v>
      </c>
      <c r="D8" s="18" t="s">
        <v>2550</v>
      </c>
      <c r="E8" s="6" t="s">
        <v>69</v>
      </c>
      <c r="F8" s="11" t="s">
        <v>1032</v>
      </c>
      <c r="G8" s="11" t="s">
        <v>1036</v>
      </c>
      <c r="H8" s="11" t="s">
        <v>1032</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2551</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2552</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65.5" customHeight="1" spans="1:22">
      <c r="A12" s="16"/>
      <c r="B12" s="6" t="s">
        <v>69</v>
      </c>
      <c r="C12" s="6" t="s">
        <v>69</v>
      </c>
      <c r="D12" s="18" t="s">
        <v>2553</v>
      </c>
      <c r="E12" s="6" t="s">
        <v>69</v>
      </c>
      <c r="F12" s="11" t="s">
        <v>1032</v>
      </c>
      <c r="G12" s="11" t="s">
        <v>1036</v>
      </c>
      <c r="H12" s="11" t="s">
        <v>1032</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2554</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2555</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1008</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928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2556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1</v>
      </c>
      <c r="M5" s="11">
        <v>2</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2557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2558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2559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2560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40.5" customHeight="1" spans="1:22">
      <c r="A13" s="16"/>
      <c r="B13" s="6" t="s">
        <v>69</v>
      </c>
      <c r="C13" s="6" t="s">
        <v>69</v>
      </c>
      <c r="D13" s="18" t="s">
        <v>2561</v>
      </c>
      <c r="E13" s="6" t="s">
        <v>69</v>
      </c>
      <c r="F13" s="11" t="s">
        <v>1032</v>
      </c>
      <c r="G13" s="11" t="s">
        <v>1036</v>
      </c>
      <c r="H13" s="11" t="s">
        <v>1036</v>
      </c>
      <c r="I13" s="11" t="s">
        <v>1032</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90.5" customHeight="1" spans="1:22">
      <c r="A14" s="16"/>
      <c r="B14" s="6" t="s">
        <v>69</v>
      </c>
      <c r="C14" s="6" t="s">
        <v>69</v>
      </c>
      <c r="D14" s="18" t="s">
        <v>2562</v>
      </c>
      <c r="E14" s="6" t="s">
        <v>69</v>
      </c>
      <c r="F14" s="11" t="s">
        <v>1036</v>
      </c>
      <c r="G14" s="11" t="s">
        <v>1032</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03" customHeight="1" spans="1:22">
      <c r="A16" s="16"/>
      <c r="B16" s="6" t="s">
        <v>69</v>
      </c>
      <c r="C16" s="6" t="s">
        <v>69</v>
      </c>
      <c r="D16" s="18" t="s">
        <v>2563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63</v>
      </c>
      <c r="H17" s="11" t="s">
        <v>63</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6:V16 F8:V9 F10:V11 F13:V14">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932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2564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2</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2565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2566</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2567</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2568</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2569</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2570</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90.5" customHeight="1" spans="1:22">
      <c r="A14" s="16"/>
      <c r="B14" s="6" t="s">
        <v>69</v>
      </c>
      <c r="C14" s="6" t="s">
        <v>69</v>
      </c>
      <c r="D14" s="18" t="s">
        <v>2571</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2572</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28" customHeight="1" spans="1:22">
      <c r="A16" s="16"/>
      <c r="B16" s="6" t="s">
        <v>69</v>
      </c>
      <c r="C16" s="6" t="s">
        <v>69</v>
      </c>
      <c r="D16" s="18" t="s">
        <v>2573</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5.5" customHeight="1" spans="1:22">
      <c r="A17" s="16"/>
      <c r="B17" s="17" t="s">
        <v>1064</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53" customHeight="1" spans="1:22">
      <c r="A18" s="16"/>
      <c r="B18" s="6" t="s">
        <v>69</v>
      </c>
      <c r="C18" s="6" t="s">
        <v>69</v>
      </c>
      <c r="D18" s="18" t="s">
        <v>2574</v>
      </c>
      <c r="E18" s="6" t="s">
        <v>69</v>
      </c>
      <c r="F18" s="11" t="s">
        <v>1036</v>
      </c>
      <c r="G18" s="11" t="s">
        <v>1032</v>
      </c>
      <c r="H18" s="11" t="s">
        <v>1036</v>
      </c>
      <c r="I18" s="11" t="s">
        <v>1036</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63</v>
      </c>
      <c r="H19" s="11" t="s">
        <v>1008</v>
      </c>
      <c r="I19" s="11" t="s">
        <v>63</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69</v>
      </c>
      <c r="K20" s="11" t="s">
        <v>69</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1"/>
    <mergeCell ref="A12:A18"/>
    <mergeCell ref="A19:A22"/>
  </mergeCells>
  <dataValidations count="3">
    <dataValidation type="list" allowBlank="1" sqref="F18:V18 F8:V9 F10:V11 F13:V16">
      <formula1>"O,-"</formula1>
    </dataValidation>
    <dataValidation type="list" allowBlank="1" sqref="F19:V19">
      <formula1>"N,A,B"</formula1>
    </dataValidation>
    <dataValidation type="list" allowBlank="1" sqref="F20:V20">
      <formula1>"P,F"</formula1>
    </dataValidation>
  </dataValidations>
  <pageMargins left="0.7" right="0.7" top="0.75" bottom="0.75" header="0.3" footer="0.3"/>
  <pageSetup paperSize="1" orientation="portrait" useFirstPageNumber="1"/>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936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2575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6</v>
      </c>
      <c r="B5" s="11"/>
      <c r="C5" s="11">
        <v>0</v>
      </c>
      <c r="D5" s="11"/>
      <c r="E5" s="11"/>
      <c r="F5" s="11">
        <v>0</v>
      </c>
      <c r="G5" s="11"/>
      <c r="H5" s="11"/>
      <c r="I5" s="11"/>
      <c r="J5" s="11"/>
      <c r="K5" s="11"/>
      <c r="L5" s="11">
        <v>1</v>
      </c>
      <c r="M5" s="11">
        <v>4</v>
      </c>
      <c r="N5" s="11">
        <v>1</v>
      </c>
      <c r="O5" s="12">
        <v>6</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2576</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2577</v>
      </c>
      <c r="E8" s="6" t="s">
        <v>69</v>
      </c>
      <c r="F8" s="11" t="s">
        <v>1032</v>
      </c>
      <c r="G8" s="11" t="s">
        <v>1036</v>
      </c>
      <c r="H8" s="11" t="s">
        <v>1036</v>
      </c>
      <c r="I8" s="11" t="s">
        <v>1036</v>
      </c>
      <c r="J8" s="11" t="s">
        <v>1036</v>
      </c>
      <c r="K8" s="11" t="s">
        <v>1036</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2578</v>
      </c>
      <c r="E9" s="6" t="s">
        <v>69</v>
      </c>
      <c r="F9" s="11" t="s">
        <v>1036</v>
      </c>
      <c r="G9" s="11" t="s">
        <v>1032</v>
      </c>
      <c r="H9" s="11" t="s">
        <v>1036</v>
      </c>
      <c r="I9" s="11" t="s">
        <v>1036</v>
      </c>
      <c r="J9" s="11" t="s">
        <v>1036</v>
      </c>
      <c r="K9" s="11" t="s">
        <v>1036</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2579</v>
      </c>
      <c r="E10" s="6" t="s">
        <v>69</v>
      </c>
      <c r="F10" s="11" t="s">
        <v>1036</v>
      </c>
      <c r="G10" s="11" t="s">
        <v>1036</v>
      </c>
      <c r="H10" s="11" t="s">
        <v>1032</v>
      </c>
      <c r="I10" s="11" t="s">
        <v>1036</v>
      </c>
      <c r="J10" s="11" t="s">
        <v>1036</v>
      </c>
      <c r="K10" s="11" t="s">
        <v>1036</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2580</v>
      </c>
      <c r="E11" s="6" t="s">
        <v>69</v>
      </c>
      <c r="F11" s="11" t="s">
        <v>1036</v>
      </c>
      <c r="G11" s="11" t="s">
        <v>1036</v>
      </c>
      <c r="H11" s="11" t="s">
        <v>1036</v>
      </c>
      <c r="I11" s="11" t="s">
        <v>1032</v>
      </c>
      <c r="J11" s="11" t="s">
        <v>1036</v>
      </c>
      <c r="K11" s="11" t="s">
        <v>1036</v>
      </c>
      <c r="L11" s="11" t="s">
        <v>69</v>
      </c>
      <c r="M11" s="11" t="s">
        <v>69</v>
      </c>
      <c r="N11" s="11" t="s">
        <v>69</v>
      </c>
      <c r="O11" s="11" t="s">
        <v>69</v>
      </c>
      <c r="P11" s="11" t="s">
        <v>69</v>
      </c>
      <c r="Q11" s="11" t="s">
        <v>69</v>
      </c>
      <c r="R11" s="11" t="s">
        <v>69</v>
      </c>
      <c r="S11" s="11" t="s">
        <v>69</v>
      </c>
      <c r="T11" s="11" t="s">
        <v>69</v>
      </c>
      <c r="U11" s="11" t="s">
        <v>69</v>
      </c>
      <c r="V11" s="12" t="s">
        <v>69</v>
      </c>
    </row>
    <row r="12" ht="28" customHeight="1" spans="1:22">
      <c r="A12" s="16"/>
      <c r="B12" s="6" t="s">
        <v>69</v>
      </c>
      <c r="C12" s="6" t="s">
        <v>69</v>
      </c>
      <c r="D12" s="18" t="s">
        <v>2581</v>
      </c>
      <c r="E12" s="6" t="s">
        <v>69</v>
      </c>
      <c r="F12" s="11" t="s">
        <v>1036</v>
      </c>
      <c r="G12" s="11" t="s">
        <v>1036</v>
      </c>
      <c r="H12" s="11" t="s">
        <v>1036</v>
      </c>
      <c r="I12" s="11" t="s">
        <v>1036</v>
      </c>
      <c r="J12" s="11" t="s">
        <v>1032</v>
      </c>
      <c r="K12" s="11" t="s">
        <v>1036</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2582</v>
      </c>
      <c r="E13" s="6" t="s">
        <v>69</v>
      </c>
      <c r="F13" s="11" t="s">
        <v>1036</v>
      </c>
      <c r="G13" s="11" t="s">
        <v>1036</v>
      </c>
      <c r="H13" s="11" t="s">
        <v>1036</v>
      </c>
      <c r="I13" s="11" t="s">
        <v>1036</v>
      </c>
      <c r="J13" s="11" t="s">
        <v>1036</v>
      </c>
      <c r="K13" s="11" t="s">
        <v>1032</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t="s">
        <v>1039</v>
      </c>
      <c r="B14" s="17" t="s">
        <v>1040</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40.5" customHeight="1" spans="1:22">
      <c r="A15" s="16"/>
      <c r="B15" s="6" t="s">
        <v>69</v>
      </c>
      <c r="C15" s="6" t="s">
        <v>69</v>
      </c>
      <c r="D15" s="18" t="s">
        <v>2583</v>
      </c>
      <c r="E15" s="6" t="s">
        <v>69</v>
      </c>
      <c r="F15" s="11" t="s">
        <v>1032</v>
      </c>
      <c r="G15" s="11" t="s">
        <v>1036</v>
      </c>
      <c r="H15" s="11" t="s">
        <v>1036</v>
      </c>
      <c r="I15" s="11" t="s">
        <v>1036</v>
      </c>
      <c r="J15" s="11" t="s">
        <v>1036</v>
      </c>
      <c r="K15" s="11" t="s">
        <v>1036</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2584</v>
      </c>
      <c r="E16" s="6" t="s">
        <v>69</v>
      </c>
      <c r="F16" s="11" t="s">
        <v>1036</v>
      </c>
      <c r="G16" s="11" t="s">
        <v>1032</v>
      </c>
      <c r="H16" s="11" t="s">
        <v>1032</v>
      </c>
      <c r="I16" s="11" t="s">
        <v>1032</v>
      </c>
      <c r="J16" s="11" t="s">
        <v>1036</v>
      </c>
      <c r="K16" s="11" t="s">
        <v>1032</v>
      </c>
      <c r="L16" s="11" t="s">
        <v>69</v>
      </c>
      <c r="M16" s="11" t="s">
        <v>69</v>
      </c>
      <c r="N16" s="11" t="s">
        <v>69</v>
      </c>
      <c r="O16" s="11" t="s">
        <v>69</v>
      </c>
      <c r="P16" s="11" t="s">
        <v>69</v>
      </c>
      <c r="Q16" s="11" t="s">
        <v>69</v>
      </c>
      <c r="R16" s="11" t="s">
        <v>69</v>
      </c>
      <c r="S16" s="11" t="s">
        <v>69</v>
      </c>
      <c r="T16" s="11" t="s">
        <v>69</v>
      </c>
      <c r="U16" s="11" t="s">
        <v>69</v>
      </c>
      <c r="V16" s="12" t="s">
        <v>69</v>
      </c>
    </row>
    <row r="17" ht="53" customHeight="1" spans="1:22">
      <c r="A17" s="16"/>
      <c r="B17" s="6" t="s">
        <v>69</v>
      </c>
      <c r="C17" s="6" t="s">
        <v>69</v>
      </c>
      <c r="D17" s="18" t="s">
        <v>2585</v>
      </c>
      <c r="E17" s="6" t="s">
        <v>69</v>
      </c>
      <c r="F17" s="11" t="s">
        <v>1036</v>
      </c>
      <c r="G17" s="11" t="s">
        <v>1036</v>
      </c>
      <c r="H17" s="11" t="s">
        <v>1036</v>
      </c>
      <c r="I17" s="11" t="s">
        <v>1036</v>
      </c>
      <c r="J17" s="11" t="s">
        <v>1032</v>
      </c>
      <c r="K17" s="11" t="s">
        <v>1036</v>
      </c>
      <c r="L17" s="11" t="s">
        <v>69</v>
      </c>
      <c r="M17" s="11" t="s">
        <v>69</v>
      </c>
      <c r="N17" s="11" t="s">
        <v>69</v>
      </c>
      <c r="O17" s="11" t="s">
        <v>69</v>
      </c>
      <c r="P17" s="11" t="s">
        <v>69</v>
      </c>
      <c r="Q17" s="11" t="s">
        <v>69</v>
      </c>
      <c r="R17" s="11" t="s">
        <v>69</v>
      </c>
      <c r="S17" s="11" t="s">
        <v>69</v>
      </c>
      <c r="T17" s="11" t="s">
        <v>69</v>
      </c>
      <c r="U17" s="11" t="s">
        <v>69</v>
      </c>
      <c r="V17" s="12" t="s">
        <v>69</v>
      </c>
    </row>
    <row r="18" ht="78" customHeight="1" spans="1:22">
      <c r="A18" s="16"/>
      <c r="B18" s="6" t="s">
        <v>69</v>
      </c>
      <c r="C18" s="6" t="s">
        <v>69</v>
      </c>
      <c r="D18" s="18" t="s">
        <v>2586</v>
      </c>
      <c r="E18" s="6" t="s">
        <v>69</v>
      </c>
      <c r="F18" s="11" t="s">
        <v>1036</v>
      </c>
      <c r="G18" s="11" t="s">
        <v>1036</v>
      </c>
      <c r="H18" s="11" t="s">
        <v>1036</v>
      </c>
      <c r="I18" s="11" t="s">
        <v>1036</v>
      </c>
      <c r="J18" s="11" t="s">
        <v>1036</v>
      </c>
      <c r="K18" s="11" t="s">
        <v>1032</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63</v>
      </c>
      <c r="H19" s="11" t="s">
        <v>63</v>
      </c>
      <c r="I19" s="11" t="s">
        <v>63</v>
      </c>
      <c r="J19" s="11" t="s">
        <v>63</v>
      </c>
      <c r="K19" s="11" t="s">
        <v>1009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1051</v>
      </c>
      <c r="L20" s="11" t="s">
        <v>69</v>
      </c>
      <c r="M20" s="11" t="s">
        <v>69</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3"/>
    <mergeCell ref="A14:A18"/>
    <mergeCell ref="A19:A22"/>
  </mergeCells>
  <dataValidations count="3">
    <dataValidation type="list" allowBlank="1" sqref="F19:V19">
      <formula1>"N,A,B"</formula1>
    </dataValidation>
    <dataValidation type="list" allowBlank="1" sqref="F20:V20">
      <formula1>"P,F"</formula1>
    </dataValidation>
    <dataValidation type="list" allowBlank="1" sqref="F10:V13 F15:V18 F8:V9">
      <formula1>"O,-"</formula1>
    </dataValidation>
  </dataValidations>
  <pageMargins left="0.7" right="0.7" top="0.75" bottom="0.75" header="0.3" footer="0.3"/>
  <pageSetup paperSize="1" orientation="portrait" useFirstPageNumber="1"/>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940</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2587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1</v>
      </c>
      <c r="N5" s="11">
        <v>1</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2588</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2589</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2590</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2591</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40.5" customHeight="1" spans="1:22">
      <c r="A13" s="16"/>
      <c r="B13" s="6" t="s">
        <v>69</v>
      </c>
      <c r="C13" s="6" t="s">
        <v>69</v>
      </c>
      <c r="D13" s="18" t="s">
        <v>2592</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2593</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1008</v>
      </c>
      <c r="G15" s="11" t="s">
        <v>63</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2"/>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944</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2594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8</v>
      </c>
      <c r="B5" s="11"/>
      <c r="C5" s="11">
        <v>0</v>
      </c>
      <c r="D5" s="11"/>
      <c r="E5" s="11"/>
      <c r="F5" s="11">
        <v>0</v>
      </c>
      <c r="G5" s="11"/>
      <c r="H5" s="11"/>
      <c r="I5" s="11"/>
      <c r="J5" s="11"/>
      <c r="K5" s="11"/>
      <c r="L5" s="11">
        <v>1</v>
      </c>
      <c r="M5" s="11">
        <v>7</v>
      </c>
      <c r="N5" s="11">
        <v>0</v>
      </c>
      <c r="O5" s="12">
        <v>8</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69</v>
      </c>
      <c r="O6" s="14" t="s">
        <v>69</v>
      </c>
      <c r="P6" s="14" t="s">
        <v>69</v>
      </c>
      <c r="Q6" s="14" t="s">
        <v>69</v>
      </c>
      <c r="R6" s="14" t="s">
        <v>69</v>
      </c>
      <c r="S6" s="14" t="s">
        <v>69</v>
      </c>
      <c r="T6" s="14" t="s">
        <v>69</v>
      </c>
      <c r="U6" s="14" t="s">
        <v>69</v>
      </c>
      <c r="V6" s="15" t="s">
        <v>69</v>
      </c>
    </row>
    <row r="7" ht="15.5" customHeight="1" spans="1:22">
      <c r="A7" s="16" t="s">
        <v>1029</v>
      </c>
      <c r="B7" s="17" t="s">
        <v>2595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2596</v>
      </c>
      <c r="E8" s="6" t="s">
        <v>69</v>
      </c>
      <c r="F8" s="11" t="s">
        <v>1032</v>
      </c>
      <c r="G8" s="11" t="s">
        <v>1036</v>
      </c>
      <c r="H8" s="11" t="s">
        <v>1036</v>
      </c>
      <c r="I8" s="11" t="s">
        <v>1036</v>
      </c>
      <c r="J8" s="11" t="s">
        <v>1036</v>
      </c>
      <c r="K8" s="11" t="s">
        <v>1036</v>
      </c>
      <c r="L8" s="11" t="s">
        <v>1036</v>
      </c>
      <c r="M8" s="11" t="s">
        <v>1036</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2597</v>
      </c>
      <c r="E9" s="6" t="s">
        <v>69</v>
      </c>
      <c r="F9" s="11" t="s">
        <v>1036</v>
      </c>
      <c r="G9" s="11" t="s">
        <v>1032</v>
      </c>
      <c r="H9" s="11" t="s">
        <v>1036</v>
      </c>
      <c r="I9" s="11" t="s">
        <v>1036</v>
      </c>
      <c r="J9" s="11" t="s">
        <v>1036</v>
      </c>
      <c r="K9" s="11" t="s">
        <v>1036</v>
      </c>
      <c r="L9" s="11" t="s">
        <v>1036</v>
      </c>
      <c r="M9" s="11" t="s">
        <v>1036</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2598</v>
      </c>
      <c r="E10" s="6" t="s">
        <v>69</v>
      </c>
      <c r="F10" s="11" t="s">
        <v>1036</v>
      </c>
      <c r="G10" s="11" t="s">
        <v>1036</v>
      </c>
      <c r="H10" s="11" t="s">
        <v>1032</v>
      </c>
      <c r="I10" s="11" t="s">
        <v>1036</v>
      </c>
      <c r="J10" s="11" t="s">
        <v>1036</v>
      </c>
      <c r="K10" s="11" t="s">
        <v>1036</v>
      </c>
      <c r="L10" s="11" t="s">
        <v>1036</v>
      </c>
      <c r="M10" s="11" t="s">
        <v>1036</v>
      </c>
      <c r="N10" s="11" t="s">
        <v>69</v>
      </c>
      <c r="O10" s="11" t="s">
        <v>69</v>
      </c>
      <c r="P10" s="11" t="s">
        <v>69</v>
      </c>
      <c r="Q10" s="11" t="s">
        <v>69</v>
      </c>
      <c r="R10" s="11" t="s">
        <v>69</v>
      </c>
      <c r="S10" s="11" t="s">
        <v>69</v>
      </c>
      <c r="T10" s="11" t="s">
        <v>69</v>
      </c>
      <c r="U10" s="11" t="s">
        <v>69</v>
      </c>
      <c r="V10" s="12" t="s">
        <v>69</v>
      </c>
    </row>
    <row r="11" ht="40.5" customHeight="1" spans="1:22">
      <c r="A11" s="16"/>
      <c r="B11" s="6" t="s">
        <v>69</v>
      </c>
      <c r="C11" s="6" t="s">
        <v>69</v>
      </c>
      <c r="D11" s="18" t="s">
        <v>2599</v>
      </c>
      <c r="E11" s="6" t="s">
        <v>69</v>
      </c>
      <c r="F11" s="11" t="s">
        <v>1036</v>
      </c>
      <c r="G11" s="11" t="s">
        <v>1036</v>
      </c>
      <c r="H11" s="11" t="s">
        <v>1036</v>
      </c>
      <c r="I11" s="11" t="s">
        <v>1032</v>
      </c>
      <c r="J11" s="11" t="s">
        <v>1036</v>
      </c>
      <c r="K11" s="11" t="s">
        <v>1036</v>
      </c>
      <c r="L11" s="11" t="s">
        <v>1036</v>
      </c>
      <c r="M11" s="11" t="s">
        <v>1036</v>
      </c>
      <c r="N11" s="11" t="s">
        <v>69</v>
      </c>
      <c r="O11" s="11" t="s">
        <v>69</v>
      </c>
      <c r="P11" s="11" t="s">
        <v>69</v>
      </c>
      <c r="Q11" s="11" t="s">
        <v>69</v>
      </c>
      <c r="R11" s="11" t="s">
        <v>69</v>
      </c>
      <c r="S11" s="11" t="s">
        <v>69</v>
      </c>
      <c r="T11" s="11" t="s">
        <v>69</v>
      </c>
      <c r="U11" s="11" t="s">
        <v>69</v>
      </c>
      <c r="V11" s="12" t="s">
        <v>69</v>
      </c>
    </row>
    <row r="12" ht="40.5" customHeight="1" spans="1:22">
      <c r="A12" s="16"/>
      <c r="B12" s="6" t="s">
        <v>69</v>
      </c>
      <c r="C12" s="6" t="s">
        <v>69</v>
      </c>
      <c r="D12" s="18" t="s">
        <v>2600</v>
      </c>
      <c r="E12" s="6" t="s">
        <v>69</v>
      </c>
      <c r="F12" s="11" t="s">
        <v>1036</v>
      </c>
      <c r="G12" s="11" t="s">
        <v>1036</v>
      </c>
      <c r="H12" s="11" t="s">
        <v>1036</v>
      </c>
      <c r="I12" s="11" t="s">
        <v>1036</v>
      </c>
      <c r="J12" s="11" t="s">
        <v>1032</v>
      </c>
      <c r="K12" s="11" t="s">
        <v>1036</v>
      </c>
      <c r="L12" s="11" t="s">
        <v>1036</v>
      </c>
      <c r="M12" s="11" t="s">
        <v>1036</v>
      </c>
      <c r="N12" s="11" t="s">
        <v>69</v>
      </c>
      <c r="O12" s="11" t="s">
        <v>69</v>
      </c>
      <c r="P12" s="11" t="s">
        <v>69</v>
      </c>
      <c r="Q12" s="11" t="s">
        <v>69</v>
      </c>
      <c r="R12" s="11" t="s">
        <v>69</v>
      </c>
      <c r="S12" s="11" t="s">
        <v>69</v>
      </c>
      <c r="T12" s="11" t="s">
        <v>69</v>
      </c>
      <c r="U12" s="11" t="s">
        <v>69</v>
      </c>
      <c r="V12" s="12" t="s">
        <v>69</v>
      </c>
    </row>
    <row r="13" ht="28" customHeight="1" spans="1:22">
      <c r="A13" s="16"/>
      <c r="B13" s="6" t="s">
        <v>69</v>
      </c>
      <c r="C13" s="6" t="s">
        <v>69</v>
      </c>
      <c r="D13" s="18" t="s">
        <v>2601</v>
      </c>
      <c r="E13" s="6" t="s">
        <v>69</v>
      </c>
      <c r="F13" s="11" t="s">
        <v>1036</v>
      </c>
      <c r="G13" s="11" t="s">
        <v>1036</v>
      </c>
      <c r="H13" s="11" t="s">
        <v>1036</v>
      </c>
      <c r="I13" s="11" t="s">
        <v>1036</v>
      </c>
      <c r="J13" s="11" t="s">
        <v>1036</v>
      </c>
      <c r="K13" s="11" t="s">
        <v>1032</v>
      </c>
      <c r="L13" s="11" t="s">
        <v>1036</v>
      </c>
      <c r="M13" s="11" t="s">
        <v>1036</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2602</v>
      </c>
      <c r="E14" s="6" t="s">
        <v>69</v>
      </c>
      <c r="F14" s="11" t="s">
        <v>1036</v>
      </c>
      <c r="G14" s="11" t="s">
        <v>1036</v>
      </c>
      <c r="H14" s="11" t="s">
        <v>1036</v>
      </c>
      <c r="I14" s="11" t="s">
        <v>1036</v>
      </c>
      <c r="J14" s="11" t="s">
        <v>1036</v>
      </c>
      <c r="K14" s="11" t="s">
        <v>1036</v>
      </c>
      <c r="L14" s="11" t="s">
        <v>1032</v>
      </c>
      <c r="M14" s="11" t="s">
        <v>1036</v>
      </c>
      <c r="N14" s="11" t="s">
        <v>69</v>
      </c>
      <c r="O14" s="11" t="s">
        <v>69</v>
      </c>
      <c r="P14" s="11" t="s">
        <v>69</v>
      </c>
      <c r="Q14" s="11" t="s">
        <v>69</v>
      </c>
      <c r="R14" s="11" t="s">
        <v>69</v>
      </c>
      <c r="S14" s="11" t="s">
        <v>69</v>
      </c>
      <c r="T14" s="11" t="s">
        <v>69</v>
      </c>
      <c r="U14" s="11" t="s">
        <v>69</v>
      </c>
      <c r="V14" s="12" t="s">
        <v>69</v>
      </c>
    </row>
    <row r="15" ht="40.5" customHeight="1" spans="1:22">
      <c r="A15" s="16"/>
      <c r="B15" s="6" t="s">
        <v>69</v>
      </c>
      <c r="C15" s="6" t="s">
        <v>69</v>
      </c>
      <c r="D15" s="18" t="s">
        <v>2603</v>
      </c>
      <c r="E15" s="6" t="s">
        <v>69</v>
      </c>
      <c r="F15" s="11" t="s">
        <v>1036</v>
      </c>
      <c r="G15" s="11" t="s">
        <v>1036</v>
      </c>
      <c r="H15" s="11" t="s">
        <v>1036</v>
      </c>
      <c r="I15" s="11" t="s">
        <v>1036</v>
      </c>
      <c r="J15" s="11" t="s">
        <v>1036</v>
      </c>
      <c r="K15" s="11" t="s">
        <v>1036</v>
      </c>
      <c r="L15" s="11" t="s">
        <v>1036</v>
      </c>
      <c r="M15" s="11" t="s">
        <v>1032</v>
      </c>
      <c r="N15" s="11" t="s">
        <v>69</v>
      </c>
      <c r="O15" s="11" t="s">
        <v>69</v>
      </c>
      <c r="P15" s="11" t="s">
        <v>69</v>
      </c>
      <c r="Q15" s="11" t="s">
        <v>69</v>
      </c>
      <c r="R15" s="11" t="s">
        <v>69</v>
      </c>
      <c r="S15" s="11" t="s">
        <v>69</v>
      </c>
      <c r="T15" s="11" t="s">
        <v>69</v>
      </c>
      <c r="U15" s="11" t="s">
        <v>69</v>
      </c>
      <c r="V15" s="12" t="s">
        <v>69</v>
      </c>
    </row>
    <row r="16" ht="15.5" customHeight="1" spans="1:22">
      <c r="A16" s="16" t="s">
        <v>1039</v>
      </c>
      <c r="B16" s="17" t="s">
        <v>1040</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28" customHeight="1" spans="1:22">
      <c r="A17" s="16"/>
      <c r="B17" s="6" t="s">
        <v>69</v>
      </c>
      <c r="C17" s="6" t="s">
        <v>69</v>
      </c>
      <c r="D17" s="18" t="s">
        <v>2604</v>
      </c>
      <c r="E17" s="6" t="s">
        <v>69</v>
      </c>
      <c r="F17" s="11" t="s">
        <v>1032</v>
      </c>
      <c r="G17" s="11" t="s">
        <v>1036</v>
      </c>
      <c r="H17" s="11" t="s">
        <v>1036</v>
      </c>
      <c r="I17" s="11" t="s">
        <v>1036</v>
      </c>
      <c r="J17" s="11" t="s">
        <v>1036</v>
      </c>
      <c r="K17" s="11" t="s">
        <v>1036</v>
      </c>
      <c r="L17" s="11" t="s">
        <v>1036</v>
      </c>
      <c r="M17" s="11" t="s">
        <v>1036</v>
      </c>
      <c r="N17" s="11" t="s">
        <v>69</v>
      </c>
      <c r="O17" s="11" t="s">
        <v>69</v>
      </c>
      <c r="P17" s="11" t="s">
        <v>69</v>
      </c>
      <c r="Q17" s="11" t="s">
        <v>69</v>
      </c>
      <c r="R17" s="11" t="s">
        <v>69</v>
      </c>
      <c r="S17" s="11" t="s">
        <v>69</v>
      </c>
      <c r="T17" s="11" t="s">
        <v>69</v>
      </c>
      <c r="U17" s="11" t="s">
        <v>69</v>
      </c>
      <c r="V17" s="12" t="s">
        <v>69</v>
      </c>
    </row>
    <row r="18" ht="65.5" customHeight="1" spans="1:22">
      <c r="A18" s="16"/>
      <c r="B18" s="6" t="s">
        <v>69</v>
      </c>
      <c r="C18" s="6" t="s">
        <v>69</v>
      </c>
      <c r="D18" s="18" t="s">
        <v>2605</v>
      </c>
      <c r="E18" s="6" t="s">
        <v>69</v>
      </c>
      <c r="F18" s="11" t="s">
        <v>1036</v>
      </c>
      <c r="G18" s="11" t="s">
        <v>1032</v>
      </c>
      <c r="H18" s="11" t="s">
        <v>1032</v>
      </c>
      <c r="I18" s="11" t="s">
        <v>1032</v>
      </c>
      <c r="J18" s="11" t="s">
        <v>1032</v>
      </c>
      <c r="K18" s="11" t="s">
        <v>1032</v>
      </c>
      <c r="L18" s="11" t="s">
        <v>1032</v>
      </c>
      <c r="M18" s="11" t="s">
        <v>1032</v>
      </c>
      <c r="N18" s="11" t="s">
        <v>69</v>
      </c>
      <c r="O18" s="11" t="s">
        <v>69</v>
      </c>
      <c r="P18" s="11" t="s">
        <v>69</v>
      </c>
      <c r="Q18" s="11" t="s">
        <v>69</v>
      </c>
      <c r="R18" s="11" t="s">
        <v>69</v>
      </c>
      <c r="S18" s="11" t="s">
        <v>69</v>
      </c>
      <c r="T18" s="11" t="s">
        <v>69</v>
      </c>
      <c r="U18" s="11" t="s">
        <v>69</v>
      </c>
      <c r="V18" s="12" t="s">
        <v>69</v>
      </c>
    </row>
    <row r="19" ht="18" customHeight="1" spans="1:22">
      <c r="A19" s="19" t="s">
        <v>1048</v>
      </c>
      <c r="B19" s="20" t="s">
        <v>1049</v>
      </c>
      <c r="C19" s="20"/>
      <c r="D19" s="20"/>
      <c r="E19" s="6" t="s">
        <v>69</v>
      </c>
      <c r="F19" s="11" t="s">
        <v>1008</v>
      </c>
      <c r="G19" s="11" t="s">
        <v>63</v>
      </c>
      <c r="H19" s="11" t="s">
        <v>63</v>
      </c>
      <c r="I19" s="11" t="s">
        <v>63</v>
      </c>
      <c r="J19" s="11" t="s">
        <v>63</v>
      </c>
      <c r="K19" s="11" t="s">
        <v>63</v>
      </c>
      <c r="L19" s="11" t="s">
        <v>63</v>
      </c>
      <c r="M19" s="11" t="s">
        <v>63</v>
      </c>
      <c r="N19" s="11" t="s">
        <v>69</v>
      </c>
      <c r="O19" s="11" t="s">
        <v>69</v>
      </c>
      <c r="P19" s="11" t="s">
        <v>69</v>
      </c>
      <c r="Q19" s="11" t="s">
        <v>69</v>
      </c>
      <c r="R19" s="11" t="s">
        <v>69</v>
      </c>
      <c r="S19" s="11" t="s">
        <v>69</v>
      </c>
      <c r="T19" s="11" t="s">
        <v>69</v>
      </c>
      <c r="U19" s="11" t="s">
        <v>69</v>
      </c>
      <c r="V19" s="12" t="s">
        <v>69</v>
      </c>
    </row>
    <row r="20" ht="18" customHeight="1" spans="1:22">
      <c r="A20" s="19"/>
      <c r="B20" s="20" t="s">
        <v>1050</v>
      </c>
      <c r="C20" s="20"/>
      <c r="D20" s="20"/>
      <c r="E20" s="6" t="s">
        <v>69</v>
      </c>
      <c r="F20" s="11" t="s">
        <v>1051</v>
      </c>
      <c r="G20" s="11" t="s">
        <v>1051</v>
      </c>
      <c r="H20" s="11" t="s">
        <v>1051</v>
      </c>
      <c r="I20" s="11" t="s">
        <v>1051</v>
      </c>
      <c r="J20" s="11" t="s">
        <v>1051</v>
      </c>
      <c r="K20" s="11" t="s">
        <v>1051</v>
      </c>
      <c r="L20" s="11" t="s">
        <v>1051</v>
      </c>
      <c r="M20" s="11" t="s">
        <v>1051</v>
      </c>
      <c r="N20" s="11" t="s">
        <v>69</v>
      </c>
      <c r="O20" s="11" t="s">
        <v>69</v>
      </c>
      <c r="P20" s="11" t="s">
        <v>69</v>
      </c>
      <c r="Q20" s="11" t="s">
        <v>69</v>
      </c>
      <c r="R20" s="11" t="s">
        <v>69</v>
      </c>
      <c r="S20" s="11" t="s">
        <v>69</v>
      </c>
      <c r="T20" s="11" t="s">
        <v>69</v>
      </c>
      <c r="U20" s="11" t="s">
        <v>69</v>
      </c>
      <c r="V20" s="12" t="s">
        <v>69</v>
      </c>
    </row>
    <row r="21" ht="18" customHeight="1" spans="1:22">
      <c r="A21" s="19"/>
      <c r="B21" s="20" t="s">
        <v>1052</v>
      </c>
      <c r="C21" s="20"/>
      <c r="D21" s="20"/>
      <c r="E21" s="6" t="s">
        <v>69</v>
      </c>
      <c r="F21" s="6" t="s">
        <v>69</v>
      </c>
      <c r="G21" s="6" t="s">
        <v>69</v>
      </c>
      <c r="H21" s="6" t="s">
        <v>69</v>
      </c>
      <c r="I21" s="6" t="s">
        <v>69</v>
      </c>
      <c r="J21" s="6" t="s">
        <v>69</v>
      </c>
      <c r="K21" s="6" t="s">
        <v>69</v>
      </c>
      <c r="L21" s="6" t="s">
        <v>69</v>
      </c>
      <c r="M21" s="6" t="s">
        <v>69</v>
      </c>
      <c r="N21" s="6" t="s">
        <v>69</v>
      </c>
      <c r="O21" s="6" t="s">
        <v>69</v>
      </c>
      <c r="P21" s="6" t="s">
        <v>69</v>
      </c>
      <c r="Q21" s="6" t="s">
        <v>69</v>
      </c>
      <c r="R21" s="6" t="s">
        <v>69</v>
      </c>
      <c r="S21" s="6" t="s">
        <v>69</v>
      </c>
      <c r="T21" s="6" t="s">
        <v>69</v>
      </c>
      <c r="U21" s="6" t="s">
        <v>69</v>
      </c>
      <c r="V21" s="8" t="s">
        <v>69</v>
      </c>
    </row>
    <row r="22" ht="18" customHeight="1" spans="1:22">
      <c r="A22" s="19"/>
      <c r="B22" s="21" t="s">
        <v>1053</v>
      </c>
      <c r="C22" s="21"/>
      <c r="D22" s="21"/>
      <c r="E22" s="22" t="s">
        <v>69</v>
      </c>
      <c r="F22" s="22" t="s">
        <v>69</v>
      </c>
      <c r="G22" s="22" t="s">
        <v>69</v>
      </c>
      <c r="H22" s="22" t="s">
        <v>69</v>
      </c>
      <c r="I22" s="22" t="s">
        <v>69</v>
      </c>
      <c r="J22" s="22" t="s">
        <v>69</v>
      </c>
      <c r="K22" s="22" t="s">
        <v>69</v>
      </c>
      <c r="L22" s="22" t="s">
        <v>69</v>
      </c>
      <c r="M22" s="22" t="s">
        <v>69</v>
      </c>
      <c r="N22" s="22" t="s">
        <v>69</v>
      </c>
      <c r="O22" s="22" t="s">
        <v>69</v>
      </c>
      <c r="P22" s="22" t="s">
        <v>69</v>
      </c>
      <c r="Q22" s="22" t="s">
        <v>69</v>
      </c>
      <c r="R22" s="22" t="s">
        <v>69</v>
      </c>
      <c r="S22" s="22" t="s">
        <v>69</v>
      </c>
      <c r="T22" s="22" t="s">
        <v>69</v>
      </c>
      <c r="U22" s="22" t="s">
        <v>69</v>
      </c>
      <c r="V22"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9:D19"/>
    <mergeCell ref="B20:D20"/>
    <mergeCell ref="B21:D21"/>
    <mergeCell ref="B22:D22"/>
    <mergeCell ref="A7:A15"/>
    <mergeCell ref="A16:A18"/>
    <mergeCell ref="A19:A22"/>
  </mergeCells>
  <dataValidations count="3">
    <dataValidation type="list" allowBlank="1" sqref="F19:V19">
      <formula1>"N,A,B"</formula1>
    </dataValidation>
    <dataValidation type="list" allowBlank="1" sqref="F20:V20">
      <formula1>"P,F"</formula1>
    </dataValidation>
    <dataValidation type="list" allowBlank="1" sqref="F10:V15 F17:V18 F8:V9">
      <formula1>"O,-"</formula1>
    </dataValidation>
  </dataValidations>
  <pageMargins left="0.7" right="0.7" top="0.75" bottom="0.75" header="0.3" footer="0.3"/>
  <pageSetup paperSize="1" orientation="portrait" useFirstPageNumber="1"/>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948</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2606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1</v>
      </c>
      <c r="M5" s="11">
        <v>3</v>
      </c>
      <c r="N5" s="11">
        <v>0</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2607</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2608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2609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65.5" customHeight="1" spans="1:22">
      <c r="A10" s="16"/>
      <c r="B10" s="6" t="s">
        <v>69</v>
      </c>
      <c r="C10" s="6" t="s">
        <v>69</v>
      </c>
      <c r="D10" s="18" t="s">
        <v>2610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2611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28" customHeight="1" spans="1:22">
      <c r="A13" s="16"/>
      <c r="B13" s="6" t="s">
        <v>69</v>
      </c>
      <c r="C13" s="6" t="s">
        <v>69</v>
      </c>
      <c r="D13" s="18" t="s">
        <v>2612</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2613</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78" customHeight="1" spans="1:22">
      <c r="A15" s="16"/>
      <c r="B15" s="6" t="s">
        <v>69</v>
      </c>
      <c r="C15" s="6" t="s">
        <v>69</v>
      </c>
      <c r="D15" s="18" t="s">
        <v>2614</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90.5" customHeight="1" spans="1:22">
      <c r="A16" s="16"/>
      <c r="B16" s="6" t="s">
        <v>69</v>
      </c>
      <c r="C16" s="6" t="s">
        <v>69</v>
      </c>
      <c r="D16" s="18" t="s">
        <v>2615</v>
      </c>
      <c r="E16" s="6" t="s">
        <v>69</v>
      </c>
      <c r="F16" s="11" t="s">
        <v>1036</v>
      </c>
      <c r="G16" s="11" t="s">
        <v>1036</v>
      </c>
      <c r="H16" s="11" t="s">
        <v>1036</v>
      </c>
      <c r="I16" s="11" t="s">
        <v>1032</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63</v>
      </c>
      <c r="H17" s="11" t="s">
        <v>63</v>
      </c>
      <c r="I17" s="11" t="s">
        <v>63</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7:V17">
      <formula1>"N,A,B"</formula1>
    </dataValidation>
    <dataValidation type="list" allowBlank="1" sqref="F18:V18">
      <formula1>"P,F"</formula1>
    </dataValidation>
    <dataValidation type="list" allowBlank="1" sqref="F8:V9 F10:V11 F13:V16">
      <formula1>"O,-"</formula1>
    </dataValidation>
  </dataValidations>
  <pageMargins left="0.7" right="0.7" top="0.75" bottom="0.75" header="0.3" footer="0.3"/>
  <pageSetup paperSize="1" orientation="portrait" useFirstPageNumber="1"/>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952</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2616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1</v>
      </c>
      <c r="M5" s="11">
        <v>1</v>
      </c>
      <c r="N5" s="11">
        <v>2</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2617</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2618</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2619</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2620</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2621</v>
      </c>
      <c r="E13" s="6" t="s">
        <v>69</v>
      </c>
      <c r="F13" s="11" t="s">
        <v>1032</v>
      </c>
      <c r="G13" s="11" t="s">
        <v>1032</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40.5" customHeight="1" spans="1:22">
      <c r="A14" s="16"/>
      <c r="B14" s="6" t="s">
        <v>69</v>
      </c>
      <c r="C14" s="6" t="s">
        <v>69</v>
      </c>
      <c r="D14" s="18" t="s">
        <v>2622</v>
      </c>
      <c r="E14" s="6" t="s">
        <v>69</v>
      </c>
      <c r="F14" s="11" t="s">
        <v>1036</v>
      </c>
      <c r="G14" s="11" t="s">
        <v>1036</v>
      </c>
      <c r="H14" s="11" t="s">
        <v>1032</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90.5" customHeight="1" spans="1:22">
      <c r="A15" s="16"/>
      <c r="B15" s="6" t="s">
        <v>69</v>
      </c>
      <c r="C15" s="6" t="s">
        <v>69</v>
      </c>
      <c r="D15" s="18" t="s">
        <v>2623</v>
      </c>
      <c r="E15" s="6" t="s">
        <v>69</v>
      </c>
      <c r="F15" s="11" t="s">
        <v>1036</v>
      </c>
      <c r="G15" s="11" t="s">
        <v>1036</v>
      </c>
      <c r="H15" s="11" t="s">
        <v>1036</v>
      </c>
      <c r="I15" s="11" t="s">
        <v>1032</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1009</v>
      </c>
      <c r="H16" s="11" t="s">
        <v>63</v>
      </c>
      <c r="I16" s="11" t="s">
        <v>1009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1051</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1"/>
    <mergeCell ref="A12:A15"/>
    <mergeCell ref="A16:A19"/>
  </mergeCells>
  <dataValidations count="3">
    <dataValidation type="list" allowBlank="1" sqref="F16:V16">
      <formula1>"N,A,B"</formula1>
    </dataValidation>
    <dataValidation type="list" allowBlank="1" sqref="F17:V17">
      <formula1>"P,F"</formula1>
    </dataValidation>
    <dataValidation type="list" allowBlank="1" sqref="F8:V9 F10:V11 F13:V15">
      <formula1>"O,-"</formula1>
    </dataValidation>
  </dataValidations>
  <pageMargins left="0.7" right="0.7" top="0.75" bottom="0.75" header="0.3" footer="0.3"/>
  <pageSetup paperSize="1" orientation="portrait" useFirstPageNumber="1"/>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957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2624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5</v>
      </c>
      <c r="B5" s="11"/>
      <c r="C5" s="11">
        <v>0</v>
      </c>
      <c r="D5" s="11"/>
      <c r="E5" s="11"/>
      <c r="F5" s="11">
        <v>0</v>
      </c>
      <c r="G5" s="11"/>
      <c r="H5" s="11"/>
      <c r="I5" s="11"/>
      <c r="J5" s="11"/>
      <c r="K5" s="11"/>
      <c r="L5" s="11">
        <v>1</v>
      </c>
      <c r="M5" s="11">
        <v>4</v>
      </c>
      <c r="N5" s="11">
        <v>0</v>
      </c>
      <c r="O5" s="12">
        <v>5</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2625</v>
      </c>
      <c r="E8" s="6" t="s">
        <v>69</v>
      </c>
      <c r="F8" s="11" t="s">
        <v>1032</v>
      </c>
      <c r="G8" s="11" t="s">
        <v>1036</v>
      </c>
      <c r="H8" s="11" t="s">
        <v>1036</v>
      </c>
      <c r="I8" s="11" t="s">
        <v>1036</v>
      </c>
      <c r="J8" s="11" t="s">
        <v>1036</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2626</v>
      </c>
      <c r="E9" s="6" t="s">
        <v>69</v>
      </c>
      <c r="F9" s="11" t="s">
        <v>1036</v>
      </c>
      <c r="G9" s="11" t="s">
        <v>1032</v>
      </c>
      <c r="H9" s="11" t="s">
        <v>1036</v>
      </c>
      <c r="I9" s="11" t="s">
        <v>1036</v>
      </c>
      <c r="J9" s="11" t="s">
        <v>1036</v>
      </c>
      <c r="K9" s="11" t="s">
        <v>69</v>
      </c>
      <c r="L9" s="11" t="s">
        <v>69</v>
      </c>
      <c r="M9" s="11" t="s">
        <v>69</v>
      </c>
      <c r="N9" s="11" t="s">
        <v>69</v>
      </c>
      <c r="O9" s="11" t="s">
        <v>69</v>
      </c>
      <c r="P9" s="11" t="s">
        <v>69</v>
      </c>
      <c r="Q9" s="11" t="s">
        <v>69</v>
      </c>
      <c r="R9" s="11" t="s">
        <v>69</v>
      </c>
      <c r="S9" s="11" t="s">
        <v>69</v>
      </c>
      <c r="T9" s="11" t="s">
        <v>69</v>
      </c>
      <c r="U9" s="11" t="s">
        <v>69</v>
      </c>
      <c r="V9" s="12" t="s">
        <v>69</v>
      </c>
    </row>
    <row r="10" ht="28" customHeight="1" spans="1:22">
      <c r="A10" s="16"/>
      <c r="B10" s="6" t="s">
        <v>69</v>
      </c>
      <c r="C10" s="6" t="s">
        <v>69</v>
      </c>
      <c r="D10" s="18" t="s">
        <v>2627</v>
      </c>
      <c r="E10" s="6" t="s">
        <v>69</v>
      </c>
      <c r="F10" s="11" t="s">
        <v>1036</v>
      </c>
      <c r="G10" s="11" t="s">
        <v>1036</v>
      </c>
      <c r="H10" s="11" t="s">
        <v>1032</v>
      </c>
      <c r="I10" s="11" t="s">
        <v>1036</v>
      </c>
      <c r="J10" s="11" t="s">
        <v>1036</v>
      </c>
      <c r="K10" s="11" t="s">
        <v>69</v>
      </c>
      <c r="L10" s="11" t="s">
        <v>69</v>
      </c>
      <c r="M10" s="11" t="s">
        <v>69</v>
      </c>
      <c r="N10" s="11" t="s">
        <v>69</v>
      </c>
      <c r="O10" s="11" t="s">
        <v>69</v>
      </c>
      <c r="P10" s="11" t="s">
        <v>69</v>
      </c>
      <c r="Q10" s="11" t="s">
        <v>69</v>
      </c>
      <c r="R10" s="11" t="s">
        <v>69</v>
      </c>
      <c r="S10" s="11" t="s">
        <v>69</v>
      </c>
      <c r="T10" s="11" t="s">
        <v>69</v>
      </c>
      <c r="U10" s="11" t="s">
        <v>69</v>
      </c>
      <c r="V10" s="12" t="s">
        <v>69</v>
      </c>
    </row>
    <row r="11" ht="28" customHeight="1" spans="1:22">
      <c r="A11" s="16"/>
      <c r="B11" s="6" t="s">
        <v>69</v>
      </c>
      <c r="C11" s="6" t="s">
        <v>69</v>
      </c>
      <c r="D11" s="18" t="s">
        <v>2628</v>
      </c>
      <c r="E11" s="6" t="s">
        <v>69</v>
      </c>
      <c r="F11" s="11" t="s">
        <v>1036</v>
      </c>
      <c r="G11" s="11" t="s">
        <v>1036</v>
      </c>
      <c r="H11" s="11" t="s">
        <v>1036</v>
      </c>
      <c r="I11" s="11" t="s">
        <v>1032</v>
      </c>
      <c r="J11" s="11" t="s">
        <v>1036</v>
      </c>
      <c r="K11" s="11" t="s">
        <v>69</v>
      </c>
      <c r="L11" s="11" t="s">
        <v>69</v>
      </c>
      <c r="M11" s="11" t="s">
        <v>69</v>
      </c>
      <c r="N11" s="11" t="s">
        <v>69</v>
      </c>
      <c r="O11" s="11" t="s">
        <v>69</v>
      </c>
      <c r="P11" s="11" t="s">
        <v>69</v>
      </c>
      <c r="Q11" s="11" t="s">
        <v>69</v>
      </c>
      <c r="R11" s="11" t="s">
        <v>69</v>
      </c>
      <c r="S11" s="11" t="s">
        <v>69</v>
      </c>
      <c r="T11" s="11" t="s">
        <v>69</v>
      </c>
      <c r="U11" s="11" t="s">
        <v>69</v>
      </c>
      <c r="V11" s="12" t="s">
        <v>69</v>
      </c>
    </row>
    <row r="12" ht="78" customHeight="1" spans="1:22">
      <c r="A12" s="16"/>
      <c r="B12" s="6" t="s">
        <v>69</v>
      </c>
      <c r="C12" s="6" t="s">
        <v>69</v>
      </c>
      <c r="D12" s="18" t="s">
        <v>2629</v>
      </c>
      <c r="E12" s="6" t="s">
        <v>69</v>
      </c>
      <c r="F12" s="11" t="s">
        <v>1036</v>
      </c>
      <c r="G12" s="11" t="s">
        <v>1036</v>
      </c>
      <c r="H12" s="11" t="s">
        <v>1036</v>
      </c>
      <c r="I12" s="11" t="s">
        <v>1036</v>
      </c>
      <c r="J12" s="11" t="s">
        <v>1032</v>
      </c>
      <c r="K12" s="11" t="s">
        <v>69</v>
      </c>
      <c r="L12" s="11" t="s">
        <v>69</v>
      </c>
      <c r="M12" s="11" t="s">
        <v>69</v>
      </c>
      <c r="N12" s="11" t="s">
        <v>69</v>
      </c>
      <c r="O12" s="11" t="s">
        <v>69</v>
      </c>
      <c r="P12" s="11" t="s">
        <v>69</v>
      </c>
      <c r="Q12" s="11" t="s">
        <v>69</v>
      </c>
      <c r="R12" s="11" t="s">
        <v>69</v>
      </c>
      <c r="S12" s="11" t="s">
        <v>69</v>
      </c>
      <c r="T12" s="11" t="s">
        <v>69</v>
      </c>
      <c r="U12" s="11" t="s">
        <v>69</v>
      </c>
      <c r="V12" s="12" t="s">
        <v>69</v>
      </c>
    </row>
    <row r="13" ht="15.5" customHeight="1" spans="1:22">
      <c r="A13" s="16" t="s">
        <v>1039</v>
      </c>
      <c r="B13" s="17" t="s">
        <v>1040</v>
      </c>
      <c r="C13" s="6" t="s">
        <v>69</v>
      </c>
      <c r="D13" s="6" t="s">
        <v>69</v>
      </c>
      <c r="E13" s="6" t="s">
        <v>69</v>
      </c>
      <c r="F13" s="6" t="s">
        <v>69</v>
      </c>
      <c r="G13" s="6" t="s">
        <v>69</v>
      </c>
      <c r="H13" s="6" t="s">
        <v>69</v>
      </c>
      <c r="I13" s="6" t="s">
        <v>69</v>
      </c>
      <c r="J13" s="6" t="s">
        <v>69</v>
      </c>
      <c r="K13" s="6" t="s">
        <v>69</v>
      </c>
      <c r="L13" s="6" t="s">
        <v>69</v>
      </c>
      <c r="M13" s="6" t="s">
        <v>69</v>
      </c>
      <c r="N13" s="6" t="s">
        <v>69</v>
      </c>
      <c r="O13" s="6" t="s">
        <v>69</v>
      </c>
      <c r="P13" s="6" t="s">
        <v>69</v>
      </c>
      <c r="Q13" s="6" t="s">
        <v>69</v>
      </c>
      <c r="R13" s="6" t="s">
        <v>69</v>
      </c>
      <c r="S13" s="6" t="s">
        <v>69</v>
      </c>
      <c r="T13" s="6" t="s">
        <v>69</v>
      </c>
      <c r="U13" s="6" t="s">
        <v>69</v>
      </c>
      <c r="V13" s="8" t="s">
        <v>69</v>
      </c>
    </row>
    <row r="14" ht="28" customHeight="1" spans="1:22">
      <c r="A14" s="16"/>
      <c r="B14" s="6" t="s">
        <v>69</v>
      </c>
      <c r="C14" s="6" t="s">
        <v>69</v>
      </c>
      <c r="D14" s="18" t="s">
        <v>2630</v>
      </c>
      <c r="E14" s="6" t="s">
        <v>69</v>
      </c>
      <c r="F14" s="11" t="s">
        <v>1032</v>
      </c>
      <c r="G14" s="11" t="s">
        <v>1036</v>
      </c>
      <c r="H14" s="11" t="s">
        <v>1036</v>
      </c>
      <c r="I14" s="11" t="s">
        <v>1036</v>
      </c>
      <c r="J14" s="11" t="s">
        <v>1036</v>
      </c>
      <c r="K14" s="11" t="s">
        <v>69</v>
      </c>
      <c r="L14" s="11" t="s">
        <v>69</v>
      </c>
      <c r="M14" s="11" t="s">
        <v>69</v>
      </c>
      <c r="N14" s="11" t="s">
        <v>69</v>
      </c>
      <c r="O14" s="11" t="s">
        <v>69</v>
      </c>
      <c r="P14" s="11" t="s">
        <v>69</v>
      </c>
      <c r="Q14" s="11" t="s">
        <v>69</v>
      </c>
      <c r="R14" s="11" t="s">
        <v>69</v>
      </c>
      <c r="S14" s="11" t="s">
        <v>69</v>
      </c>
      <c r="T14" s="11" t="s">
        <v>69</v>
      </c>
      <c r="U14" s="11" t="s">
        <v>69</v>
      </c>
      <c r="V14" s="12" t="s">
        <v>69</v>
      </c>
    </row>
    <row r="15" ht="28" customHeight="1" spans="1:22">
      <c r="A15" s="16"/>
      <c r="B15" s="6" t="s">
        <v>69</v>
      </c>
      <c r="C15" s="6" t="s">
        <v>69</v>
      </c>
      <c r="D15" s="18" t="s">
        <v>2631</v>
      </c>
      <c r="E15" s="6" t="s">
        <v>69</v>
      </c>
      <c r="F15" s="11" t="s">
        <v>1036</v>
      </c>
      <c r="G15" s="11" t="s">
        <v>1032</v>
      </c>
      <c r="H15" s="11" t="s">
        <v>1036</v>
      </c>
      <c r="I15" s="11" t="s">
        <v>1036</v>
      </c>
      <c r="J15" s="11" t="s">
        <v>1036</v>
      </c>
      <c r="K15" s="11" t="s">
        <v>69</v>
      </c>
      <c r="L15" s="11" t="s">
        <v>69</v>
      </c>
      <c r="M15" s="11" t="s">
        <v>69</v>
      </c>
      <c r="N15" s="11" t="s">
        <v>69</v>
      </c>
      <c r="O15" s="11" t="s">
        <v>69</v>
      </c>
      <c r="P15" s="11" t="s">
        <v>69</v>
      </c>
      <c r="Q15" s="11" t="s">
        <v>69</v>
      </c>
      <c r="R15" s="11" t="s">
        <v>69</v>
      </c>
      <c r="S15" s="11" t="s">
        <v>69</v>
      </c>
      <c r="T15" s="11" t="s">
        <v>69</v>
      </c>
      <c r="U15" s="11" t="s">
        <v>69</v>
      </c>
      <c r="V15" s="12" t="s">
        <v>69</v>
      </c>
    </row>
    <row r="16" ht="40.5" customHeight="1" spans="1:22">
      <c r="A16" s="16"/>
      <c r="B16" s="6" t="s">
        <v>69</v>
      </c>
      <c r="C16" s="6" t="s">
        <v>69</v>
      </c>
      <c r="D16" s="18" t="s">
        <v>2632</v>
      </c>
      <c r="E16" s="6" t="s">
        <v>69</v>
      </c>
      <c r="F16" s="11" t="s">
        <v>1036</v>
      </c>
      <c r="G16" s="11" t="s">
        <v>1036</v>
      </c>
      <c r="H16" s="11" t="s">
        <v>1032</v>
      </c>
      <c r="I16" s="11" t="s">
        <v>1032</v>
      </c>
      <c r="J16" s="11" t="s">
        <v>1036</v>
      </c>
      <c r="K16" s="11" t="s">
        <v>69</v>
      </c>
      <c r="L16" s="11" t="s">
        <v>69</v>
      </c>
      <c r="M16" s="11" t="s">
        <v>69</v>
      </c>
      <c r="N16" s="11" t="s">
        <v>69</v>
      </c>
      <c r="O16" s="11" t="s">
        <v>69</v>
      </c>
      <c r="P16" s="11" t="s">
        <v>69</v>
      </c>
      <c r="Q16" s="11" t="s">
        <v>69</v>
      </c>
      <c r="R16" s="11" t="s">
        <v>69</v>
      </c>
      <c r="S16" s="11" t="s">
        <v>69</v>
      </c>
      <c r="T16" s="11" t="s">
        <v>69</v>
      </c>
      <c r="U16" s="11" t="s">
        <v>69</v>
      </c>
      <c r="V16" s="12" t="s">
        <v>69</v>
      </c>
    </row>
    <row r="17" ht="78" customHeight="1" spans="1:22">
      <c r="A17" s="16"/>
      <c r="B17" s="6" t="s">
        <v>69</v>
      </c>
      <c r="C17" s="6" t="s">
        <v>69</v>
      </c>
      <c r="D17" s="18" t="s">
        <v>2633</v>
      </c>
      <c r="E17" s="6" t="s">
        <v>69</v>
      </c>
      <c r="F17" s="11" t="s">
        <v>1036</v>
      </c>
      <c r="G17" s="11" t="s">
        <v>1036</v>
      </c>
      <c r="H17" s="11" t="s">
        <v>1036</v>
      </c>
      <c r="I17" s="11" t="s">
        <v>1036</v>
      </c>
      <c r="J17" s="11" t="s">
        <v>1032</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1008</v>
      </c>
      <c r="G18" s="11" t="s">
        <v>63</v>
      </c>
      <c r="H18" s="11" t="s">
        <v>63</v>
      </c>
      <c r="I18" s="11" t="s">
        <v>63</v>
      </c>
      <c r="J18" s="11" t="s">
        <v>63</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1051</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2"/>
    <mergeCell ref="A13:A17"/>
    <mergeCell ref="A18:A21"/>
  </mergeCells>
  <dataValidations count="3">
    <dataValidation type="list" allowBlank="1" sqref="F18:V18">
      <formula1>"N,A,B"</formula1>
    </dataValidation>
    <dataValidation type="list" allowBlank="1" sqref="F19:V19">
      <formula1>"P,F"</formula1>
    </dataValidation>
    <dataValidation type="list" allowBlank="1" sqref="F10:V12 F14:V17 F8:V9">
      <formula1>"O,-"</formula1>
    </dataValidation>
  </dataValidations>
  <pageMargins left="0.7" right="0.7" top="0.75" bottom="0.75" header="0.3" footer="0.3"/>
  <pageSetup paperSize="1" orientation="portrait" useFirstPageNumber="1"/>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961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2634</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2</v>
      </c>
      <c r="M5" s="11">
        <v>1</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2635</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2636</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2637</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65.5" customHeight="1" spans="1:22">
      <c r="A11" s="16"/>
      <c r="B11" s="6" t="s">
        <v>69</v>
      </c>
      <c r="C11" s="6" t="s">
        <v>69</v>
      </c>
      <c r="D11" s="18" t="s">
        <v>2638</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53" customHeight="1" spans="1:22">
      <c r="A13" s="16"/>
      <c r="B13" s="6" t="s">
        <v>69</v>
      </c>
      <c r="C13" s="6" t="s">
        <v>69</v>
      </c>
      <c r="D13" s="18" t="s">
        <v>2639</v>
      </c>
      <c r="E13" s="6" t="s">
        <v>69</v>
      </c>
      <c r="F13" s="11" t="s">
        <v>1032</v>
      </c>
      <c r="G13" s="11" t="s">
        <v>1036</v>
      </c>
      <c r="H13" s="11" t="s">
        <v>1036</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53" customHeight="1" spans="1:22">
      <c r="A14" s="16"/>
      <c r="B14" s="6" t="s">
        <v>69</v>
      </c>
      <c r="C14" s="6" t="s">
        <v>69</v>
      </c>
      <c r="D14" s="18" t="s">
        <v>2640</v>
      </c>
      <c r="E14" s="6" t="s">
        <v>69</v>
      </c>
      <c r="F14" s="11" t="s">
        <v>1036</v>
      </c>
      <c r="G14" s="11" t="s">
        <v>1032</v>
      </c>
      <c r="H14" s="11" t="s">
        <v>1036</v>
      </c>
      <c r="I14" s="11" t="s">
        <v>1036</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53" customHeight="1" spans="1:22">
      <c r="A15" s="16"/>
      <c r="B15" s="6" t="s">
        <v>69</v>
      </c>
      <c r="C15" s="6" t="s">
        <v>69</v>
      </c>
      <c r="D15" s="18" t="s">
        <v>2641</v>
      </c>
      <c r="E15" s="6" t="s">
        <v>69</v>
      </c>
      <c r="F15" s="11" t="s">
        <v>1036</v>
      </c>
      <c r="G15" s="11" t="s">
        <v>1036</v>
      </c>
      <c r="H15" s="11" t="s">
        <v>1032</v>
      </c>
      <c r="I15" s="11" t="s">
        <v>1036</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5.5" customHeight="1" spans="1:22">
      <c r="A16" s="16"/>
      <c r="B16" s="17" t="s">
        <v>1064</v>
      </c>
      <c r="C16" s="6" t="s">
        <v>69</v>
      </c>
      <c r="D16" s="6" t="s">
        <v>69</v>
      </c>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90.5" customHeight="1" spans="1:22">
      <c r="A17" s="16"/>
      <c r="B17" s="6" t="s">
        <v>69</v>
      </c>
      <c r="C17" s="6" t="s">
        <v>69</v>
      </c>
      <c r="D17" s="18" t="s">
        <v>2642</v>
      </c>
      <c r="E17" s="6" t="s">
        <v>69</v>
      </c>
      <c r="F17" s="11" t="s">
        <v>1036</v>
      </c>
      <c r="G17" s="11" t="s">
        <v>1036</v>
      </c>
      <c r="H17" s="11" t="s">
        <v>1036</v>
      </c>
      <c r="I17" s="11" t="s">
        <v>1032</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t="s">
        <v>1048</v>
      </c>
      <c r="B18" s="20" t="s">
        <v>1049</v>
      </c>
      <c r="C18" s="20"/>
      <c r="D18" s="20"/>
      <c r="E18" s="6" t="s">
        <v>69</v>
      </c>
      <c r="F18" s="11" t="s">
        <v>1008</v>
      </c>
      <c r="G18" s="11" t="s">
        <v>1008</v>
      </c>
      <c r="H18" s="11" t="s">
        <v>63</v>
      </c>
      <c r="I18" s="11" t="s">
        <v>1009</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1050</v>
      </c>
      <c r="C19" s="20"/>
      <c r="D19" s="20"/>
      <c r="E19" s="6" t="s">
        <v>69</v>
      </c>
      <c r="F19" s="11" t="s">
        <v>1051</v>
      </c>
      <c r="G19" s="11" t="s">
        <v>1051</v>
      </c>
      <c r="H19" s="11" t="s">
        <v>1051</v>
      </c>
      <c r="I19" s="11" t="s">
        <v>1051</v>
      </c>
      <c r="J19" s="11" t="s">
        <v>69</v>
      </c>
      <c r="K19" s="11" t="s">
        <v>69</v>
      </c>
      <c r="L19" s="11" t="s">
        <v>69</v>
      </c>
      <c r="M19" s="11" t="s">
        <v>69</v>
      </c>
      <c r="N19" s="11" t="s">
        <v>69</v>
      </c>
      <c r="O19" s="11" t="s">
        <v>69</v>
      </c>
      <c r="P19" s="11" t="s">
        <v>69</v>
      </c>
      <c r="Q19" s="11" t="s">
        <v>69</v>
      </c>
      <c r="R19" s="11" t="s">
        <v>69</v>
      </c>
      <c r="S19" s="11" t="s">
        <v>69</v>
      </c>
      <c r="T19" s="11" t="s">
        <v>69</v>
      </c>
      <c r="U19" s="11" t="s">
        <v>69</v>
      </c>
      <c r="V19" s="12" t="s">
        <v>69</v>
      </c>
    </row>
    <row r="20" ht="18" customHeight="1" spans="1:22">
      <c r="A20" s="19"/>
      <c r="B20" s="20" t="s">
        <v>1052</v>
      </c>
      <c r="C20" s="20"/>
      <c r="D20" s="20"/>
      <c r="E20" s="6" t="s">
        <v>69</v>
      </c>
      <c r="F20" s="6" t="s">
        <v>69</v>
      </c>
      <c r="G20" s="6" t="s">
        <v>69</v>
      </c>
      <c r="H20" s="6" t="s">
        <v>69</v>
      </c>
      <c r="I20" s="6" t="s">
        <v>69</v>
      </c>
      <c r="J20" s="6" t="s">
        <v>69</v>
      </c>
      <c r="K20" s="6" t="s">
        <v>69</v>
      </c>
      <c r="L20" s="6" t="s">
        <v>69</v>
      </c>
      <c r="M20" s="6" t="s">
        <v>69</v>
      </c>
      <c r="N20" s="6" t="s">
        <v>69</v>
      </c>
      <c r="O20" s="6" t="s">
        <v>69</v>
      </c>
      <c r="P20" s="6" t="s">
        <v>69</v>
      </c>
      <c r="Q20" s="6" t="s">
        <v>69</v>
      </c>
      <c r="R20" s="6" t="s">
        <v>69</v>
      </c>
      <c r="S20" s="6" t="s">
        <v>69</v>
      </c>
      <c r="T20" s="6" t="s">
        <v>69</v>
      </c>
      <c r="U20" s="6" t="s">
        <v>69</v>
      </c>
      <c r="V20" s="8" t="s">
        <v>69</v>
      </c>
    </row>
    <row r="21" ht="18" customHeight="1" spans="1:22">
      <c r="A21" s="19"/>
      <c r="B21" s="21" t="s">
        <v>1053</v>
      </c>
      <c r="C21" s="21"/>
      <c r="D21" s="21"/>
      <c r="E21" s="22" t="s">
        <v>69</v>
      </c>
      <c r="F21" s="22" t="s">
        <v>69</v>
      </c>
      <c r="G21" s="22" t="s">
        <v>69</v>
      </c>
      <c r="H21" s="22" t="s">
        <v>69</v>
      </c>
      <c r="I21" s="22" t="s">
        <v>69</v>
      </c>
      <c r="J21" s="22" t="s">
        <v>69</v>
      </c>
      <c r="K21" s="22" t="s">
        <v>69</v>
      </c>
      <c r="L21" s="22" t="s">
        <v>69</v>
      </c>
      <c r="M21" s="22" t="s">
        <v>69</v>
      </c>
      <c r="N21" s="22" t="s">
        <v>69</v>
      </c>
      <c r="O21" s="22" t="s">
        <v>69</v>
      </c>
      <c r="P21" s="22" t="s">
        <v>69</v>
      </c>
      <c r="Q21" s="22" t="s">
        <v>69</v>
      </c>
      <c r="R21" s="22" t="s">
        <v>69</v>
      </c>
      <c r="S21" s="22" t="s">
        <v>69</v>
      </c>
      <c r="T21" s="22" t="s">
        <v>69</v>
      </c>
      <c r="U21" s="22" t="s">
        <v>69</v>
      </c>
      <c r="V21"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8:D18"/>
    <mergeCell ref="B19:D19"/>
    <mergeCell ref="B20:D20"/>
    <mergeCell ref="B21:D21"/>
    <mergeCell ref="A7:A11"/>
    <mergeCell ref="A12:A17"/>
    <mergeCell ref="A18:A21"/>
  </mergeCells>
  <dataValidations count="3">
    <dataValidation type="list" allowBlank="1" sqref="F17:V17 F8:V9 F10:V11 F13:V15">
      <formula1>"O,-"</formula1>
    </dataValidation>
    <dataValidation type="list" allowBlank="1" sqref="F18:V18">
      <formula1>"N,A,B"</formula1>
    </dataValidation>
    <dataValidation type="list" allowBlank="1" sqref="F19:V19">
      <formula1>"P,F"</formula1>
    </dataValidation>
  </dataValidations>
  <pageMargins left="0.7" right="0.7" top="0.75" bottom="0.75" header="0.3" footer="0.3"/>
  <pageSetup paperSize="1" orientation="portrait" useFirstPageNumber="1"/>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966</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2643</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2644</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2645</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53" customHeight="1" spans="1:22">
      <c r="A9" s="16"/>
      <c r="B9" s="6" t="s">
        <v>69</v>
      </c>
      <c r="C9" s="6" t="s">
        <v>69</v>
      </c>
      <c r="D9" s="18" t="s">
        <v>2646</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78" customHeight="1" spans="1:22">
      <c r="A10" s="16"/>
      <c r="B10" s="6" t="s">
        <v>69</v>
      </c>
      <c r="C10" s="6" t="s">
        <v>69</v>
      </c>
      <c r="D10" s="18" t="s">
        <v>2647</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2648</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78" customHeight="1" spans="1:22">
      <c r="A13" s="16"/>
      <c r="B13" s="6" t="s">
        <v>69</v>
      </c>
      <c r="C13" s="6" t="s">
        <v>69</v>
      </c>
      <c r="D13" s="18" t="s">
        <v>2649</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5.5" customHeight="1" spans="1:22">
      <c r="A14" s="16"/>
      <c r="B14" s="17" t="s">
        <v>1064</v>
      </c>
      <c r="C14" s="6" t="s">
        <v>69</v>
      </c>
      <c r="D14" s="6" t="s">
        <v>69</v>
      </c>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03" customHeight="1" spans="1:22">
      <c r="A15" s="16"/>
      <c r="B15" s="6" t="s">
        <v>69</v>
      </c>
      <c r="C15" s="6" t="s">
        <v>69</v>
      </c>
      <c r="D15" s="18" t="s">
        <v>2650</v>
      </c>
      <c r="E15" s="6" t="s">
        <v>69</v>
      </c>
      <c r="F15" s="11" t="s">
        <v>1036</v>
      </c>
      <c r="G15" s="11" t="s">
        <v>1032</v>
      </c>
      <c r="H15" s="11" t="s">
        <v>1032</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t="s">
        <v>1048</v>
      </c>
      <c r="B16" s="20" t="s">
        <v>1049</v>
      </c>
      <c r="C16" s="20"/>
      <c r="D16" s="20"/>
      <c r="E16" s="6" t="s">
        <v>69</v>
      </c>
      <c r="F16" s="11" t="s">
        <v>1008</v>
      </c>
      <c r="G16" s="11" t="s">
        <v>63</v>
      </c>
      <c r="H16" s="11" t="s">
        <v>63</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1050</v>
      </c>
      <c r="C17" s="20"/>
      <c r="D17" s="20"/>
      <c r="E17" s="6" t="s">
        <v>69</v>
      </c>
      <c r="F17" s="11" t="s">
        <v>1051</v>
      </c>
      <c r="G17" s="11" t="s">
        <v>1051</v>
      </c>
      <c r="H17" s="11" t="s">
        <v>1051</v>
      </c>
      <c r="I17" s="11" t="s">
        <v>69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1052</v>
      </c>
      <c r="C18" s="20"/>
      <c r="D18" s="20"/>
      <c r="E18" s="6" t="s">
        <v>69</v>
      </c>
      <c r="F18" s="6" t="s">
        <v>69</v>
      </c>
      <c r="G18" s="6" t="s">
        <v>69</v>
      </c>
      <c r="H18" s="6" t="s">
        <v>69</v>
      </c>
      <c r="I18" s="6" t="s">
        <v>69</v>
      </c>
      <c r="J18" s="6" t="s">
        <v>69</v>
      </c>
      <c r="K18" s="6" t="s">
        <v>69</v>
      </c>
      <c r="L18" s="6" t="s">
        <v>69</v>
      </c>
      <c r="M18" s="6" t="s">
        <v>69</v>
      </c>
      <c r="N18" s="6" t="s">
        <v>69</v>
      </c>
      <c r="O18" s="6" t="s">
        <v>69</v>
      </c>
      <c r="P18" s="6" t="s">
        <v>69</v>
      </c>
      <c r="Q18" s="6" t="s">
        <v>69</v>
      </c>
      <c r="R18" s="6" t="s">
        <v>69</v>
      </c>
      <c r="S18" s="6" t="s">
        <v>69</v>
      </c>
      <c r="T18" s="6" t="s">
        <v>69</v>
      </c>
      <c r="U18" s="6" t="s">
        <v>69</v>
      </c>
      <c r="V18" s="8" t="s">
        <v>69</v>
      </c>
    </row>
    <row r="19" ht="18" customHeight="1" spans="1:22">
      <c r="A19" s="19"/>
      <c r="B19" s="21" t="s">
        <v>1053</v>
      </c>
      <c r="C19" s="21"/>
      <c r="D19" s="21"/>
      <c r="E19" s="22" t="s">
        <v>69</v>
      </c>
      <c r="F19" s="22" t="s">
        <v>69</v>
      </c>
      <c r="G19" s="22" t="s">
        <v>69</v>
      </c>
      <c r="H19" s="22" t="s">
        <v>69</v>
      </c>
      <c r="I19" s="22" t="s">
        <v>69</v>
      </c>
      <c r="J19" s="22" t="s">
        <v>69</v>
      </c>
      <c r="K19" s="22" t="s">
        <v>69</v>
      </c>
      <c r="L19" s="22" t="s">
        <v>69</v>
      </c>
      <c r="M19" s="22" t="s">
        <v>69</v>
      </c>
      <c r="N19" s="22" t="s">
        <v>69</v>
      </c>
      <c r="O19" s="22" t="s">
        <v>69</v>
      </c>
      <c r="P19" s="22" t="s">
        <v>69</v>
      </c>
      <c r="Q19" s="22" t="s">
        <v>69</v>
      </c>
      <c r="R19" s="22" t="s">
        <v>69</v>
      </c>
      <c r="S19" s="22" t="s">
        <v>69</v>
      </c>
      <c r="T19" s="22" t="s">
        <v>69</v>
      </c>
      <c r="U19" s="22" t="s">
        <v>69</v>
      </c>
      <c r="V19"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6:D16"/>
    <mergeCell ref="B17:D17"/>
    <mergeCell ref="B18:D18"/>
    <mergeCell ref="B19:D19"/>
    <mergeCell ref="A7:A10"/>
    <mergeCell ref="A11:A15"/>
    <mergeCell ref="A16:A19"/>
  </mergeCells>
  <dataValidations count="3">
    <dataValidation type="list" allowBlank="1" sqref="F10:V10 F15:V15 F8:V9 F12:V13">
      <formula1>"O,-"</formula1>
    </dataValidation>
    <dataValidation type="list" allowBlank="1" sqref="F16:V16">
      <formula1>"N,A,B"</formula1>
    </dataValidation>
    <dataValidation type="list" allowBlank="1" sqref="F17:V17">
      <formula1>"P,F"</formula1>
    </dataValidation>
  </dataValidations>
  <pageMargins left="0.7" right="0.7" top="0.75" bottom="0.75" header="0.3" footer="0.3"/>
  <pageSetup paperSize="1" orientation="portrait" useFirstPageNumber="1"/>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7"/>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971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28" customHeight="1" spans="1:22">
      <c r="A3" s="5" t="s">
        <v>1023</v>
      </c>
      <c r="B3" s="8" t="s">
        <v>2651</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1</v>
      </c>
      <c r="M5" s="11">
        <v>2</v>
      </c>
      <c r="N5" s="11">
        <v>0</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2652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2653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90.5" customHeight="1" spans="1:22">
      <c r="A10" s="16"/>
      <c r="B10" s="6" t="s">
        <v>69</v>
      </c>
      <c r="C10" s="6" t="s">
        <v>69</v>
      </c>
      <c r="D10" s="18" t="s">
        <v>2654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53" customHeight="1" spans="1:22">
      <c r="A12" s="16"/>
      <c r="B12" s="6" t="s">
        <v>69</v>
      </c>
      <c r="C12" s="6" t="s">
        <v>69</v>
      </c>
      <c r="D12" s="18" t="s">
        <v>2655</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03" customHeight="1" spans="1:22">
      <c r="A13" s="16"/>
      <c r="B13" s="6" t="s">
        <v>69</v>
      </c>
      <c r="C13" s="6" t="s">
        <v>69</v>
      </c>
      <c r="D13" s="18" t="s">
        <v>2656</v>
      </c>
      <c r="E13" s="6" t="s">
        <v>69</v>
      </c>
      <c r="F13" s="11" t="s">
        <v>1036</v>
      </c>
      <c r="G13" s="11" t="s">
        <v>1032</v>
      </c>
      <c r="H13" s="11" t="s">
        <v>1032</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t="s">
        <v>1048</v>
      </c>
      <c r="B14" s="20" t="s">
        <v>1049</v>
      </c>
      <c r="C14" s="20"/>
      <c r="D14" s="20"/>
      <c r="E14" s="6" t="s">
        <v>69</v>
      </c>
      <c r="F14" s="11" t="s">
        <v>1008</v>
      </c>
      <c r="G14" s="11" t="s">
        <v>63</v>
      </c>
      <c r="H14" s="11" t="s">
        <v>63</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1050</v>
      </c>
      <c r="C15" s="20"/>
      <c r="D15" s="20"/>
      <c r="E15" s="6" t="s">
        <v>69</v>
      </c>
      <c r="F15" s="11" t="s">
        <v>1051</v>
      </c>
      <c r="G15" s="11" t="s">
        <v>1051</v>
      </c>
      <c r="H15" s="11" t="s">
        <v>1051</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1052</v>
      </c>
      <c r="C16" s="20"/>
      <c r="D16" s="20"/>
      <c r="E16" s="6" t="s">
        <v>69</v>
      </c>
      <c r="F16" s="6" t="s">
        <v>69</v>
      </c>
      <c r="G16" s="6" t="s">
        <v>69</v>
      </c>
      <c r="H16" s="6" t="s">
        <v>69</v>
      </c>
      <c r="I16" s="6" t="s">
        <v>69</v>
      </c>
      <c r="J16" s="6" t="s">
        <v>69</v>
      </c>
      <c r="K16" s="6" t="s">
        <v>69</v>
      </c>
      <c r="L16" s="6" t="s">
        <v>69</v>
      </c>
      <c r="M16" s="6" t="s">
        <v>69</v>
      </c>
      <c r="N16" s="6" t="s">
        <v>69</v>
      </c>
      <c r="O16" s="6" t="s">
        <v>69</v>
      </c>
      <c r="P16" s="6" t="s">
        <v>69</v>
      </c>
      <c r="Q16" s="6" t="s">
        <v>69</v>
      </c>
      <c r="R16" s="6" t="s">
        <v>69</v>
      </c>
      <c r="S16" s="6" t="s">
        <v>69</v>
      </c>
      <c r="T16" s="6" t="s">
        <v>69</v>
      </c>
      <c r="U16" s="6" t="s">
        <v>69</v>
      </c>
      <c r="V16" s="8" t="s">
        <v>69</v>
      </c>
    </row>
    <row r="17" ht="18" customHeight="1" spans="1:22">
      <c r="A17" s="19"/>
      <c r="B17" s="21" t="s">
        <v>1053</v>
      </c>
      <c r="C17" s="21"/>
      <c r="D17" s="21"/>
      <c r="E17" s="22" t="s">
        <v>69</v>
      </c>
      <c r="F17" s="22" t="s">
        <v>69</v>
      </c>
      <c r="G17" s="22" t="s">
        <v>69</v>
      </c>
      <c r="H17" s="22" t="s">
        <v>69</v>
      </c>
      <c r="I17" s="22" t="s">
        <v>69</v>
      </c>
      <c r="J17" s="22" t="s">
        <v>69</v>
      </c>
      <c r="K17" s="22" t="s">
        <v>69</v>
      </c>
      <c r="L17" s="22" t="s">
        <v>69</v>
      </c>
      <c r="M17" s="22" t="s">
        <v>69</v>
      </c>
      <c r="N17" s="22" t="s">
        <v>69</v>
      </c>
      <c r="O17" s="22" t="s">
        <v>69</v>
      </c>
      <c r="P17" s="22" t="s">
        <v>69</v>
      </c>
      <c r="Q17" s="22" t="s">
        <v>69</v>
      </c>
      <c r="R17" s="22" t="s">
        <v>69</v>
      </c>
      <c r="S17" s="22" t="s">
        <v>69</v>
      </c>
      <c r="T17" s="22" t="s">
        <v>69</v>
      </c>
      <c r="U17" s="22" t="s">
        <v>69</v>
      </c>
      <c r="V17"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4:D14"/>
    <mergeCell ref="B15:D15"/>
    <mergeCell ref="B16:D16"/>
    <mergeCell ref="B17:D17"/>
    <mergeCell ref="A7:A10"/>
    <mergeCell ref="A11:A13"/>
    <mergeCell ref="A14:A17"/>
  </mergeCells>
  <dataValidations count="3">
    <dataValidation type="list" allowBlank="1" sqref="F10:V10 F8:V9 F12:V13">
      <formula1>"O,-"</formula1>
    </dataValidation>
    <dataValidation type="list" allowBlank="1" sqref="F14:V14">
      <formula1>"N,A,B"</formula1>
    </dataValidation>
    <dataValidation type="list" allowBlank="1" sqref="F15:V15">
      <formula1>"P,F"</formula1>
    </dataValidation>
  </dataValidations>
  <pageMargins left="0.7" right="0.7" top="0.75" bottom="0.75" header="0.3" footer="0.3"/>
  <pageSetup paperSize="1" orientation="portrait" useFirstPageNumber="1"/>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0"/>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975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2657</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4</v>
      </c>
      <c r="B5" s="11"/>
      <c r="C5" s="11">
        <v>0</v>
      </c>
      <c r="D5" s="11"/>
      <c r="E5" s="11"/>
      <c r="F5" s="11">
        <v>0</v>
      </c>
      <c r="G5" s="11"/>
      <c r="H5" s="11"/>
      <c r="I5" s="11"/>
      <c r="J5" s="11"/>
      <c r="K5" s="11"/>
      <c r="L5" s="11">
        <v>3</v>
      </c>
      <c r="M5" s="11">
        <v>0</v>
      </c>
      <c r="N5" s="11">
        <v>1</v>
      </c>
      <c r="O5" s="12">
        <v>4</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2549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2658</v>
      </c>
      <c r="E8" s="6" t="s">
        <v>69</v>
      </c>
      <c r="F8" s="11" t="s">
        <v>1032</v>
      </c>
      <c r="G8" s="11" t="s">
        <v>1036</v>
      </c>
      <c r="H8" s="11" t="s">
        <v>1036</v>
      </c>
      <c r="I8" s="11" t="s">
        <v>1036</v>
      </c>
      <c r="J8" s="11" t="s">
        <v>69</v>
      </c>
      <c r="K8" s="11" t="s">
        <v>69</v>
      </c>
      <c r="L8" s="11" t="s">
        <v>69</v>
      </c>
      <c r="M8" s="11" t="s">
        <v>69</v>
      </c>
      <c r="N8" s="11" t="s">
        <v>69</v>
      </c>
      <c r="O8" s="11" t="s">
        <v>69</v>
      </c>
      <c r="P8" s="11" t="s">
        <v>69</v>
      </c>
      <c r="Q8" s="11" t="s">
        <v>69</v>
      </c>
      <c r="R8" s="11" t="s">
        <v>69</v>
      </c>
      <c r="S8" s="11" t="s">
        <v>69</v>
      </c>
      <c r="T8" s="11" t="s">
        <v>69</v>
      </c>
      <c r="U8" s="11" t="s">
        <v>69</v>
      </c>
      <c r="V8" s="12" t="s">
        <v>69</v>
      </c>
    </row>
    <row r="9" ht="28" customHeight="1" spans="1:22">
      <c r="A9" s="16"/>
      <c r="B9" s="6" t="s">
        <v>69</v>
      </c>
      <c r="C9" s="6" t="s">
        <v>69</v>
      </c>
      <c r="D9" s="18" t="s">
        <v>2659</v>
      </c>
      <c r="E9" s="6" t="s">
        <v>69</v>
      </c>
      <c r="F9" s="11" t="s">
        <v>1036</v>
      </c>
      <c r="G9" s="11" t="s">
        <v>1032</v>
      </c>
      <c r="H9" s="11" t="s">
        <v>1036</v>
      </c>
      <c r="I9" s="11" t="s">
        <v>1036</v>
      </c>
      <c r="J9" s="11" t="s">
        <v>69</v>
      </c>
      <c r="K9" s="11" t="s">
        <v>69</v>
      </c>
      <c r="L9" s="11" t="s">
        <v>69</v>
      </c>
      <c r="M9" s="11" t="s">
        <v>69</v>
      </c>
      <c r="N9" s="11" t="s">
        <v>69</v>
      </c>
      <c r="O9" s="11" t="s">
        <v>69</v>
      </c>
      <c r="P9" s="11" t="s">
        <v>69</v>
      </c>
      <c r="Q9" s="11" t="s">
        <v>69</v>
      </c>
      <c r="R9" s="11" t="s">
        <v>69</v>
      </c>
      <c r="S9" s="11" t="s">
        <v>69</v>
      </c>
      <c r="T9" s="11" t="s">
        <v>69</v>
      </c>
      <c r="U9" s="11" t="s">
        <v>69</v>
      </c>
      <c r="V9" s="12" t="s">
        <v>69</v>
      </c>
    </row>
    <row r="10" ht="40.5" customHeight="1" spans="1:22">
      <c r="A10" s="16"/>
      <c r="B10" s="6" t="s">
        <v>69</v>
      </c>
      <c r="C10" s="6" t="s">
        <v>69</v>
      </c>
      <c r="D10" s="18" t="s">
        <v>2660</v>
      </c>
      <c r="E10" s="6" t="s">
        <v>69</v>
      </c>
      <c r="F10" s="11" t="s">
        <v>1036</v>
      </c>
      <c r="G10" s="11" t="s">
        <v>1036</v>
      </c>
      <c r="H10" s="11" t="s">
        <v>1032</v>
      </c>
      <c r="I10" s="11" t="s">
        <v>1036</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53" customHeight="1" spans="1:22">
      <c r="A11" s="16"/>
      <c r="B11" s="6" t="s">
        <v>69</v>
      </c>
      <c r="C11" s="6" t="s">
        <v>69</v>
      </c>
      <c r="D11" s="18" t="s">
        <v>2661</v>
      </c>
      <c r="E11" s="6" t="s">
        <v>69</v>
      </c>
      <c r="F11" s="11" t="s">
        <v>1036</v>
      </c>
      <c r="G11" s="11" t="s">
        <v>1036</v>
      </c>
      <c r="H11" s="11" t="s">
        <v>1036</v>
      </c>
      <c r="I11" s="11" t="s">
        <v>1032</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5.5" customHeight="1" spans="1:22">
      <c r="A12" s="16" t="s">
        <v>1039</v>
      </c>
      <c r="B12" s="17" t="s">
        <v>1040</v>
      </c>
      <c r="C12" s="6" t="s">
        <v>69</v>
      </c>
      <c r="D12" s="6" t="s">
        <v>69</v>
      </c>
      <c r="E12" s="6" t="s">
        <v>69</v>
      </c>
      <c r="F12" s="6" t="s">
        <v>69</v>
      </c>
      <c r="G12" s="6" t="s">
        <v>69</v>
      </c>
      <c r="H12" s="6" t="s">
        <v>69</v>
      </c>
      <c r="I12" s="6" t="s">
        <v>69</v>
      </c>
      <c r="J12" s="6" t="s">
        <v>69</v>
      </c>
      <c r="K12" s="6" t="s">
        <v>69</v>
      </c>
      <c r="L12" s="6" t="s">
        <v>69</v>
      </c>
      <c r="M12" s="6" t="s">
        <v>69</v>
      </c>
      <c r="N12" s="6" t="s">
        <v>69</v>
      </c>
      <c r="O12" s="6" t="s">
        <v>69</v>
      </c>
      <c r="P12" s="6" t="s">
        <v>69</v>
      </c>
      <c r="Q12" s="6" t="s">
        <v>69</v>
      </c>
      <c r="R12" s="6" t="s">
        <v>69</v>
      </c>
      <c r="S12" s="6" t="s">
        <v>69</v>
      </c>
      <c r="T12" s="6" t="s">
        <v>69</v>
      </c>
      <c r="U12" s="6" t="s">
        <v>69</v>
      </c>
      <c r="V12" s="8" t="s">
        <v>69</v>
      </c>
    </row>
    <row r="13" ht="65.5" customHeight="1" spans="1:22">
      <c r="A13" s="16"/>
      <c r="B13" s="6" t="s">
        <v>69</v>
      </c>
      <c r="C13" s="6" t="s">
        <v>69</v>
      </c>
      <c r="D13" s="18" t="s">
        <v>2662</v>
      </c>
      <c r="E13" s="6" t="s">
        <v>69</v>
      </c>
      <c r="F13" s="11" t="s">
        <v>1032</v>
      </c>
      <c r="G13" s="11" t="s">
        <v>1032</v>
      </c>
      <c r="H13" s="11" t="s">
        <v>1032</v>
      </c>
      <c r="I13" s="11" t="s">
        <v>1036</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78" customHeight="1" spans="1:22">
      <c r="A14" s="16"/>
      <c r="B14" s="6" t="s">
        <v>69</v>
      </c>
      <c r="C14" s="6" t="s">
        <v>69</v>
      </c>
      <c r="D14" s="18" t="s">
        <v>2663</v>
      </c>
      <c r="E14" s="6" t="s">
        <v>69</v>
      </c>
      <c r="F14" s="11" t="s">
        <v>1036</v>
      </c>
      <c r="G14" s="11" t="s">
        <v>1036</v>
      </c>
      <c r="H14" s="11" t="s">
        <v>1036</v>
      </c>
      <c r="I14" s="11" t="s">
        <v>1032</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5.5" customHeight="1" spans="1:22">
      <c r="A15" s="16"/>
      <c r="B15" s="17" t="s">
        <v>1064</v>
      </c>
      <c r="C15" s="6" t="s">
        <v>69</v>
      </c>
      <c r="D15" s="6" t="s">
        <v>69</v>
      </c>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65.5" customHeight="1" spans="1:22">
      <c r="A16" s="16"/>
      <c r="B16" s="6" t="s">
        <v>69</v>
      </c>
      <c r="C16" s="6" t="s">
        <v>69</v>
      </c>
      <c r="D16" s="18" t="s">
        <v>2664</v>
      </c>
      <c r="E16" s="6" t="s">
        <v>69</v>
      </c>
      <c r="F16" s="11" t="s">
        <v>1032</v>
      </c>
      <c r="G16" s="11" t="s">
        <v>1032</v>
      </c>
      <c r="H16" s="11" t="s">
        <v>1032</v>
      </c>
      <c r="I16" s="11" t="s">
        <v>1036</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t="s">
        <v>1048</v>
      </c>
      <c r="B17" s="20" t="s">
        <v>1049</v>
      </c>
      <c r="C17" s="20"/>
      <c r="D17" s="20"/>
      <c r="E17" s="6" t="s">
        <v>69</v>
      </c>
      <c r="F17" s="11" t="s">
        <v>1008</v>
      </c>
      <c r="G17" s="11" t="s">
        <v>1008</v>
      </c>
      <c r="H17" s="11" t="s">
        <v>1008</v>
      </c>
      <c r="I17" s="11" t="s">
        <v>1009</v>
      </c>
      <c r="J17" s="11" t="s">
        <v>69</v>
      </c>
      <c r="K17" s="11" t="s">
        <v>69</v>
      </c>
      <c r="L17" s="11" t="s">
        <v>69</v>
      </c>
      <c r="M17" s="11" t="s">
        <v>69</v>
      </c>
      <c r="N17" s="11" t="s">
        <v>69</v>
      </c>
      <c r="O17" s="11" t="s">
        <v>69</v>
      </c>
      <c r="P17" s="11" t="s">
        <v>69</v>
      </c>
      <c r="Q17" s="11" t="s">
        <v>69</v>
      </c>
      <c r="R17" s="11" t="s">
        <v>69</v>
      </c>
      <c r="S17" s="11" t="s">
        <v>69</v>
      </c>
      <c r="T17" s="11" t="s">
        <v>69</v>
      </c>
      <c r="U17" s="11" t="s">
        <v>69</v>
      </c>
      <c r="V17" s="12" t="s">
        <v>69</v>
      </c>
    </row>
    <row r="18" ht="18" customHeight="1" spans="1:22">
      <c r="A18" s="19"/>
      <c r="B18" s="20" t="s">
        <v>1050</v>
      </c>
      <c r="C18" s="20"/>
      <c r="D18" s="20"/>
      <c r="E18" s="6" t="s">
        <v>69</v>
      </c>
      <c r="F18" s="11" t="s">
        <v>1051</v>
      </c>
      <c r="G18" s="11" t="s">
        <v>1051</v>
      </c>
      <c r="H18" s="11" t="s">
        <v>1051</v>
      </c>
      <c r="I18" s="11" t="s">
        <v>1051</v>
      </c>
      <c r="J18" s="11" t="s">
        <v>69</v>
      </c>
      <c r="K18" s="11" t="s">
        <v>69</v>
      </c>
      <c r="L18" s="11" t="s">
        <v>69</v>
      </c>
      <c r="M18" s="11" t="s">
        <v>69</v>
      </c>
      <c r="N18" s="11" t="s">
        <v>69</v>
      </c>
      <c r="O18" s="11" t="s">
        <v>69</v>
      </c>
      <c r="P18" s="11" t="s">
        <v>69</v>
      </c>
      <c r="Q18" s="11" t="s">
        <v>69</v>
      </c>
      <c r="R18" s="11" t="s">
        <v>69</v>
      </c>
      <c r="S18" s="11" t="s">
        <v>69</v>
      </c>
      <c r="T18" s="11" t="s">
        <v>69</v>
      </c>
      <c r="U18" s="11" t="s">
        <v>69</v>
      </c>
      <c r="V18" s="12" t="s">
        <v>69</v>
      </c>
    </row>
    <row r="19" ht="18" customHeight="1" spans="1:22">
      <c r="A19" s="19"/>
      <c r="B19" s="20" t="s">
        <v>1052</v>
      </c>
      <c r="C19" s="20"/>
      <c r="D19" s="20"/>
      <c r="E19" s="6" t="s">
        <v>69</v>
      </c>
      <c r="F19" s="6" t="s">
        <v>69</v>
      </c>
      <c r="G19" s="6" t="s">
        <v>69</v>
      </c>
      <c r="H19" s="6" t="s">
        <v>69</v>
      </c>
      <c r="I19" s="6" t="s">
        <v>69</v>
      </c>
      <c r="J19" s="6" t="s">
        <v>69</v>
      </c>
      <c r="K19" s="6" t="s">
        <v>69</v>
      </c>
      <c r="L19" s="6" t="s">
        <v>69</v>
      </c>
      <c r="M19" s="6" t="s">
        <v>69</v>
      </c>
      <c r="N19" s="6" t="s">
        <v>69</v>
      </c>
      <c r="O19" s="6" t="s">
        <v>69</v>
      </c>
      <c r="P19" s="6" t="s">
        <v>69</v>
      </c>
      <c r="Q19" s="6" t="s">
        <v>69</v>
      </c>
      <c r="R19" s="6" t="s">
        <v>69</v>
      </c>
      <c r="S19" s="6" t="s">
        <v>69</v>
      </c>
      <c r="T19" s="6" t="s">
        <v>69</v>
      </c>
      <c r="U19" s="6" t="s">
        <v>69</v>
      </c>
      <c r="V19" s="8" t="s">
        <v>69</v>
      </c>
    </row>
    <row r="20" ht="18" customHeight="1" spans="1:22">
      <c r="A20" s="19"/>
      <c r="B20" s="21" t="s">
        <v>1053</v>
      </c>
      <c r="C20" s="21"/>
      <c r="D20" s="21"/>
      <c r="E20" s="22" t="s">
        <v>69</v>
      </c>
      <c r="F20" s="22" t="s">
        <v>69</v>
      </c>
      <c r="G20" s="22" t="s">
        <v>69</v>
      </c>
      <c r="H20" s="22" t="s">
        <v>69</v>
      </c>
      <c r="I20" s="22" t="s">
        <v>69</v>
      </c>
      <c r="J20" s="22" t="s">
        <v>69</v>
      </c>
      <c r="K20" s="22" t="s">
        <v>69</v>
      </c>
      <c r="L20" s="22" t="s">
        <v>69</v>
      </c>
      <c r="M20" s="22" t="s">
        <v>69</v>
      </c>
      <c r="N20" s="22" t="s">
        <v>69</v>
      </c>
      <c r="O20" s="22" t="s">
        <v>69</v>
      </c>
      <c r="P20" s="22" t="s">
        <v>69</v>
      </c>
      <c r="Q20" s="22" t="s">
        <v>69</v>
      </c>
      <c r="R20" s="22" t="s">
        <v>69</v>
      </c>
      <c r="S20" s="22" t="s">
        <v>69</v>
      </c>
      <c r="T20" s="22" t="s">
        <v>69</v>
      </c>
      <c r="U20" s="22" t="s">
        <v>69</v>
      </c>
      <c r="V20"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7:D17"/>
    <mergeCell ref="B18:D18"/>
    <mergeCell ref="B19:D19"/>
    <mergeCell ref="B20:D20"/>
    <mergeCell ref="A7:A11"/>
    <mergeCell ref="A12:A16"/>
    <mergeCell ref="A17:A20"/>
  </mergeCells>
  <dataValidations count="3">
    <dataValidation type="list" allowBlank="1" sqref="F16:V16 F8:V9 F10:V11 F13:V14">
      <formula1>"O,-"</formula1>
    </dataValidation>
    <dataValidation type="list" allowBlank="1" sqref="F17:V17">
      <formula1>"N,A,B"</formula1>
    </dataValidation>
    <dataValidation type="list" allowBlank="1" sqref="F18:V18">
      <formula1>"P,F"</formula1>
    </dataValidation>
  </dataValidations>
  <pageMargins left="0.7" right="0.7" top="0.75" bottom="0.75" header="0.3" footer="0.3"/>
  <pageSetup paperSize="1" orientation="portrait" useFirstPageNumber="1"/>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979</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2665</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53" customHeight="1" spans="1:22">
      <c r="A8" s="16"/>
      <c r="B8" s="6" t="s">
        <v>69</v>
      </c>
      <c r="C8" s="6" t="s">
        <v>69</v>
      </c>
      <c r="D8" s="18" t="s">
        <v>2666</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65.5" customHeight="1" spans="1:22">
      <c r="A9" s="16"/>
      <c r="B9" s="6" t="s">
        <v>69</v>
      </c>
      <c r="C9" s="6" t="s">
        <v>69</v>
      </c>
      <c r="D9" s="18" t="s">
        <v>2667</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90.5" customHeight="1" spans="1:22">
      <c r="A11" s="16"/>
      <c r="B11" s="6" t="s">
        <v>69</v>
      </c>
      <c r="C11" s="6" t="s">
        <v>69</v>
      </c>
      <c r="D11" s="18" t="s">
        <v>2668</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90.5" customHeight="1" spans="1:22">
      <c r="A12" s="16"/>
      <c r="B12" s="6" t="s">
        <v>69</v>
      </c>
      <c r="C12" s="6" t="s">
        <v>69</v>
      </c>
      <c r="D12" s="18" t="s">
        <v>2669</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6"/>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983</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2670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1</v>
      </c>
      <c r="M5" s="11">
        <v>0</v>
      </c>
      <c r="N5" s="11">
        <v>1</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2671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90.5" customHeight="1" spans="1:22">
      <c r="A8" s="16"/>
      <c r="B8" s="6" t="s">
        <v>69</v>
      </c>
      <c r="C8" s="6" t="s">
        <v>69</v>
      </c>
      <c r="D8" s="18" t="s">
        <v>2672</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2673</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53" customHeight="1" spans="1:22">
      <c r="A11" s="16"/>
      <c r="B11" s="6" t="s">
        <v>69</v>
      </c>
      <c r="C11" s="6" t="s">
        <v>69</v>
      </c>
      <c r="D11" s="18" t="s">
        <v>2674</v>
      </c>
      <c r="E11" s="6" t="s">
        <v>69</v>
      </c>
      <c r="F11" s="11" t="s">
        <v>1032</v>
      </c>
      <c r="G11" s="11" t="s">
        <v>1036</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28" customHeight="1" spans="1:22">
      <c r="A12" s="16"/>
      <c r="B12" s="6" t="s">
        <v>69</v>
      </c>
      <c r="C12" s="6" t="s">
        <v>69</v>
      </c>
      <c r="D12" s="18" t="s">
        <v>2675</v>
      </c>
      <c r="E12" s="6" t="s">
        <v>69</v>
      </c>
      <c r="F12" s="11" t="s">
        <v>1036</v>
      </c>
      <c r="G12" s="11" t="s">
        <v>1032</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t="s">
        <v>1048</v>
      </c>
      <c r="B13" s="20" t="s">
        <v>1049</v>
      </c>
      <c r="C13" s="20"/>
      <c r="D13" s="20"/>
      <c r="E13" s="6" t="s">
        <v>69</v>
      </c>
      <c r="F13" s="11" t="s">
        <v>1008</v>
      </c>
      <c r="G13" s="11" t="s">
        <v>1009</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1050</v>
      </c>
      <c r="C14" s="20"/>
      <c r="D14" s="20"/>
      <c r="E14" s="6" t="s">
        <v>69</v>
      </c>
      <c r="F14" s="11" t="s">
        <v>1051</v>
      </c>
      <c r="G14" s="11" t="s">
        <v>1051</v>
      </c>
      <c r="H14" s="11" t="s">
        <v>69</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c r="B15" s="20" t="s">
        <v>1052</v>
      </c>
      <c r="C15" s="20"/>
      <c r="D15" s="20"/>
      <c r="E15" s="6" t="s">
        <v>69</v>
      </c>
      <c r="F15" s="6" t="s">
        <v>69</v>
      </c>
      <c r="G15" s="6" t="s">
        <v>69</v>
      </c>
      <c r="H15" s="6" t="s">
        <v>69</v>
      </c>
      <c r="I15" s="6" t="s">
        <v>69</v>
      </c>
      <c r="J15" s="6" t="s">
        <v>69</v>
      </c>
      <c r="K15" s="6" t="s">
        <v>69</v>
      </c>
      <c r="L15" s="6" t="s">
        <v>69</v>
      </c>
      <c r="M15" s="6" t="s">
        <v>69</v>
      </c>
      <c r="N15" s="6" t="s">
        <v>69</v>
      </c>
      <c r="O15" s="6" t="s">
        <v>69</v>
      </c>
      <c r="P15" s="6" t="s">
        <v>69</v>
      </c>
      <c r="Q15" s="6" t="s">
        <v>69</v>
      </c>
      <c r="R15" s="6" t="s">
        <v>69</v>
      </c>
      <c r="S15" s="6" t="s">
        <v>69</v>
      </c>
      <c r="T15" s="6" t="s">
        <v>69</v>
      </c>
      <c r="U15" s="6" t="s">
        <v>69</v>
      </c>
      <c r="V15" s="8" t="s">
        <v>69</v>
      </c>
    </row>
    <row r="16" ht="18" customHeight="1" spans="1:22">
      <c r="A16" s="19"/>
      <c r="B16" s="21" t="s">
        <v>1053</v>
      </c>
      <c r="C16" s="21"/>
      <c r="D16" s="21"/>
      <c r="E16" s="22" t="s">
        <v>69</v>
      </c>
      <c r="F16" s="22" t="s">
        <v>69</v>
      </c>
      <c r="G16" s="22" t="s">
        <v>69</v>
      </c>
      <c r="H16" s="22" t="s">
        <v>69</v>
      </c>
      <c r="I16" s="22" t="s">
        <v>69</v>
      </c>
      <c r="J16" s="22" t="s">
        <v>69</v>
      </c>
      <c r="K16" s="22" t="s">
        <v>69</v>
      </c>
      <c r="L16" s="22" t="s">
        <v>69</v>
      </c>
      <c r="M16" s="22" t="s">
        <v>69</v>
      </c>
      <c r="N16" s="22" t="s">
        <v>69</v>
      </c>
      <c r="O16" s="22" t="s">
        <v>69</v>
      </c>
      <c r="P16" s="22" t="s">
        <v>69</v>
      </c>
      <c r="Q16" s="22" t="s">
        <v>69</v>
      </c>
      <c r="R16" s="22" t="s">
        <v>69</v>
      </c>
      <c r="S16" s="22" t="s">
        <v>69</v>
      </c>
      <c r="T16" s="22" t="s">
        <v>69</v>
      </c>
      <c r="U16" s="22" t="s">
        <v>69</v>
      </c>
      <c r="V16"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3:D13"/>
    <mergeCell ref="B14:D14"/>
    <mergeCell ref="B15:D15"/>
    <mergeCell ref="B16:D16"/>
    <mergeCell ref="A7:A9"/>
    <mergeCell ref="A10:A12"/>
    <mergeCell ref="A13:A16"/>
  </mergeCells>
  <dataValidations count="3">
    <dataValidation type="list" allowBlank="1" sqref="F13:V13">
      <formula1>"N,A,B"</formula1>
    </dataValidation>
    <dataValidation type="list" allowBlank="1" sqref="F14:V14">
      <formula1>"P,F"</formula1>
    </dataValidation>
    <dataValidation type="list" allowBlank="1" sqref="F11:V12 F8:V9">
      <formula1>"O,-"</formula1>
    </dataValidation>
  </dataValidations>
  <pageMargins left="0.7" right="0.7" top="0.75" bottom="0.75" header="0.3" footer="0.3"/>
  <pageSetup paperSize="1" orientation="portrait" useFirstPageNumber="1"/>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5"/>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987</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2676</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2</v>
      </c>
      <c r="B5" s="11"/>
      <c r="C5" s="11">
        <v>0</v>
      </c>
      <c r="D5" s="11"/>
      <c r="E5" s="11"/>
      <c r="F5" s="11">
        <v>0</v>
      </c>
      <c r="G5" s="11"/>
      <c r="H5" s="11"/>
      <c r="I5" s="11"/>
      <c r="J5" s="11"/>
      <c r="K5" s="11"/>
      <c r="L5" s="11">
        <v>0</v>
      </c>
      <c r="M5" s="11">
        <v>0</v>
      </c>
      <c r="N5" s="11">
        <v>2</v>
      </c>
      <c r="O5" s="12">
        <v>2</v>
      </c>
      <c r="P5" s="12"/>
      <c r="Q5" s="12"/>
      <c r="R5" s="12"/>
      <c r="S5" s="12"/>
      <c r="T5" s="12"/>
      <c r="U5" s="12"/>
      <c r="V5" s="12"/>
    </row>
    <row r="6" ht="40" customHeight="1" spans="1:22">
      <c r="A6" s="13" t="s">
        <v>69</v>
      </c>
      <c r="B6" s="6" t="s">
        <v>69</v>
      </c>
      <c r="C6" s="6" t="s">
        <v>69</v>
      </c>
      <c r="D6" s="6" t="s">
        <v>69</v>
      </c>
      <c r="E6" s="6" t="s">
        <v>69</v>
      </c>
      <c r="F6" s="14" t="s">
        <v>1026</v>
      </c>
      <c r="G6" s="14" t="s">
        <v>1027</v>
      </c>
      <c r="H6" s="14" t="s">
        <v>69</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1375</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65.5" customHeight="1" spans="1:22">
      <c r="A8" s="16"/>
      <c r="B8" s="6" t="s">
        <v>69</v>
      </c>
      <c r="C8" s="6" t="s">
        <v>69</v>
      </c>
      <c r="D8" s="18" t="s">
        <v>2677</v>
      </c>
      <c r="E8" s="6" t="s">
        <v>69</v>
      </c>
      <c r="F8" s="11" t="s">
        <v>1032</v>
      </c>
      <c r="G8" s="11" t="s">
        <v>1036</v>
      </c>
      <c r="H8" s="11" t="s">
        <v>69</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78" customHeight="1" spans="1:22">
      <c r="A9" s="16"/>
      <c r="B9" s="6" t="s">
        <v>69</v>
      </c>
      <c r="C9" s="6" t="s">
        <v>69</v>
      </c>
      <c r="D9" s="18" t="s">
        <v>2678</v>
      </c>
      <c r="E9" s="6" t="s">
        <v>69</v>
      </c>
      <c r="F9" s="11" t="s">
        <v>1036</v>
      </c>
      <c r="G9" s="11" t="s">
        <v>1032</v>
      </c>
      <c r="H9" s="11" t="s">
        <v>69</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15.5" customHeight="1" spans="1:22">
      <c r="A10" s="16" t="s">
        <v>1039</v>
      </c>
      <c r="B10" s="17" t="s">
        <v>1040</v>
      </c>
      <c r="C10" s="6" t="s">
        <v>69</v>
      </c>
      <c r="D10" s="6" t="s">
        <v>69</v>
      </c>
      <c r="E10" s="6" t="s">
        <v>69</v>
      </c>
      <c r="F10" s="6" t="s">
        <v>69</v>
      </c>
      <c r="G10" s="6" t="s">
        <v>69</v>
      </c>
      <c r="H10" s="6" t="s">
        <v>69</v>
      </c>
      <c r="I10" s="6" t="s">
        <v>69</v>
      </c>
      <c r="J10" s="6" t="s">
        <v>69</v>
      </c>
      <c r="K10" s="6" t="s">
        <v>69</v>
      </c>
      <c r="L10" s="6" t="s">
        <v>69</v>
      </c>
      <c r="M10" s="6" t="s">
        <v>69</v>
      </c>
      <c r="N10" s="6" t="s">
        <v>69</v>
      </c>
      <c r="O10" s="6" t="s">
        <v>69</v>
      </c>
      <c r="P10" s="6" t="s">
        <v>69</v>
      </c>
      <c r="Q10" s="6" t="s">
        <v>69</v>
      </c>
      <c r="R10" s="6" t="s">
        <v>69</v>
      </c>
      <c r="S10" s="6" t="s">
        <v>69</v>
      </c>
      <c r="T10" s="6" t="s">
        <v>69</v>
      </c>
      <c r="U10" s="6" t="s">
        <v>69</v>
      </c>
      <c r="V10" s="8" t="s">
        <v>69</v>
      </c>
    </row>
    <row r="11" ht="103" customHeight="1" spans="1:22">
      <c r="A11" s="16"/>
      <c r="B11" s="6" t="s">
        <v>69</v>
      </c>
      <c r="C11" s="6" t="s">
        <v>69</v>
      </c>
      <c r="D11" s="18" t="s">
        <v>2679</v>
      </c>
      <c r="E11" s="6" t="s">
        <v>69</v>
      </c>
      <c r="F11" s="11" t="s">
        <v>1032</v>
      </c>
      <c r="G11" s="11" t="s">
        <v>1032</v>
      </c>
      <c r="H11" s="11" t="s">
        <v>69</v>
      </c>
      <c r="I11" s="11" t="s">
        <v>69</v>
      </c>
      <c r="J11" s="11" t="s">
        <v>69</v>
      </c>
      <c r="K11" s="11" t="s">
        <v>69</v>
      </c>
      <c r="L11" s="11" t="s">
        <v>69</v>
      </c>
      <c r="M11" s="11" t="s">
        <v>69</v>
      </c>
      <c r="N11" s="11" t="s">
        <v>69</v>
      </c>
      <c r="O11" s="11" t="s">
        <v>69</v>
      </c>
      <c r="P11" s="11" t="s">
        <v>69</v>
      </c>
      <c r="Q11" s="11" t="s">
        <v>69</v>
      </c>
      <c r="R11" s="11" t="s">
        <v>69</v>
      </c>
      <c r="S11" s="11" t="s">
        <v>69</v>
      </c>
      <c r="T11" s="11" t="s">
        <v>69</v>
      </c>
      <c r="U11" s="11" t="s">
        <v>69</v>
      </c>
      <c r="V11" s="12" t="s">
        <v>69</v>
      </c>
    </row>
    <row r="12" ht="18" customHeight="1" spans="1:22">
      <c r="A12" s="19" t="s">
        <v>1048</v>
      </c>
      <c r="B12" s="20" t="s">
        <v>1049</v>
      </c>
      <c r="C12" s="20"/>
      <c r="D12" s="20"/>
      <c r="E12" s="6" t="s">
        <v>69</v>
      </c>
      <c r="F12" s="11" t="s">
        <v>1009</v>
      </c>
      <c r="G12" s="11" t="s">
        <v>1009</v>
      </c>
      <c r="H12" s="11" t="s">
        <v>69</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18" customHeight="1" spans="1:22">
      <c r="A13" s="19"/>
      <c r="B13" s="20" t="s">
        <v>1050</v>
      </c>
      <c r="C13" s="20"/>
      <c r="D13" s="20"/>
      <c r="E13" s="6" t="s">
        <v>69</v>
      </c>
      <c r="F13" s="11" t="s">
        <v>1051</v>
      </c>
      <c r="G13" s="11" t="s">
        <v>1051</v>
      </c>
      <c r="H13" s="11" t="s">
        <v>69</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8" customHeight="1" spans="1:22">
      <c r="A14" s="19"/>
      <c r="B14" s="20" t="s">
        <v>1052</v>
      </c>
      <c r="C14" s="20"/>
      <c r="D14" s="20"/>
      <c r="E14" s="6" t="s">
        <v>69</v>
      </c>
      <c r="F14" s="6" t="s">
        <v>69</v>
      </c>
      <c r="G14" s="6" t="s">
        <v>69</v>
      </c>
      <c r="H14" s="6" t="s">
        <v>69</v>
      </c>
      <c r="I14" s="6" t="s">
        <v>69</v>
      </c>
      <c r="J14" s="6" t="s">
        <v>69</v>
      </c>
      <c r="K14" s="6" t="s">
        <v>69</v>
      </c>
      <c r="L14" s="6" t="s">
        <v>69</v>
      </c>
      <c r="M14" s="6" t="s">
        <v>69</v>
      </c>
      <c r="N14" s="6" t="s">
        <v>69</v>
      </c>
      <c r="O14" s="6" t="s">
        <v>69</v>
      </c>
      <c r="P14" s="6" t="s">
        <v>69</v>
      </c>
      <c r="Q14" s="6" t="s">
        <v>69</v>
      </c>
      <c r="R14" s="6" t="s">
        <v>69</v>
      </c>
      <c r="S14" s="6" t="s">
        <v>69</v>
      </c>
      <c r="T14" s="6" t="s">
        <v>69</v>
      </c>
      <c r="U14" s="6" t="s">
        <v>69</v>
      </c>
      <c r="V14" s="8" t="s">
        <v>69</v>
      </c>
    </row>
    <row r="15" ht="18" customHeight="1" spans="1:22">
      <c r="A15" s="19"/>
      <c r="B15" s="21" t="s">
        <v>1053</v>
      </c>
      <c r="C15" s="21"/>
      <c r="D15" s="21"/>
      <c r="E15" s="22" t="s">
        <v>69</v>
      </c>
      <c r="F15" s="22" t="s">
        <v>69</v>
      </c>
      <c r="G15" s="22" t="s">
        <v>69</v>
      </c>
      <c r="H15" s="22" t="s">
        <v>69</v>
      </c>
      <c r="I15" s="22" t="s">
        <v>69</v>
      </c>
      <c r="J15" s="22" t="s">
        <v>69</v>
      </c>
      <c r="K15" s="22" t="s">
        <v>69</v>
      </c>
      <c r="L15" s="22" t="s">
        <v>69</v>
      </c>
      <c r="M15" s="22" t="s">
        <v>69</v>
      </c>
      <c r="N15" s="22" t="s">
        <v>69</v>
      </c>
      <c r="O15" s="22" t="s">
        <v>69</v>
      </c>
      <c r="P15" s="22" t="s">
        <v>69</v>
      </c>
      <c r="Q15" s="22" t="s">
        <v>69</v>
      </c>
      <c r="R15" s="22" t="s">
        <v>69</v>
      </c>
      <c r="S15" s="22" t="s">
        <v>69</v>
      </c>
      <c r="T15" s="22" t="s">
        <v>69</v>
      </c>
      <c r="U15" s="22" t="s">
        <v>69</v>
      </c>
      <c r="V15"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2:D12"/>
    <mergeCell ref="B13:D13"/>
    <mergeCell ref="B14:D14"/>
    <mergeCell ref="B15:D15"/>
    <mergeCell ref="A7:A9"/>
    <mergeCell ref="A10:A11"/>
    <mergeCell ref="A12:A15"/>
  </mergeCells>
  <dataValidations count="3">
    <dataValidation type="list" allowBlank="1" sqref="F11:V11 F8:V9">
      <formula1>"O,-"</formula1>
    </dataValidation>
    <dataValidation type="list" allowBlank="1" sqref="F12:V12">
      <formula1>"N,A,B"</formula1>
    </dataValidation>
    <dataValidation type="list" allowBlank="1" sqref="F13:V13">
      <formula1>"P,F"</formula1>
    </dataValidation>
  </dataValidations>
  <pageMargins left="0.7" right="0.7" top="0.75" bottom="0.75" header="0.3" footer="0.3"/>
  <pageSetup paperSize="1" orientation="portrait" useFirstPageNumber="1"/>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8"/>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991</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2680</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3</v>
      </c>
      <c r="B5" s="11"/>
      <c r="C5" s="11">
        <v>0</v>
      </c>
      <c r="D5" s="11"/>
      <c r="E5" s="11"/>
      <c r="F5" s="11">
        <v>0</v>
      </c>
      <c r="G5" s="11"/>
      <c r="H5" s="11"/>
      <c r="I5" s="11"/>
      <c r="J5" s="11"/>
      <c r="K5" s="11"/>
      <c r="L5" s="11">
        <v>0</v>
      </c>
      <c r="M5" s="11">
        <v>0</v>
      </c>
      <c r="N5" s="11">
        <v>3</v>
      </c>
      <c r="O5" s="12">
        <v>3</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69</v>
      </c>
      <c r="J6" s="14" t="s">
        <v>69</v>
      </c>
      <c r="K6" s="14" t="s">
        <v>69</v>
      </c>
      <c r="L6" s="14" t="s">
        <v>69</v>
      </c>
      <c r="M6" s="14" t="s">
        <v>69</v>
      </c>
      <c r="N6" s="14" t="s">
        <v>69</v>
      </c>
      <c r="O6" s="14" t="s">
        <v>69</v>
      </c>
      <c r="P6" s="14" t="s">
        <v>69</v>
      </c>
      <c r="Q6" s="14" t="s">
        <v>69</v>
      </c>
      <c r="R6" s="14" t="s">
        <v>69</v>
      </c>
      <c r="S6" s="14" t="s">
        <v>69</v>
      </c>
      <c r="T6" s="14" t="s">
        <v>69</v>
      </c>
      <c r="U6" s="14" t="s">
        <v>69</v>
      </c>
      <c r="V6" s="15" t="s">
        <v>69</v>
      </c>
    </row>
    <row r="7" ht="15.5" customHeight="1" spans="1:22">
      <c r="A7" s="16" t="s">
        <v>1029</v>
      </c>
      <c r="B7" s="17" t="s">
        <v>2681</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40.5" customHeight="1" spans="1:22">
      <c r="A8" s="16"/>
      <c r="B8" s="6" t="s">
        <v>69</v>
      </c>
      <c r="C8" s="6" t="s">
        <v>69</v>
      </c>
      <c r="D8" s="18" t="s">
        <v>2682</v>
      </c>
      <c r="E8" s="6" t="s">
        <v>69</v>
      </c>
      <c r="F8" s="11" t="s">
        <v>1032</v>
      </c>
      <c r="G8" s="11" t="s">
        <v>1036</v>
      </c>
      <c r="H8" s="11" t="s">
        <v>1036</v>
      </c>
      <c r="I8" s="11" t="s">
        <v>69</v>
      </c>
      <c r="J8" s="11" t="s">
        <v>69</v>
      </c>
      <c r="K8" s="11" t="s">
        <v>69</v>
      </c>
      <c r="L8" s="11" t="s">
        <v>69</v>
      </c>
      <c r="M8" s="11" t="s">
        <v>69</v>
      </c>
      <c r="N8" s="11" t="s">
        <v>69</v>
      </c>
      <c r="O8" s="11" t="s">
        <v>69</v>
      </c>
      <c r="P8" s="11" t="s">
        <v>69</v>
      </c>
      <c r="Q8" s="11" t="s">
        <v>69</v>
      </c>
      <c r="R8" s="11" t="s">
        <v>69</v>
      </c>
      <c r="S8" s="11" t="s">
        <v>69</v>
      </c>
      <c r="T8" s="11" t="s">
        <v>69</v>
      </c>
      <c r="U8" s="11" t="s">
        <v>69</v>
      </c>
      <c r="V8" s="12" t="s">
        <v>69</v>
      </c>
    </row>
    <row r="9" ht="40.5" customHeight="1" spans="1:22">
      <c r="A9" s="16"/>
      <c r="B9" s="6" t="s">
        <v>69</v>
      </c>
      <c r="C9" s="6" t="s">
        <v>69</v>
      </c>
      <c r="D9" s="18" t="s">
        <v>2683</v>
      </c>
      <c r="E9" s="6" t="s">
        <v>69</v>
      </c>
      <c r="F9" s="11" t="s">
        <v>1036</v>
      </c>
      <c r="G9" s="11" t="s">
        <v>1032</v>
      </c>
      <c r="H9" s="11" t="s">
        <v>1036</v>
      </c>
      <c r="I9" s="11" t="s">
        <v>69</v>
      </c>
      <c r="J9" s="11" t="s">
        <v>69</v>
      </c>
      <c r="K9" s="11" t="s">
        <v>69</v>
      </c>
      <c r="L9" s="11" t="s">
        <v>69</v>
      </c>
      <c r="M9" s="11" t="s">
        <v>69</v>
      </c>
      <c r="N9" s="11" t="s">
        <v>69</v>
      </c>
      <c r="O9" s="11" t="s">
        <v>69</v>
      </c>
      <c r="P9" s="11" t="s">
        <v>69</v>
      </c>
      <c r="Q9" s="11" t="s">
        <v>69</v>
      </c>
      <c r="R9" s="11" t="s">
        <v>69</v>
      </c>
      <c r="S9" s="11" t="s">
        <v>69</v>
      </c>
      <c r="T9" s="11" t="s">
        <v>69</v>
      </c>
      <c r="U9" s="11" t="s">
        <v>69</v>
      </c>
      <c r="V9" s="12" t="s">
        <v>69</v>
      </c>
    </row>
    <row r="10" ht="53" customHeight="1" spans="1:22">
      <c r="A10" s="16"/>
      <c r="B10" s="6" t="s">
        <v>69</v>
      </c>
      <c r="C10" s="6" t="s">
        <v>69</v>
      </c>
      <c r="D10" s="18" t="s">
        <v>2684</v>
      </c>
      <c r="E10" s="6" t="s">
        <v>69</v>
      </c>
      <c r="F10" s="11" t="s">
        <v>1036</v>
      </c>
      <c r="G10" s="11" t="s">
        <v>1036</v>
      </c>
      <c r="H10" s="11" t="s">
        <v>1032</v>
      </c>
      <c r="I10" s="11" t="s">
        <v>69</v>
      </c>
      <c r="J10" s="11" t="s">
        <v>69</v>
      </c>
      <c r="K10" s="11" t="s">
        <v>69</v>
      </c>
      <c r="L10" s="11" t="s">
        <v>69</v>
      </c>
      <c r="M10" s="11" t="s">
        <v>69</v>
      </c>
      <c r="N10" s="11" t="s">
        <v>69</v>
      </c>
      <c r="O10" s="11" t="s">
        <v>69</v>
      </c>
      <c r="P10" s="11" t="s">
        <v>69</v>
      </c>
      <c r="Q10" s="11" t="s">
        <v>69</v>
      </c>
      <c r="R10" s="11" t="s">
        <v>69</v>
      </c>
      <c r="S10" s="11" t="s">
        <v>69</v>
      </c>
      <c r="T10" s="11" t="s">
        <v>69</v>
      </c>
      <c r="U10" s="11" t="s">
        <v>69</v>
      </c>
      <c r="V10" s="12" t="s">
        <v>69</v>
      </c>
    </row>
    <row r="11" ht="15.5" customHeight="1" spans="1:22">
      <c r="A11" s="16" t="s">
        <v>1039</v>
      </c>
      <c r="B11" s="17" t="s">
        <v>1040</v>
      </c>
      <c r="C11" s="6" t="s">
        <v>69</v>
      </c>
      <c r="D11" s="6" t="s">
        <v>69</v>
      </c>
      <c r="E11" s="6" t="s">
        <v>69</v>
      </c>
      <c r="F11" s="6" t="s">
        <v>69</v>
      </c>
      <c r="G11" s="6" t="s">
        <v>69</v>
      </c>
      <c r="H11" s="6" t="s">
        <v>69</v>
      </c>
      <c r="I11" s="6" t="s">
        <v>69</v>
      </c>
      <c r="J11" s="6" t="s">
        <v>69</v>
      </c>
      <c r="K11" s="6" t="s">
        <v>69</v>
      </c>
      <c r="L11" s="6" t="s">
        <v>69</v>
      </c>
      <c r="M11" s="6" t="s">
        <v>69</v>
      </c>
      <c r="N11" s="6" t="s">
        <v>69</v>
      </c>
      <c r="O11" s="6" t="s">
        <v>69</v>
      </c>
      <c r="P11" s="6" t="s">
        <v>69</v>
      </c>
      <c r="Q11" s="6" t="s">
        <v>69</v>
      </c>
      <c r="R11" s="6" t="s">
        <v>69</v>
      </c>
      <c r="S11" s="6" t="s">
        <v>69</v>
      </c>
      <c r="T11" s="6" t="s">
        <v>69</v>
      </c>
      <c r="U11" s="6" t="s">
        <v>69</v>
      </c>
      <c r="V11" s="8" t="s">
        <v>69</v>
      </c>
    </row>
    <row r="12" ht="90.5" customHeight="1" spans="1:22">
      <c r="A12" s="16"/>
      <c r="B12" s="6" t="s">
        <v>69</v>
      </c>
      <c r="C12" s="6" t="s">
        <v>69</v>
      </c>
      <c r="D12" s="18" t="s">
        <v>2685</v>
      </c>
      <c r="E12" s="6" t="s">
        <v>69</v>
      </c>
      <c r="F12" s="11" t="s">
        <v>1032</v>
      </c>
      <c r="G12" s="11" t="s">
        <v>1036</v>
      </c>
      <c r="H12" s="11" t="s">
        <v>1036</v>
      </c>
      <c r="I12" s="11" t="s">
        <v>69</v>
      </c>
      <c r="J12" s="11" t="s">
        <v>69</v>
      </c>
      <c r="K12" s="11" t="s">
        <v>69</v>
      </c>
      <c r="L12" s="11" t="s">
        <v>69</v>
      </c>
      <c r="M12" s="11" t="s">
        <v>69</v>
      </c>
      <c r="N12" s="11" t="s">
        <v>69</v>
      </c>
      <c r="O12" s="11" t="s">
        <v>69</v>
      </c>
      <c r="P12" s="11" t="s">
        <v>69</v>
      </c>
      <c r="Q12" s="11" t="s">
        <v>69</v>
      </c>
      <c r="R12" s="11" t="s">
        <v>69</v>
      </c>
      <c r="S12" s="11" t="s">
        <v>69</v>
      </c>
      <c r="T12" s="11" t="s">
        <v>69</v>
      </c>
      <c r="U12" s="11" t="s">
        <v>69</v>
      </c>
      <c r="V12" s="12" t="s">
        <v>69</v>
      </c>
    </row>
    <row r="13" ht="65.5" customHeight="1" spans="1:22">
      <c r="A13" s="16"/>
      <c r="B13" s="6" t="s">
        <v>69</v>
      </c>
      <c r="C13" s="6" t="s">
        <v>69</v>
      </c>
      <c r="D13" s="18" t="s">
        <v>2686</v>
      </c>
      <c r="E13" s="6" t="s">
        <v>69</v>
      </c>
      <c r="F13" s="11" t="s">
        <v>1036</v>
      </c>
      <c r="G13" s="11" t="s">
        <v>1032</v>
      </c>
      <c r="H13" s="11" t="s">
        <v>1036</v>
      </c>
      <c r="I13" s="11" t="s">
        <v>69</v>
      </c>
      <c r="J13" s="11" t="s">
        <v>69</v>
      </c>
      <c r="K13" s="11" t="s">
        <v>69</v>
      </c>
      <c r="L13" s="11" t="s">
        <v>69</v>
      </c>
      <c r="M13" s="11" t="s">
        <v>69</v>
      </c>
      <c r="N13" s="11" t="s">
        <v>69</v>
      </c>
      <c r="O13" s="11" t="s">
        <v>69</v>
      </c>
      <c r="P13" s="11" t="s">
        <v>69</v>
      </c>
      <c r="Q13" s="11" t="s">
        <v>69</v>
      </c>
      <c r="R13" s="11" t="s">
        <v>69</v>
      </c>
      <c r="S13" s="11" t="s">
        <v>69</v>
      </c>
      <c r="T13" s="11" t="s">
        <v>69</v>
      </c>
      <c r="U13" s="11" t="s">
        <v>69</v>
      </c>
      <c r="V13" s="12" t="s">
        <v>69</v>
      </c>
    </row>
    <row r="14" ht="128" customHeight="1" spans="1:22">
      <c r="A14" s="16"/>
      <c r="B14" s="6" t="s">
        <v>69</v>
      </c>
      <c r="C14" s="6" t="s">
        <v>69</v>
      </c>
      <c r="D14" s="18" t="s">
        <v>2687</v>
      </c>
      <c r="E14" s="6" t="s">
        <v>69</v>
      </c>
      <c r="F14" s="11" t="s">
        <v>1036</v>
      </c>
      <c r="G14" s="11" t="s">
        <v>1036</v>
      </c>
      <c r="H14" s="11" t="s">
        <v>1032</v>
      </c>
      <c r="I14" s="11" t="s">
        <v>69</v>
      </c>
      <c r="J14" s="11" t="s">
        <v>69</v>
      </c>
      <c r="K14" s="11" t="s">
        <v>69</v>
      </c>
      <c r="L14" s="11" t="s">
        <v>69</v>
      </c>
      <c r="M14" s="11" t="s">
        <v>69</v>
      </c>
      <c r="N14" s="11" t="s">
        <v>69</v>
      </c>
      <c r="O14" s="11" t="s">
        <v>69</v>
      </c>
      <c r="P14" s="11" t="s">
        <v>69</v>
      </c>
      <c r="Q14" s="11" t="s">
        <v>69</v>
      </c>
      <c r="R14" s="11" t="s">
        <v>69</v>
      </c>
      <c r="S14" s="11" t="s">
        <v>69</v>
      </c>
      <c r="T14" s="11" t="s">
        <v>69</v>
      </c>
      <c r="U14" s="11" t="s">
        <v>69</v>
      </c>
      <c r="V14" s="12" t="s">
        <v>69</v>
      </c>
    </row>
    <row r="15" ht="18" customHeight="1" spans="1:22">
      <c r="A15" s="19" t="s">
        <v>1048</v>
      </c>
      <c r="B15" s="20" t="s">
        <v>1049</v>
      </c>
      <c r="C15" s="20"/>
      <c r="D15" s="20"/>
      <c r="E15" s="6" t="s">
        <v>69</v>
      </c>
      <c r="F15" s="11" t="s">
        <v>1009</v>
      </c>
      <c r="G15" s="11" t="s">
        <v>1009</v>
      </c>
      <c r="H15" s="11" t="s">
        <v>1009</v>
      </c>
      <c r="I15" s="11" t="s">
        <v>69</v>
      </c>
      <c r="J15" s="11" t="s">
        <v>69</v>
      </c>
      <c r="K15" s="11" t="s">
        <v>69</v>
      </c>
      <c r="L15" s="11" t="s">
        <v>69</v>
      </c>
      <c r="M15" s="11" t="s">
        <v>69</v>
      </c>
      <c r="N15" s="11" t="s">
        <v>69</v>
      </c>
      <c r="O15" s="11" t="s">
        <v>69</v>
      </c>
      <c r="P15" s="11" t="s">
        <v>69</v>
      </c>
      <c r="Q15" s="11" t="s">
        <v>69</v>
      </c>
      <c r="R15" s="11" t="s">
        <v>69</v>
      </c>
      <c r="S15" s="11" t="s">
        <v>69</v>
      </c>
      <c r="T15" s="11" t="s">
        <v>69</v>
      </c>
      <c r="U15" s="11" t="s">
        <v>69</v>
      </c>
      <c r="V15" s="12" t="s">
        <v>69</v>
      </c>
    </row>
    <row r="16" ht="18" customHeight="1" spans="1:22">
      <c r="A16" s="19"/>
      <c r="B16" s="20" t="s">
        <v>1050</v>
      </c>
      <c r="C16" s="20"/>
      <c r="D16" s="20"/>
      <c r="E16" s="6" t="s">
        <v>69</v>
      </c>
      <c r="F16" s="11" t="s">
        <v>1051</v>
      </c>
      <c r="G16" s="11" t="s">
        <v>1051</v>
      </c>
      <c r="H16" s="11" t="s">
        <v>1051</v>
      </c>
      <c r="I16" s="11" t="s">
        <v>69</v>
      </c>
      <c r="J16" s="11" t="s">
        <v>69</v>
      </c>
      <c r="K16" s="11" t="s">
        <v>69</v>
      </c>
      <c r="L16" s="11" t="s">
        <v>69</v>
      </c>
      <c r="M16" s="11" t="s">
        <v>69</v>
      </c>
      <c r="N16" s="11" t="s">
        <v>69</v>
      </c>
      <c r="O16" s="11" t="s">
        <v>69</v>
      </c>
      <c r="P16" s="11" t="s">
        <v>69</v>
      </c>
      <c r="Q16" s="11" t="s">
        <v>69</v>
      </c>
      <c r="R16" s="11" t="s">
        <v>69</v>
      </c>
      <c r="S16" s="11" t="s">
        <v>69</v>
      </c>
      <c r="T16" s="11" t="s">
        <v>69</v>
      </c>
      <c r="U16" s="11" t="s">
        <v>69</v>
      </c>
      <c r="V16" s="12" t="s">
        <v>69</v>
      </c>
    </row>
    <row r="17" ht="18" customHeight="1" spans="1:22">
      <c r="A17" s="19"/>
      <c r="B17" s="20" t="s">
        <v>1052</v>
      </c>
      <c r="C17" s="20"/>
      <c r="D17" s="20"/>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18" customHeight="1" spans="1:22">
      <c r="A18" s="19"/>
      <c r="B18" s="21" t="s">
        <v>1053</v>
      </c>
      <c r="C18" s="21"/>
      <c r="D18" s="21"/>
      <c r="E18" s="22" t="s">
        <v>69</v>
      </c>
      <c r="F18" s="22" t="s">
        <v>69</v>
      </c>
      <c r="G18" s="22" t="s">
        <v>69</v>
      </c>
      <c r="H18" s="22" t="s">
        <v>69</v>
      </c>
      <c r="I18" s="22" t="s">
        <v>69</v>
      </c>
      <c r="J18" s="22" t="s">
        <v>69</v>
      </c>
      <c r="K18" s="22" t="s">
        <v>69</v>
      </c>
      <c r="L18" s="22" t="s">
        <v>69</v>
      </c>
      <c r="M18" s="22" t="s">
        <v>69</v>
      </c>
      <c r="N18" s="22" t="s">
        <v>69</v>
      </c>
      <c r="O18" s="22" t="s">
        <v>69</v>
      </c>
      <c r="P18" s="22" t="s">
        <v>69</v>
      </c>
      <c r="Q18" s="22" t="s">
        <v>69</v>
      </c>
      <c r="R18" s="22" t="s">
        <v>69</v>
      </c>
      <c r="S18" s="22" t="s">
        <v>69</v>
      </c>
      <c r="T18" s="22" t="s">
        <v>69</v>
      </c>
      <c r="U18" s="22" t="s">
        <v>69</v>
      </c>
      <c r="V18"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15:D15"/>
    <mergeCell ref="B16:D16"/>
    <mergeCell ref="B17:D17"/>
    <mergeCell ref="B18:D18"/>
    <mergeCell ref="A7:A10"/>
    <mergeCell ref="A11:A14"/>
    <mergeCell ref="A15:A18"/>
  </mergeCells>
  <dataValidations count="3">
    <dataValidation type="list" allowBlank="1" sqref="F10:V10 F12:V14 F8:V9">
      <formula1>"O,-"</formula1>
    </dataValidation>
    <dataValidation type="list" allowBlank="1" sqref="F15:V15">
      <formula1>"N,A,B"</formula1>
    </dataValidation>
    <dataValidation type="list" allowBlank="1" sqref="F16:V16">
      <formula1>"P,F"</formula1>
    </dataValidation>
  </dataValidations>
  <pageMargins left="0.7" right="0.7" top="0.75" bottom="0.75" header="0.3" footer="0.3"/>
  <pageSetup paperSize="1" orientation="portrait" useFirstPageNumber="1"/>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3"/>
  <sheetViews>
    <sheetView workbookViewId="0">
      <pane topLeftCell="A1" activePane="bottomRight" state="frozen"/>
      <selection activeCell="A1" sqref="A1"/>
    </sheetView>
  </sheetViews>
  <sheetFormatPr defaultColWidth="9" defaultRowHeight="15.05"/>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15.5" customHeight="1" spans="1:22">
      <c r="A1" s="1" t="s">
        <v>1018</v>
      </c>
      <c r="B1" s="2" t="s">
        <v>923</v>
      </c>
      <c r="C1" s="2"/>
      <c r="D1" s="2"/>
      <c r="E1" s="2"/>
      <c r="F1" s="3" t="s">
        <v>1019</v>
      </c>
      <c r="G1" s="3"/>
      <c r="H1" s="3"/>
      <c r="I1" s="3"/>
      <c r="J1" s="3"/>
      <c r="K1" s="3"/>
      <c r="L1" s="4" t="s">
        <v>995</v>
      </c>
      <c r="M1" s="4"/>
      <c r="N1" s="4"/>
      <c r="O1" s="4"/>
      <c r="P1" s="4"/>
      <c r="Q1" s="4"/>
      <c r="R1" s="4"/>
      <c r="S1" s="4"/>
      <c r="T1" s="4"/>
      <c r="U1" s="4"/>
      <c r="V1" s="4"/>
    </row>
    <row r="2" ht="15.5" customHeight="1" spans="1:22">
      <c r="A2" s="5" t="s">
        <v>1020</v>
      </c>
      <c r="B2" s="6" t="s">
        <v>1021</v>
      </c>
      <c r="C2" s="6"/>
      <c r="D2" s="6"/>
      <c r="E2" s="6"/>
      <c r="F2" s="7" t="s">
        <v>1022</v>
      </c>
      <c r="G2" s="7"/>
      <c r="H2" s="7"/>
      <c r="I2" s="7"/>
      <c r="J2" s="7"/>
      <c r="K2" s="7"/>
      <c r="L2" s="8" t="s">
        <v>69</v>
      </c>
      <c r="M2" s="8"/>
      <c r="N2" s="8"/>
      <c r="O2" s="8"/>
      <c r="P2" s="8"/>
      <c r="Q2" s="8"/>
      <c r="R2" s="8"/>
      <c r="S2" s="8"/>
      <c r="T2" s="8"/>
      <c r="U2" s="8"/>
      <c r="V2" s="8"/>
    </row>
    <row r="3" ht="15.5" customHeight="1" spans="1:22">
      <c r="A3" s="5" t="s">
        <v>1023</v>
      </c>
      <c r="B3" s="8" t="s">
        <v>2688</v>
      </c>
      <c r="C3" s="8"/>
      <c r="D3" s="8"/>
      <c r="E3" s="8"/>
      <c r="F3" s="8"/>
      <c r="G3" s="8"/>
      <c r="H3" s="8"/>
      <c r="I3" s="8"/>
      <c r="J3" s="8"/>
      <c r="K3" s="8"/>
      <c r="L3" s="8"/>
      <c r="M3" s="8"/>
      <c r="N3" s="8"/>
      <c r="O3" s="8"/>
      <c r="P3" s="8"/>
      <c r="Q3" s="8"/>
      <c r="R3" s="8"/>
      <c r="S3" s="8"/>
      <c r="T3" s="8"/>
      <c r="U3" s="8"/>
      <c r="V3" s="8"/>
    </row>
    <row r="4" ht="18" customHeight="1" spans="1:22">
      <c r="A4" s="9" t="s">
        <v>1005</v>
      </c>
      <c r="B4" s="9"/>
      <c r="C4" s="9" t="s">
        <v>1006</v>
      </c>
      <c r="D4" s="9"/>
      <c r="E4" s="9"/>
      <c r="F4" s="9" t="s">
        <v>1007</v>
      </c>
      <c r="G4" s="9"/>
      <c r="H4" s="9"/>
      <c r="I4" s="9"/>
      <c r="J4" s="9"/>
      <c r="K4" s="9"/>
      <c r="L4" s="9" t="s">
        <v>1025</v>
      </c>
      <c r="M4" s="9"/>
      <c r="N4" s="9"/>
      <c r="O4" s="10" t="s">
        <v>1010</v>
      </c>
      <c r="P4" s="10"/>
      <c r="Q4" s="10"/>
      <c r="R4" s="10"/>
      <c r="S4" s="10"/>
      <c r="T4" s="10"/>
      <c r="U4" s="10"/>
      <c r="V4" s="10"/>
    </row>
    <row r="5" ht="18" customHeight="1" spans="1:22">
      <c r="A5" s="11">
        <v>9</v>
      </c>
      <c r="B5" s="11"/>
      <c r="C5" s="11">
        <v>0</v>
      </c>
      <c r="D5" s="11"/>
      <c r="E5" s="11"/>
      <c r="F5" s="11">
        <v>0</v>
      </c>
      <c r="G5" s="11"/>
      <c r="H5" s="11"/>
      <c r="I5" s="11"/>
      <c r="J5" s="11"/>
      <c r="K5" s="11"/>
      <c r="L5" s="11">
        <v>7</v>
      </c>
      <c r="M5" s="11">
        <v>2</v>
      </c>
      <c r="N5" s="11">
        <v>0</v>
      </c>
      <c r="O5" s="12">
        <v>9</v>
      </c>
      <c r="P5" s="12"/>
      <c r="Q5" s="12"/>
      <c r="R5" s="12"/>
      <c r="S5" s="12"/>
      <c r="T5" s="12"/>
      <c r="U5" s="12"/>
      <c r="V5" s="12"/>
    </row>
    <row r="6" ht="40" customHeight="1" spans="1:22">
      <c r="A6" s="13" t="s">
        <v>69</v>
      </c>
      <c r="B6" s="6" t="s">
        <v>69</v>
      </c>
      <c r="C6" s="6" t="s">
        <v>69</v>
      </c>
      <c r="D6" s="6" t="s">
        <v>69</v>
      </c>
      <c r="E6" s="6" t="s">
        <v>69</v>
      </c>
      <c r="F6" s="14" t="s">
        <v>1026</v>
      </c>
      <c r="G6" s="14" t="s">
        <v>1027</v>
      </c>
      <c r="H6" s="14" t="s">
        <v>1028</v>
      </c>
      <c r="I6" s="14" t="s">
        <v>1141</v>
      </c>
      <c r="J6" s="14" t="s">
        <v>1152</v>
      </c>
      <c r="K6" s="14" t="s">
        <v>1153</v>
      </c>
      <c r="L6" s="14" t="s">
        <v>1587</v>
      </c>
      <c r="M6" s="14" t="s">
        <v>1659</v>
      </c>
      <c r="N6" s="14" t="s">
        <v>1708</v>
      </c>
      <c r="O6" s="14" t="s">
        <v>69</v>
      </c>
      <c r="P6" s="14" t="s">
        <v>69</v>
      </c>
      <c r="Q6" s="14" t="s">
        <v>69</v>
      </c>
      <c r="R6" s="14" t="s">
        <v>69</v>
      </c>
      <c r="S6" s="14" t="s">
        <v>69</v>
      </c>
      <c r="T6" s="14" t="s">
        <v>69</v>
      </c>
      <c r="U6" s="14" t="s">
        <v>69</v>
      </c>
      <c r="V6" s="15" t="s">
        <v>69</v>
      </c>
    </row>
    <row r="7" ht="15.5" customHeight="1" spans="1:22">
      <c r="A7" s="16" t="s">
        <v>1029</v>
      </c>
      <c r="B7" s="17" t="s">
        <v>2689</v>
      </c>
      <c r="C7" s="6" t="s">
        <v>69</v>
      </c>
      <c r="D7" s="6" t="s">
        <v>69</v>
      </c>
      <c r="E7" s="6" t="s">
        <v>69</v>
      </c>
      <c r="F7" s="6" t="s">
        <v>69</v>
      </c>
      <c r="G7" s="6" t="s">
        <v>69</v>
      </c>
      <c r="H7" s="6" t="s">
        <v>69</v>
      </c>
      <c r="I7" s="6" t="s">
        <v>69</v>
      </c>
      <c r="J7" s="6" t="s">
        <v>69</v>
      </c>
      <c r="K7" s="6" t="s">
        <v>69</v>
      </c>
      <c r="L7" s="6" t="s">
        <v>69</v>
      </c>
      <c r="M7" s="6" t="s">
        <v>69</v>
      </c>
      <c r="N7" s="6" t="s">
        <v>69</v>
      </c>
      <c r="O7" s="6" t="s">
        <v>69</v>
      </c>
      <c r="P7" s="6" t="s">
        <v>69</v>
      </c>
      <c r="Q7" s="6" t="s">
        <v>69</v>
      </c>
      <c r="R7" s="6" t="s">
        <v>69</v>
      </c>
      <c r="S7" s="6" t="s">
        <v>69</v>
      </c>
      <c r="T7" s="6" t="s">
        <v>69</v>
      </c>
      <c r="U7" s="6" t="s">
        <v>69</v>
      </c>
      <c r="V7" s="8" t="s">
        <v>69</v>
      </c>
    </row>
    <row r="8" ht="15.5" customHeight="1" spans="1:22">
      <c r="A8" s="16"/>
      <c r="B8" s="6" t="s">
        <v>69</v>
      </c>
      <c r="C8" s="6" t="s">
        <v>69</v>
      </c>
      <c r="D8" s="18" t="s">
        <v>2690</v>
      </c>
      <c r="E8" s="6" t="s">
        <v>69</v>
      </c>
      <c r="F8" s="11" t="s">
        <v>1032</v>
      </c>
      <c r="G8" s="11" t="s">
        <v>1036</v>
      </c>
      <c r="H8" s="11" t="s">
        <v>1036</v>
      </c>
      <c r="I8" s="11" t="s">
        <v>1036</v>
      </c>
      <c r="J8" s="11" t="s">
        <v>1036</v>
      </c>
      <c r="K8" s="11" t="s">
        <v>1036</v>
      </c>
      <c r="L8" s="11" t="s">
        <v>1036</v>
      </c>
      <c r="M8" s="11" t="s">
        <v>1036</v>
      </c>
      <c r="N8" s="11" t="s">
        <v>1036</v>
      </c>
      <c r="O8" s="11" t="s">
        <v>69</v>
      </c>
      <c r="P8" s="11" t="s">
        <v>69</v>
      </c>
      <c r="Q8" s="11" t="s">
        <v>69</v>
      </c>
      <c r="R8" s="11" t="s">
        <v>69</v>
      </c>
      <c r="S8" s="11" t="s">
        <v>69</v>
      </c>
      <c r="T8" s="11" t="s">
        <v>69</v>
      </c>
      <c r="U8" s="11" t="s">
        <v>69</v>
      </c>
      <c r="V8" s="12" t="s">
        <v>69</v>
      </c>
    </row>
    <row r="9" ht="15.5" customHeight="1" spans="1:22">
      <c r="A9" s="16"/>
      <c r="B9" s="6" t="s">
        <v>69</v>
      </c>
      <c r="C9" s="6" t="s">
        <v>69</v>
      </c>
      <c r="D9" s="18" t="s">
        <v>2691</v>
      </c>
      <c r="E9" s="6" t="s">
        <v>69</v>
      </c>
      <c r="F9" s="11" t="s">
        <v>1036</v>
      </c>
      <c r="G9" s="11" t="s">
        <v>1032</v>
      </c>
      <c r="H9" s="11" t="s">
        <v>1036</v>
      </c>
      <c r="I9" s="11" t="s">
        <v>1036</v>
      </c>
      <c r="J9" s="11" t="s">
        <v>1036</v>
      </c>
      <c r="K9" s="11" t="s">
        <v>1036</v>
      </c>
      <c r="L9" s="11" t="s">
        <v>1036</v>
      </c>
      <c r="M9" s="11" t="s">
        <v>1036</v>
      </c>
      <c r="N9" s="11" t="s">
        <v>1036</v>
      </c>
      <c r="O9" s="11" t="s">
        <v>69</v>
      </c>
      <c r="P9" s="11" t="s">
        <v>69</v>
      </c>
      <c r="Q9" s="11" t="s">
        <v>69</v>
      </c>
      <c r="R9" s="11" t="s">
        <v>69</v>
      </c>
      <c r="S9" s="11" t="s">
        <v>69</v>
      </c>
      <c r="T9" s="11" t="s">
        <v>69</v>
      </c>
      <c r="U9" s="11" t="s">
        <v>69</v>
      </c>
      <c r="V9" s="12" t="s">
        <v>69</v>
      </c>
    </row>
    <row r="10" ht="15.5" customHeight="1" spans="1:22">
      <c r="A10" s="16"/>
      <c r="B10" s="6" t="s">
        <v>69</v>
      </c>
      <c r="C10" s="6" t="s">
        <v>69</v>
      </c>
      <c r="D10" s="18" t="s">
        <v>2692</v>
      </c>
      <c r="E10" s="6" t="s">
        <v>69</v>
      </c>
      <c r="F10" s="11" t="s">
        <v>1036</v>
      </c>
      <c r="G10" s="11" t="s">
        <v>1036</v>
      </c>
      <c r="H10" s="11" t="s">
        <v>1032</v>
      </c>
      <c r="I10" s="11" t="s">
        <v>1036</v>
      </c>
      <c r="J10" s="11" t="s">
        <v>1036</v>
      </c>
      <c r="K10" s="11" t="s">
        <v>1036</v>
      </c>
      <c r="L10" s="11" t="s">
        <v>1036</v>
      </c>
      <c r="M10" s="11" t="s">
        <v>1036</v>
      </c>
      <c r="N10" s="11" t="s">
        <v>1036</v>
      </c>
      <c r="O10" s="11" t="s">
        <v>69</v>
      </c>
      <c r="P10" s="11" t="s">
        <v>69</v>
      </c>
      <c r="Q10" s="11" t="s">
        <v>69</v>
      </c>
      <c r="R10" s="11" t="s">
        <v>69</v>
      </c>
      <c r="S10" s="11" t="s">
        <v>69</v>
      </c>
      <c r="T10" s="11" t="s">
        <v>69</v>
      </c>
      <c r="U10" s="11" t="s">
        <v>69</v>
      </c>
      <c r="V10" s="12" t="s">
        <v>69</v>
      </c>
    </row>
    <row r="11" ht="15.5" customHeight="1" spans="1:22">
      <c r="A11" s="16"/>
      <c r="B11" s="6" t="s">
        <v>69</v>
      </c>
      <c r="C11" s="6" t="s">
        <v>69</v>
      </c>
      <c r="D11" s="18" t="s">
        <v>2693</v>
      </c>
      <c r="E11" s="6" t="s">
        <v>69</v>
      </c>
      <c r="F11" s="11" t="s">
        <v>1036</v>
      </c>
      <c r="G11" s="11" t="s">
        <v>1036</v>
      </c>
      <c r="H11" s="11" t="s">
        <v>1036</v>
      </c>
      <c r="I11" s="11" t="s">
        <v>1032</v>
      </c>
      <c r="J11" s="11" t="s">
        <v>1036</v>
      </c>
      <c r="K11" s="11" t="s">
        <v>1036</v>
      </c>
      <c r="L11" s="11" t="s">
        <v>1036</v>
      </c>
      <c r="M11" s="11" t="s">
        <v>1036</v>
      </c>
      <c r="N11" s="11" t="s">
        <v>1036</v>
      </c>
      <c r="O11" s="11" t="s">
        <v>69</v>
      </c>
      <c r="P11" s="11" t="s">
        <v>69</v>
      </c>
      <c r="Q11" s="11" t="s">
        <v>69</v>
      </c>
      <c r="R11" s="11" t="s">
        <v>69</v>
      </c>
      <c r="S11" s="11" t="s">
        <v>69</v>
      </c>
      <c r="T11" s="11" t="s">
        <v>69</v>
      </c>
      <c r="U11" s="11" t="s">
        <v>69</v>
      </c>
      <c r="V11" s="12" t="s">
        <v>69</v>
      </c>
    </row>
    <row r="12" ht="15.5" customHeight="1" spans="1:22">
      <c r="A12" s="16"/>
      <c r="B12" s="6" t="s">
        <v>69</v>
      </c>
      <c r="C12" s="6" t="s">
        <v>69</v>
      </c>
      <c r="D12" s="18" t="s">
        <v>2694</v>
      </c>
      <c r="E12" s="6" t="s">
        <v>69</v>
      </c>
      <c r="F12" s="11" t="s">
        <v>1036</v>
      </c>
      <c r="G12" s="11" t="s">
        <v>1036</v>
      </c>
      <c r="H12" s="11" t="s">
        <v>1036</v>
      </c>
      <c r="I12" s="11" t="s">
        <v>1036</v>
      </c>
      <c r="J12" s="11" t="s">
        <v>1032</v>
      </c>
      <c r="K12" s="11" t="s">
        <v>1036</v>
      </c>
      <c r="L12" s="11" t="s">
        <v>1036</v>
      </c>
      <c r="M12" s="11" t="s">
        <v>1036</v>
      </c>
      <c r="N12" s="11" t="s">
        <v>1036</v>
      </c>
      <c r="O12" s="11" t="s">
        <v>69</v>
      </c>
      <c r="P12" s="11" t="s">
        <v>69</v>
      </c>
      <c r="Q12" s="11" t="s">
        <v>69</v>
      </c>
      <c r="R12" s="11" t="s">
        <v>69</v>
      </c>
      <c r="S12" s="11" t="s">
        <v>69</v>
      </c>
      <c r="T12" s="11" t="s">
        <v>69</v>
      </c>
      <c r="U12" s="11" t="s">
        <v>69</v>
      </c>
      <c r="V12" s="12" t="s">
        <v>69</v>
      </c>
    </row>
    <row r="13" ht="15.5" customHeight="1" spans="1:22">
      <c r="A13" s="16"/>
      <c r="B13" s="6" t="s">
        <v>69</v>
      </c>
      <c r="C13" s="6" t="s">
        <v>69</v>
      </c>
      <c r="D13" s="18" t="s">
        <v>2695</v>
      </c>
      <c r="E13" s="6" t="s">
        <v>69</v>
      </c>
      <c r="F13" s="11" t="s">
        <v>1036</v>
      </c>
      <c r="G13" s="11" t="s">
        <v>1036</v>
      </c>
      <c r="H13" s="11" t="s">
        <v>1036</v>
      </c>
      <c r="I13" s="11" t="s">
        <v>1036</v>
      </c>
      <c r="J13" s="11" t="s">
        <v>1036</v>
      </c>
      <c r="K13" s="11" t="s">
        <v>1032</v>
      </c>
      <c r="L13" s="11" t="s">
        <v>1036</v>
      </c>
      <c r="M13" s="11" t="s">
        <v>1036</v>
      </c>
      <c r="N13" s="11" t="s">
        <v>1036</v>
      </c>
      <c r="O13" s="11" t="s">
        <v>69</v>
      </c>
      <c r="P13" s="11" t="s">
        <v>69</v>
      </c>
      <c r="Q13" s="11" t="s">
        <v>69</v>
      </c>
      <c r="R13" s="11" t="s">
        <v>69</v>
      </c>
      <c r="S13" s="11" t="s">
        <v>69</v>
      </c>
      <c r="T13" s="11" t="s">
        <v>69</v>
      </c>
      <c r="U13" s="11" t="s">
        <v>69</v>
      </c>
      <c r="V13" s="12" t="s">
        <v>69</v>
      </c>
    </row>
    <row r="14" ht="15.5" customHeight="1" spans="1:22">
      <c r="A14" s="16"/>
      <c r="B14" s="6" t="s">
        <v>69</v>
      </c>
      <c r="C14" s="6" t="s">
        <v>69</v>
      </c>
      <c r="D14" s="18" t="s">
        <v>2696</v>
      </c>
      <c r="E14" s="6" t="s">
        <v>69</v>
      </c>
      <c r="F14" s="11" t="s">
        <v>1036</v>
      </c>
      <c r="G14" s="11" t="s">
        <v>1036</v>
      </c>
      <c r="H14" s="11" t="s">
        <v>1036</v>
      </c>
      <c r="I14" s="11" t="s">
        <v>1036</v>
      </c>
      <c r="J14" s="11" t="s">
        <v>1036</v>
      </c>
      <c r="K14" s="11" t="s">
        <v>1036</v>
      </c>
      <c r="L14" s="11" t="s">
        <v>1032</v>
      </c>
      <c r="M14" s="11" t="s">
        <v>1036</v>
      </c>
      <c r="N14" s="11" t="s">
        <v>1036</v>
      </c>
      <c r="O14" s="11" t="s">
        <v>69</v>
      </c>
      <c r="P14" s="11" t="s">
        <v>69</v>
      </c>
      <c r="Q14" s="11" t="s">
        <v>69</v>
      </c>
      <c r="R14" s="11" t="s">
        <v>69</v>
      </c>
      <c r="S14" s="11" t="s">
        <v>69</v>
      </c>
      <c r="T14" s="11" t="s">
        <v>69</v>
      </c>
      <c r="U14" s="11" t="s">
        <v>69</v>
      </c>
      <c r="V14" s="12" t="s">
        <v>69</v>
      </c>
    </row>
    <row r="15" ht="15.5" customHeight="1" spans="1:22">
      <c r="A15" s="16"/>
      <c r="B15" s="6" t="s">
        <v>69</v>
      </c>
      <c r="C15" s="6" t="s">
        <v>69</v>
      </c>
      <c r="D15" s="18" t="s">
        <v>2697</v>
      </c>
      <c r="E15" s="6" t="s">
        <v>69</v>
      </c>
      <c r="F15" s="11" t="s">
        <v>1036</v>
      </c>
      <c r="G15" s="11" t="s">
        <v>1036</v>
      </c>
      <c r="H15" s="11" t="s">
        <v>1036</v>
      </c>
      <c r="I15" s="11" t="s">
        <v>1036</v>
      </c>
      <c r="J15" s="11" t="s">
        <v>1036</v>
      </c>
      <c r="K15" s="11" t="s">
        <v>1036</v>
      </c>
      <c r="L15" s="11" t="s">
        <v>1036</v>
      </c>
      <c r="M15" s="11" t="s">
        <v>1032</v>
      </c>
      <c r="N15" s="11" t="s">
        <v>1036</v>
      </c>
      <c r="O15" s="11" t="s">
        <v>69</v>
      </c>
      <c r="P15" s="11" t="s">
        <v>69</v>
      </c>
      <c r="Q15" s="11" t="s">
        <v>69</v>
      </c>
      <c r="R15" s="11" t="s">
        <v>69</v>
      </c>
      <c r="S15" s="11" t="s">
        <v>69</v>
      </c>
      <c r="T15" s="11" t="s">
        <v>69</v>
      </c>
      <c r="U15" s="11" t="s">
        <v>69</v>
      </c>
      <c r="V15" s="12" t="s">
        <v>69</v>
      </c>
    </row>
    <row r="16" ht="15.5" customHeight="1" spans="1:22">
      <c r="A16" s="16"/>
      <c r="B16" s="6" t="s">
        <v>69</v>
      </c>
      <c r="C16" s="6" t="s">
        <v>69</v>
      </c>
      <c r="D16" s="18" t="s">
        <v>2698</v>
      </c>
      <c r="E16" s="6" t="s">
        <v>69</v>
      </c>
      <c r="F16" s="11" t="s">
        <v>1036</v>
      </c>
      <c r="G16" s="11" t="s">
        <v>1036</v>
      </c>
      <c r="H16" s="11" t="s">
        <v>1036</v>
      </c>
      <c r="I16" s="11" t="s">
        <v>1036</v>
      </c>
      <c r="J16" s="11" t="s">
        <v>1036</v>
      </c>
      <c r="K16" s="11" t="s">
        <v>1036</v>
      </c>
      <c r="L16" s="11" t="s">
        <v>1036</v>
      </c>
      <c r="M16" s="11" t="s">
        <v>1036</v>
      </c>
      <c r="N16" s="11" t="s">
        <v>1032</v>
      </c>
      <c r="O16" s="11" t="s">
        <v>69</v>
      </c>
      <c r="P16" s="11" t="s">
        <v>69</v>
      </c>
      <c r="Q16" s="11" t="s">
        <v>69</v>
      </c>
      <c r="R16" s="11" t="s">
        <v>69</v>
      </c>
      <c r="S16" s="11" t="s">
        <v>69</v>
      </c>
      <c r="T16" s="11" t="s">
        <v>69</v>
      </c>
      <c r="U16" s="11" t="s">
        <v>69</v>
      </c>
      <c r="V16" s="12" t="s">
        <v>69</v>
      </c>
    </row>
    <row r="17" ht="15.5" customHeight="1" spans="1:22">
      <c r="A17" s="16" t="s">
        <v>1039</v>
      </c>
      <c r="B17" s="17" t="s">
        <v>1040</v>
      </c>
      <c r="C17" s="6" t="s">
        <v>69</v>
      </c>
      <c r="D17" s="6" t="s">
        <v>69</v>
      </c>
      <c r="E17" s="6" t="s">
        <v>69</v>
      </c>
      <c r="F17" s="6" t="s">
        <v>69</v>
      </c>
      <c r="G17" s="6" t="s">
        <v>69</v>
      </c>
      <c r="H17" s="6" t="s">
        <v>69</v>
      </c>
      <c r="I17" s="6" t="s">
        <v>69</v>
      </c>
      <c r="J17" s="6" t="s">
        <v>69</v>
      </c>
      <c r="K17" s="6" t="s">
        <v>69</v>
      </c>
      <c r="L17" s="6" t="s">
        <v>69</v>
      </c>
      <c r="M17" s="6" t="s">
        <v>69</v>
      </c>
      <c r="N17" s="6" t="s">
        <v>69</v>
      </c>
      <c r="O17" s="6" t="s">
        <v>69</v>
      </c>
      <c r="P17" s="6" t="s">
        <v>69</v>
      </c>
      <c r="Q17" s="6" t="s">
        <v>69</v>
      </c>
      <c r="R17" s="6" t="s">
        <v>69</v>
      </c>
      <c r="S17" s="6" t="s">
        <v>69</v>
      </c>
      <c r="T17" s="6" t="s">
        <v>69</v>
      </c>
      <c r="U17" s="6" t="s">
        <v>69</v>
      </c>
      <c r="V17" s="8" t="s">
        <v>69</v>
      </c>
    </row>
    <row r="18" ht="40.5" customHeight="1" spans="1:22">
      <c r="A18" s="16"/>
      <c r="B18" s="6" t="s">
        <v>69</v>
      </c>
      <c r="C18" s="6" t="s">
        <v>69</v>
      </c>
      <c r="D18" s="18" t="s">
        <v>2699</v>
      </c>
      <c r="E18" s="6" t="s">
        <v>69</v>
      </c>
      <c r="F18" s="11" t="s">
        <v>1032</v>
      </c>
      <c r="G18" s="11" t="s">
        <v>1032</v>
      </c>
      <c r="H18" s="11" t="s">
        <v>1032</v>
      </c>
      <c r="I18" s="11" t="s">
        <v>1032</v>
      </c>
      <c r="J18" s="11" t="s">
        <v>1032</v>
      </c>
      <c r="K18" s="11" t="s">
        <v>1032</v>
      </c>
      <c r="L18" s="11" t="s">
        <v>1032</v>
      </c>
      <c r="M18" s="11" t="s">
        <v>1036</v>
      </c>
      <c r="N18" s="11" t="s">
        <v>1036</v>
      </c>
      <c r="O18" s="11" t="s">
        <v>69</v>
      </c>
      <c r="P18" s="11" t="s">
        <v>69</v>
      </c>
      <c r="Q18" s="11" t="s">
        <v>69</v>
      </c>
      <c r="R18" s="11" t="s">
        <v>69</v>
      </c>
      <c r="S18" s="11" t="s">
        <v>69</v>
      </c>
      <c r="T18" s="11" t="s">
        <v>69</v>
      </c>
      <c r="U18" s="11" t="s">
        <v>69</v>
      </c>
      <c r="V18" s="12" t="s">
        <v>69</v>
      </c>
    </row>
    <row r="19" ht="65.5" customHeight="1" spans="1:22">
      <c r="A19" s="16"/>
      <c r="B19" s="6" t="s">
        <v>69</v>
      </c>
      <c r="C19" s="6" t="s">
        <v>69</v>
      </c>
      <c r="D19" s="18" t="s">
        <v>2700</v>
      </c>
      <c r="E19" s="6" t="s">
        <v>69</v>
      </c>
      <c r="F19" s="11" t="s">
        <v>1036</v>
      </c>
      <c r="G19" s="11" t="s">
        <v>1036</v>
      </c>
      <c r="H19" s="11" t="s">
        <v>1036</v>
      </c>
      <c r="I19" s="11" t="s">
        <v>1036</v>
      </c>
      <c r="J19" s="11" t="s">
        <v>1036</v>
      </c>
      <c r="K19" s="11" t="s">
        <v>1036</v>
      </c>
      <c r="L19" s="11" t="s">
        <v>1036</v>
      </c>
      <c r="M19" s="11" t="s">
        <v>1032</v>
      </c>
      <c r="N19" s="11" t="s">
        <v>1032</v>
      </c>
      <c r="O19" s="11" t="s">
        <v>69</v>
      </c>
      <c r="P19" s="11" t="s">
        <v>69</v>
      </c>
      <c r="Q19" s="11" t="s">
        <v>69</v>
      </c>
      <c r="R19" s="11" t="s">
        <v>69</v>
      </c>
      <c r="S19" s="11" t="s">
        <v>69</v>
      </c>
      <c r="T19" s="11" t="s">
        <v>69</v>
      </c>
      <c r="U19" s="11" t="s">
        <v>69</v>
      </c>
      <c r="V19" s="12" t="s">
        <v>69</v>
      </c>
    </row>
    <row r="20" ht="18" customHeight="1" spans="1:22">
      <c r="A20" s="19" t="s">
        <v>1048</v>
      </c>
      <c r="B20" s="20" t="s">
        <v>1049</v>
      </c>
      <c r="C20" s="20"/>
      <c r="D20" s="20"/>
      <c r="E20" s="6" t="s">
        <v>69</v>
      </c>
      <c r="F20" s="11" t="s">
        <v>1008</v>
      </c>
      <c r="G20" s="11" t="s">
        <v>1008</v>
      </c>
      <c r="H20" s="11" t="s">
        <v>1008</v>
      </c>
      <c r="I20" s="11" t="s">
        <v>1008</v>
      </c>
      <c r="J20" s="11" t="s">
        <v>1008</v>
      </c>
      <c r="K20" s="11" t="s">
        <v>1008</v>
      </c>
      <c r="L20" s="11" t="s">
        <v>1008</v>
      </c>
      <c r="M20" s="11" t="s">
        <v>63</v>
      </c>
      <c r="N20" s="11" t="s">
        <v>63</v>
      </c>
      <c r="O20" s="11" t="s">
        <v>69</v>
      </c>
      <c r="P20" s="11" t="s">
        <v>69</v>
      </c>
      <c r="Q20" s="11" t="s">
        <v>69</v>
      </c>
      <c r="R20" s="11" t="s">
        <v>69</v>
      </c>
      <c r="S20" s="11" t="s">
        <v>69</v>
      </c>
      <c r="T20" s="11" t="s">
        <v>69</v>
      </c>
      <c r="U20" s="11" t="s">
        <v>69</v>
      </c>
      <c r="V20" s="12" t="s">
        <v>69</v>
      </c>
    </row>
    <row r="21" ht="18" customHeight="1" spans="1:22">
      <c r="A21" s="19"/>
      <c r="B21" s="20" t="s">
        <v>1050</v>
      </c>
      <c r="C21" s="20"/>
      <c r="D21" s="20"/>
      <c r="E21" s="6" t="s">
        <v>69</v>
      </c>
      <c r="F21" s="11" t="s">
        <v>1051</v>
      </c>
      <c r="G21" s="11" t="s">
        <v>1051</v>
      </c>
      <c r="H21" s="11" t="s">
        <v>1051</v>
      </c>
      <c r="I21" s="11" t="s">
        <v>1051</v>
      </c>
      <c r="J21" s="11" t="s">
        <v>1051</v>
      </c>
      <c r="K21" s="11" t="s">
        <v>1051</v>
      </c>
      <c r="L21" s="11" t="s">
        <v>1051</v>
      </c>
      <c r="M21" s="11" t="s">
        <v>1051</v>
      </c>
      <c r="N21" s="11" t="s">
        <v>1051</v>
      </c>
      <c r="O21" s="11" t="s">
        <v>69</v>
      </c>
      <c r="P21" s="11" t="s">
        <v>69</v>
      </c>
      <c r="Q21" s="11" t="s">
        <v>69</v>
      </c>
      <c r="R21" s="11" t="s">
        <v>69</v>
      </c>
      <c r="S21" s="11" t="s">
        <v>69</v>
      </c>
      <c r="T21" s="11" t="s">
        <v>69</v>
      </c>
      <c r="U21" s="11" t="s">
        <v>69</v>
      </c>
      <c r="V21" s="12" t="s">
        <v>69</v>
      </c>
    </row>
    <row r="22" ht="18" customHeight="1" spans="1:22">
      <c r="A22" s="19"/>
      <c r="B22" s="20" t="s">
        <v>1052</v>
      </c>
      <c r="C22" s="20"/>
      <c r="D22" s="20"/>
      <c r="E22" s="6" t="s">
        <v>69</v>
      </c>
      <c r="F22" s="6" t="s">
        <v>69</v>
      </c>
      <c r="G22" s="6" t="s">
        <v>69</v>
      </c>
      <c r="H22" s="6" t="s">
        <v>69</v>
      </c>
      <c r="I22" s="6" t="s">
        <v>69</v>
      </c>
      <c r="J22" s="6" t="s">
        <v>69</v>
      </c>
      <c r="K22" s="6" t="s">
        <v>69</v>
      </c>
      <c r="L22" s="6" t="s">
        <v>69</v>
      </c>
      <c r="M22" s="6" t="s">
        <v>69</v>
      </c>
      <c r="N22" s="6" t="s">
        <v>69</v>
      </c>
      <c r="O22" s="6" t="s">
        <v>69</v>
      </c>
      <c r="P22" s="6" t="s">
        <v>69</v>
      </c>
      <c r="Q22" s="6" t="s">
        <v>69</v>
      </c>
      <c r="R22" s="6" t="s">
        <v>69</v>
      </c>
      <c r="S22" s="6" t="s">
        <v>69</v>
      </c>
      <c r="T22" s="6" t="s">
        <v>69</v>
      </c>
      <c r="U22" s="6" t="s">
        <v>69</v>
      </c>
      <c r="V22" s="8" t="s">
        <v>69</v>
      </c>
    </row>
    <row r="23" ht="18" customHeight="1" spans="1:22">
      <c r="A23" s="19"/>
      <c r="B23" s="21" t="s">
        <v>1053</v>
      </c>
      <c r="C23" s="21"/>
      <c r="D23" s="21"/>
      <c r="E23" s="22" t="s">
        <v>69</v>
      </c>
      <c r="F23" s="22" t="s">
        <v>69</v>
      </c>
      <c r="G23" s="22" t="s">
        <v>69</v>
      </c>
      <c r="H23" s="22" t="s">
        <v>69</v>
      </c>
      <c r="I23" s="22" t="s">
        <v>69</v>
      </c>
      <c r="J23" s="22" t="s">
        <v>69</v>
      </c>
      <c r="K23" s="22" t="s">
        <v>69</v>
      </c>
      <c r="L23" s="22" t="s">
        <v>69</v>
      </c>
      <c r="M23" s="22" t="s">
        <v>69</v>
      </c>
      <c r="N23" s="22" t="s">
        <v>69</v>
      </c>
      <c r="O23" s="22" t="s">
        <v>69</v>
      </c>
      <c r="P23" s="22" t="s">
        <v>69</v>
      </c>
      <c r="Q23" s="22" t="s">
        <v>69</v>
      </c>
      <c r="R23" s="22" t="s">
        <v>69</v>
      </c>
      <c r="S23" s="22" t="s">
        <v>69</v>
      </c>
      <c r="T23" s="22" t="s">
        <v>69</v>
      </c>
      <c r="U23" s="22" t="s">
        <v>69</v>
      </c>
      <c r="V23" s="23"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B20:D20"/>
    <mergeCell ref="B21:D21"/>
    <mergeCell ref="B22:D22"/>
    <mergeCell ref="B23:D23"/>
    <mergeCell ref="A7:A16"/>
    <mergeCell ref="A17:A19"/>
    <mergeCell ref="A20:A23"/>
  </mergeCells>
  <dataValidations count="3">
    <dataValidation type="list" allowBlank="1" sqref="F20:V20">
      <formula1>"N,A,B"</formula1>
    </dataValidation>
    <dataValidation type="list" allowBlank="1" sqref="F21:V21">
      <formula1>"P,F"</formula1>
    </dataValidation>
    <dataValidation type="list" allowBlank="1" sqref="F10:V16 F8:V9 F18:V19">
      <formula1>"O,-"</formula1>
    </dataValidation>
  </dataValidations>
  <pageMargins left="0.7" right="0.7" top="0.75" bottom="0.75" header="0.3" footer="0.3"/>
  <pageSetup paperSize="1" orientation="portrait" useFirstPageNumber="1"/>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212</vt:i4>
      </vt:variant>
    </vt:vector>
  </HeadingPairs>
  <TitlesOfParts>
    <vt:vector size="212" baseType="lpstr">
      <vt:lpstr>Guideline</vt:lpstr>
      <vt:lpstr>Cover</vt:lpstr>
      <vt:lpstr>Functions</vt:lpstr>
      <vt:lpstr>Statistics</vt:lpstr>
      <vt:lpstr>DisplayManualQuestionForm</vt:lpstr>
      <vt:lpstr>ValidateJobTitleRequired</vt:lpstr>
      <vt:lpstr>ValidateQuestionContentRequired</vt:lpstr>
      <vt:lpstr>ValidateDurationBoundaryValue</vt:lpstr>
      <vt:lpstr>SaveQuestionSetSuccess</vt:lpstr>
      <vt:lpstr>DeleteQuestionMinLimitGuard</vt:lpstr>
      <vt:lpstr>ImportExcelValidFile</vt:lpstr>
      <vt:lpstr>ImportExcelInvalidFile</vt:lpstr>
      <vt:lpstr>ExportTxtValidation</vt:lpstr>
      <vt:lpstr>AiQuotaExceededManualLink</vt:lpstr>
      <vt:lpstr>UnauthorizedRoleAccessManualPag</vt:lpstr>
      <vt:lpstr>JdInputPasteValidation</vt:lpstr>
      <vt:lpstr>JdInputUploadFileTypes</vt:lpstr>
      <vt:lpstr>KnowledgeDocumentIngestionStatu</vt:lpstr>
      <vt:lpstr>SourcesPanelLockOnGenerate</vt:lpstr>
      <vt:lpstr>GenerateQuestionsSuccessFlow</vt:lpstr>
      <vt:lpstr>GenerateQuestionsAutoRetryRepla</vt:lpstr>
      <vt:lpstr>GenerateQuestionsFailedStatus</vt:lpstr>
      <vt:lpstr>GenerateQuestionsTimeoutDeadlin</vt:lpstr>
      <vt:lpstr>BackgroundPollResumeOnReload</vt:lpstr>
      <vt:lpstr>QuotaCooldownBlockingModal</vt:lpstr>
      <vt:lpstr>PlanApprovedLocksRefine</vt:lpstr>
      <vt:lpstr>QuestionEditDeleteRegenerate</vt:lpstr>
      <vt:lpstr>SaveDraftPublishShare</vt:lpstr>
      <vt:lpstr>GenerateFormRetired</vt:lpstr>
      <vt:lpstr>Token401SilentRefreshSuccess</vt:lpstr>
      <vt:lpstr>Token401RefreshFailureRedirect</vt:lpstr>
      <vt:lpstr>Token401NoRefreshTokenStored</vt:lpstr>
      <vt:lpstr>Token401OnRefreshEndpointItself</vt:lpstr>
      <vt:lpstr>Token401AlreadyRetriedOnce</vt:lpstr>
      <vt:lpstr>PublicAuthEndpoint401NoIntercep</vt:lpstr>
      <vt:lpstr>Forbidden403NoDedicatedHandling</vt:lpstr>
      <vt:lpstr>NoRoleGateOnHrRoutes</vt:lpstr>
      <vt:lpstr>SubscriptionErrorCodeCannedMess</vt:lpstr>
      <vt:lpstr>UnrecognizedErrorCodeFallback</vt:lpstr>
      <vt:lpstr>TimeoutRaw5xxNoFriendlyMessage</vt:lpstr>
      <vt:lpstr>SessionExpiryMidGenerationPolli</vt:lpstr>
      <vt:lpstr>ConcurrentRequests401Dedup</vt:lpstr>
      <vt:lpstr>RagServiceDeadCodeNoAuthHeader</vt:lpstr>
      <vt:lpstr>SampleJdModalCopyUse</vt:lpstr>
      <vt:lpstr>PublishedSetEditRestrictions</vt:lpstr>
      <vt:lpstr>ApplyPlanSettingsTimeout</vt:lpstr>
      <vt:lpstr>RefinePlanChatFlow</vt:lpstr>
      <vt:lpstr>StudioGenerationSettingsToggles</vt:lpstr>
      <vt:lpstr>NewSetResetsLockedPanels</vt:lpstr>
      <vt:lpstr>KnowledgeDocLibraryAttachVsUplo</vt:lpstr>
      <vt:lpstr>StudioChatRefineMultiTurn</vt:lpstr>
      <vt:lpstr>StudioApprovePlanButtonStates</vt:lpstr>
      <vt:lpstr>StudioQuestionListEmptyStateBef</vt:lpstr>
      <vt:lpstr>LoginSpecificAuthErrors</vt:lpstr>
      <vt:lpstr>CandidateForbiddenErrorMessages</vt:lpstr>
      <vt:lpstr>TokenStorageLocalStorageNotHttp</vt:lpstr>
      <vt:lpstr>SsrNoTokenAttachNoOp</vt:lpstr>
      <vt:lpstr>ClearAuthClearsCachedUserProfil</vt:lpstr>
      <vt:lpstr>RefreshTokenRotationOnSuccess</vt:lpstr>
      <vt:lpstr>ManualQuestionPageResponsiveLay</vt:lpstr>
      <vt:lpstr>ManualQuestionPageDarkLightThem</vt:lpstr>
      <vt:lpstr>StudioPageResponsiveLayout</vt:lpstr>
      <vt:lpstr>StudioPageDarkLightTheme</vt:lpstr>
      <vt:lpstr>QuotaModalResponsiveDisplay</vt:lpstr>
      <vt:lpstr>ToastNotificationPositioning</vt:lpstr>
      <vt:lpstr>FileUploadDropzoneVisualStates</vt:lpstr>
      <vt:lpstr>ButtonLoadingDisabledStates</vt:lpstr>
      <vt:lpstr>FormFieldValidationVisualStates</vt:lpstr>
      <vt:lpstr>NavigationSidebarResponsive</vt:lpstr>
      <vt:lpstr>ModalDialogPositioningZIndex</vt:lpstr>
      <vt:lpstr>TableGridResponsiveOverflow</vt:lpstr>
      <vt:lpstr>TooltipHoverDisplay</vt:lpstr>
      <vt:lpstr>LoadingSpinnerSkeletonStates</vt:lpstr>
      <vt:lpstr>AccessibilityKeyboardNavigation</vt:lpstr>
      <vt:lpstr>BrandingLogoHeaderConsistency</vt:lpstr>
      <vt:lpstr>RegisterHR</vt:lpstr>
      <vt:lpstr>Login</vt:lpstr>
      <vt:lpstr>RegisterJobSeeker</vt:lpstr>
      <vt:lpstr>VerifyEmail</vt:lpstr>
      <vt:lpstr>ForgotResetPassword</vt:lpstr>
      <vt:lpstr>AccessControl</vt:lpstr>
      <vt:lpstr>UpdateProfile</vt:lpstr>
      <vt:lpstr>ManageUsers</vt:lpstr>
      <vt:lpstr>GetTimeOfDayGreeting</vt:lpstr>
      <vt:lpstr>BuildWelcomeMessage</vt:lpstr>
      <vt:lpstr>FormatRelativeTimeInvalidDate</vt:lpstr>
      <vt:lpstr>FormatRelativeTimeAgeBuckets</vt:lpstr>
      <vt:lpstr>NormalizePathname</vt:lpstr>
      <vt:lpstr>IsAdminNavActive</vt:lpstr>
      <vt:lpstr>IsHrNavActive</vt:lpstr>
      <vt:lpstr>GetInitials</vt:lpstr>
      <vt:lpstr>ResolveAvatarUrl</vt:lpstr>
      <vt:lpstr>IsValidUrl</vt:lpstr>
      <vt:lpstr>MapAvatarUploadError</vt:lpstr>
      <vt:lpstr>AuthRoundTripLegacyFlagAndRealT</vt:lpstr>
      <vt:lpstr>UserRoleAndClearAuthCascade</vt:lpstr>
      <vt:lpstr>GetRoleRedirect</vt:lpstr>
      <vt:lpstr>ExtractRole</vt:lpstr>
      <vt:lpstr>IsJdCitation</vt:lpstr>
      <vt:lpstr>SortAndInjectJdCitation</vt:lpstr>
      <vt:lpstr>FormatCitationExcerptAndDisplay</vt:lpstr>
      <vt:lpstr>FormatXp</vt:lpstr>
      <vt:lpstr>GetLevelLabel</vt:lpstr>
      <vt:lpstr>LevelColorAndStreakIntensity</vt:lpstr>
      <vt:lpstr>XpRewardTypeLabel</vt:lpstr>
      <vt:lpstr>TimeAgo</vt:lpstr>
      <vt:lpstr>GetLoginWelcomeRoleFromRedirect</vt:lpstr>
      <vt:lpstr>LoginWelcomePendingFlagRoundTri</vt:lpstr>
      <vt:lpstr>SaveAndGetLocalSession</vt:lpstr>
      <vt:lpstr>PatchAndUpdateLocalSession</vt:lpstr>
      <vt:lpstr>ToGenerationSessionAndMalformed</vt:lpstr>
      <vt:lpstr>ValidateAvatarFile</vt:lpstr>
      <vt:lpstr>ComputeStreakDays</vt:lpstr>
      <vt:lpstr>TranslateDimensionKeyAndCategor</vt:lpstr>
      <vt:lpstr>CompanyInitialsAndColor</vt:lpstr>
      <vt:lpstr>ToBackendRoleFilterAndNormalize</vt:lpstr>
      <vt:lpstr>GetAdminUserStatusAndIsAdminRol</vt:lpstr>
      <vt:lpstr>BadgeClassAndCategoryLabelHelpe</vt:lpstr>
      <vt:lpstr>ScoreBadgeClassAndScoreLevel</vt:lpstr>
      <vt:lpstr>TemplateDetectionExplicitAndKey</vt:lpstr>
      <vt:lpstr>SnippetExtraction</vt:lpstr>
      <vt:lpstr>MetaParsingLangImageDiagramHint</vt:lpstr>
      <vt:lpstr>InferGeneratedQuestionTemplate</vt:lpstr>
      <vt:lpstr>ChangePasswordClientValidation</vt:lpstr>
      <vt:lpstr>ChangePasswordSubmitFlow</vt:lpstr>
      <vt:lpstr>XpHistoryStandaloneList</vt:lpstr>
      <vt:lpstr>XpHistoryEmbeddedMode</vt:lpstr>
      <vt:lpstr>DailyGoalPresetDisplay</vt:lpstr>
      <vt:lpstr>DailyGoalSaveFlow</vt:lpstr>
      <vt:lpstr>GamificationProgressCardDisplay</vt:lpstr>
      <vt:lpstr>AchievementGridFullVariant</vt:lpstr>
      <vt:lpstr>AchievementGridCompactVariant</vt:lpstr>
      <vt:lpstr>PlatformSettingsGeneralLoadSave</vt:lpstr>
      <vt:lpstr>PlatformSettingsPermissionsNoti</vt:lpstr>
      <vt:lpstr>PlatformSettingsComingSoonButto</vt:lpstr>
      <vt:lpstr>AiConfigLoadAndRetry</vt:lpstr>
      <vt:lpstr>AiConfigProviderSwitchAndSave</vt:lpstr>
      <vt:lpstr>ContentTableRowAndDeadDeleteBut</vt:lpstr>
      <vt:lpstr>CompanyManagementListingSearchR</vt:lpstr>
      <vt:lpstr>CompanyManagementCreateEditDele</vt:lpstr>
      <vt:lpstr>AdminKnowledgeWrapperWiring</vt:lpstr>
      <vt:lpstr>AdminDashboardKpisAndAlerts</vt:lpstr>
      <vt:lpstr>AdminDashboardRetryAndRefresh</vt:lpstr>
      <vt:lpstr>MarketplaceListingSearchAndErro</vt:lpstr>
      <vt:lpstr>MarketplacePinAndDetail</vt:lpstr>
      <vt:lpstr>PlansListingAndRefresh</vt:lpstr>
      <vt:lpstr>PlansEditSaveAndFailure</vt:lpstr>
      <vt:lpstr>PlansFreeVisiblePercentClamp</vt:lpstr>
      <vt:lpstr>HrDashboardKpisAndSections</vt:lpstr>
      <vt:lpstr>HrDashboardRetryAndNullFallback</vt:lpstr>
      <vt:lpstr>HistoryListingSearchAndFilter</vt:lpstr>
      <vt:lpstr>HistoryPublishUnpublishBookmark</vt:lpstr>
      <vt:lpstr>HistoryDeleteConfirmAndPublishe</vt:lpstr>
      <vt:lpstr>HistoryExportGatedByPlan</vt:lpstr>
      <vt:lpstr>BillingCurrentPlanDisplay</vt:lpstr>
      <vt:lpstr>BillingPaymentHistoryAndReceipt</vt:lpstr>
      <vt:lpstr>BillingComingSoonButtons</vt:lpstr>
      <vt:lpstr>BillingUpgradeAndCancel</vt:lpstr>
      <vt:lpstr>CandidateDashboardKpisAndSessio</vt:lpstr>
      <vt:lpstr>CandidateDashboardRecommendedSe</vt:lpstr>
      <vt:lpstr>CandidateProfileViewAndEditTogg</vt:lpstr>
      <vt:lpstr>CandidateProfileSaveValidationS</vt:lpstr>
      <vt:lpstr>CandidateProfileCvManagement</vt:lpstr>
      <vt:lpstr>CandidateSettingsTabRouting</vt:lpstr>
      <vt:lpstr>CandidateSettingsGeneral</vt:lpstr>
      <vt:lpstr>CandidateSettingsPrivacyPlanGat</vt:lpstr>
      <vt:lpstr>SubscriptionContextUserScopedPl</vt:lpstr>
      <vt:lpstr>UpgradeModalFinishPaidRetry</vt:lpstr>
      <vt:lpstr>FeedbackScorePollingUntilArriva</vt:lpstr>
      <vt:lpstr>FeedbackScoreTimeoutAndRetry</vt:lpstr>
      <vt:lpstr>HrBillingCurrentPlan</vt:lpstr>
      <vt:lpstr>HrBillingPaymentHistoryAndRecei</vt:lpstr>
      <vt:lpstr>HrBillingCancelToFreeFlow</vt:lpstr>
      <vt:lpstr>KnowledgePageListingAndErrors</vt:lpstr>
      <vt:lpstr>KnowledgeUploadAndSizeLimit</vt:lpstr>
      <vt:lpstr>KnowledgeDeleteConfirm</vt:lpstr>
      <vt:lpstr>RecommendationsListingFilterSea</vt:lpstr>
      <vt:lpstr>RecommendationsShortlistDismiss</vt:lpstr>
      <vt:lpstr>HrSettingsPreferencesNotificati</vt:lpstr>
      <vt:lpstr>InvitationsListingAndFilter</vt:lpstr>
      <vt:lpstr>InvitationsAcceptFlow</vt:lpstr>
      <vt:lpstr>InvitationsDeclineFlow</vt:lpstr>
      <vt:lpstr>MarketplaceBrowsingFilterSearch</vt:lpstr>
      <vt:lpstr>MarketplaceBookmarkAndNavigatio</vt:lpstr>
      <vt:lpstr>PracticeSessionStarting</vt:lpstr>
      <vt:lpstr>PracticeSessionResume</vt:lpstr>
      <vt:lpstr>PracticeSessionFinishAndSubmit</vt:lpstr>
      <vt:lpstr>PracticeSessionAutoCompletedFal</vt:lpstr>
      <vt:lpstr>PracticeSessionLockedQuestion</vt:lpstr>
      <vt:lpstr>PremiumRevokedDialogVisibilityA</vt:lpstr>
      <vt:lpstr>PremiumRevokedDialogUpgradeCta</vt:lpstr>
      <vt:lpstr>PremiumRevokedDialogCloseVarian</vt:lpstr>
      <vt:lpstr>SubscriptionHubConnectionNeverT</vt:lpstr>
      <vt:lpstr>SubscriptionRealtimeFallbackPol</vt:lpstr>
      <vt:lpstr>HealthCheckEndpoints</vt:lpstr>
      <vt:lpstr>InternalApiKeyAuthGate</vt:lpstr>
      <vt:lpstr>ChatEndpointValidation</vt:lpstr>
      <vt:lpstr>IngestSystemFilesValidation</vt:lpstr>
      <vt:lpstr>IngestHrFilesValidation</vt:lpstr>
      <vt:lpstr>JdValidationRules</vt:lpstr>
      <vt:lpstr>InterviewPlanStartValidation</vt:lpstr>
      <vt:lpstr>InterviewPlanMessagesClarifyLoo</vt:lpstr>
      <vt:lpstr>InterviewPlanConfirmValidation</vt:lpstr>
      <vt:lpstr>InterviewQuestionsGenerateValid</vt:lpstr>
      <vt:lpstr>ErrorResponseEnvelopeConsistenc</vt:lpstr>
      <vt:lpstr>LlmErrorMapping</vt:lpstr>
      <vt:lpstr>LegacyEndpointsDeprecation</vt:lpstr>
      <vt:lpstr>SynchronousBlockingNoTimeout</vt:lpstr>
      <vt:lpstr>NoCorsMiddlewareConfigured</vt:lpstr>
      <vt:lpstr>NoRateLimitingConfigured</vt:lpstr>
      <vt:lpstr>StartupNoFailFastValidation</vt:lpstr>
      <vt:lpstr>FileExtensionAllowList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dangk</cp:lastModifiedBy>
  <dcterms:created xsi:type="dcterms:W3CDTF">2026-08-04T17:14:00Z</dcterms:created>
  <dcterms:modified xsi:type="dcterms:W3CDTF">2026-08-16T02:01:22Z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0C3CFDC53C814BFEBC3AB27221E8E8CB_12</vt:lpwstr>
  </property>
  <property fmtid="{D5CDD505-2E9C-101B-9397-08002B2CF9AE}" pid="3" name="KSOProductBuildVer">
    <vt:lpwstr>1033-12.1.0.28032</vt:lpwstr>
  </property>
  <property fmtid="{D5CDD505-2E9C-101B-9397-08002B2CF9AE}" pid="4" name="CalculationRule">
    <vt:i4>0</vt:i4>
  </property>
</Properties>
</file>